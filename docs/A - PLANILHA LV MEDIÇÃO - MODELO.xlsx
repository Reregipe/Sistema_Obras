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GENHARIA 11\Sistema_Obras\docs\"/>
    </mc:Choice>
  </mc:AlternateContent>
  <xr:revisionPtr revIDLastSave="0" documentId="8_{36C488EB-A4AB-46D9-AFB3-B956046C6BA5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Preenchimentos Automatico" sheetId="1" r:id="rId1"/>
    <sheet name="Planilha1" sheetId="6" r:id="rId2"/>
    <sheet name="MATERIAL" sheetId="2" r:id="rId3"/>
    <sheet name="FECHAMENTO" sheetId="4" r:id="rId4"/>
    <sheet name="Mão de Obra" sheetId="3" r:id="rId5"/>
    <sheet name="ENG LVCBO1" sheetId="5" r:id="rId6"/>
  </sheets>
  <definedNames>
    <definedName name="_xlnm._FilterDatabase" localSheetId="4" hidden="1">'Mão de Obra'!$A$2:$F$2</definedName>
    <definedName name="_xlnm._FilterDatabase" localSheetId="2" hidden="1">MATERIAL!$A$1:$G$747</definedName>
    <definedName name="_xlnm._FilterDatabase" localSheetId="1" hidden="1">Planilha1!$A$1:$H$192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4" i="5" l="1"/>
  <c r="AE40" i="5" l="1"/>
  <c r="AK40" i="5" s="1"/>
  <c r="T21" i="5"/>
  <c r="W5" i="5"/>
  <c r="C35" i="5"/>
  <c r="S35" i="5"/>
  <c r="T35" i="5"/>
  <c r="AJ35" i="5"/>
  <c r="AK35" i="5"/>
  <c r="C62" i="5" l="1"/>
  <c r="C61" i="5"/>
  <c r="T75" i="5"/>
  <c r="AK75" i="5" s="1"/>
  <c r="C75" i="5"/>
  <c r="T74" i="5"/>
  <c r="AK74" i="5" s="1"/>
  <c r="C74" i="5"/>
  <c r="T73" i="5"/>
  <c r="AK73" i="5" s="1"/>
  <c r="C73" i="5"/>
  <c r="T72" i="5"/>
  <c r="AK72" i="5" s="1"/>
  <c r="C72" i="5"/>
  <c r="T71" i="5"/>
  <c r="AK71" i="5" s="1"/>
  <c r="C71" i="5"/>
  <c r="T70" i="5"/>
  <c r="AK70" i="5" s="1"/>
  <c r="C70" i="5"/>
  <c r="T69" i="5"/>
  <c r="AK69" i="5" s="1"/>
  <c r="C69" i="5"/>
  <c r="T68" i="5"/>
  <c r="AK68" i="5" s="1"/>
  <c r="C68" i="5"/>
  <c r="T67" i="5"/>
  <c r="AK67" i="5" s="1"/>
  <c r="C67" i="5"/>
  <c r="T66" i="5"/>
  <c r="AK66" i="5" s="1"/>
  <c r="C66" i="5"/>
  <c r="T65" i="5"/>
  <c r="AK65" i="5" s="1"/>
  <c r="C65" i="5"/>
  <c r="T64" i="5"/>
  <c r="AK64" i="5" s="1"/>
  <c r="C64" i="5"/>
  <c r="T63" i="5"/>
  <c r="AK63" i="5" s="1"/>
  <c r="C63" i="5"/>
  <c r="T62" i="5"/>
  <c r="AK62" i="5" s="1"/>
  <c r="T61" i="5"/>
  <c r="AK61" i="5" s="1"/>
  <c r="AK58" i="5"/>
  <c r="T58" i="5"/>
  <c r="C58" i="5"/>
  <c r="AK57" i="5"/>
  <c r="T57" i="5"/>
  <c r="C57" i="5"/>
  <c r="AK56" i="5"/>
  <c r="T56" i="5"/>
  <c r="C56" i="5"/>
  <c r="AK55" i="5"/>
  <c r="T55" i="5"/>
  <c r="C55" i="5"/>
  <c r="AK54" i="5"/>
  <c r="T54" i="5"/>
  <c r="C54" i="5"/>
  <c r="AK53" i="5"/>
  <c r="T53" i="5"/>
  <c r="C53" i="5"/>
  <c r="AK52" i="5"/>
  <c r="T52" i="5"/>
  <c r="C52" i="5"/>
  <c r="AK51" i="5"/>
  <c r="T51" i="5"/>
  <c r="C51" i="5"/>
  <c r="AK50" i="5"/>
  <c r="T50" i="5"/>
  <c r="C50" i="5"/>
  <c r="AK49" i="5"/>
  <c r="T49" i="5"/>
  <c r="C49" i="5"/>
  <c r="AK48" i="5"/>
  <c r="T48" i="5"/>
  <c r="C48" i="5"/>
  <c r="AK47" i="5"/>
  <c r="T47" i="5"/>
  <c r="C47" i="5"/>
  <c r="AK46" i="5"/>
  <c r="T46" i="5"/>
  <c r="C46" i="5"/>
  <c r="AK45" i="5"/>
  <c r="T45" i="5"/>
  <c r="C45" i="5"/>
  <c r="AK44" i="5"/>
  <c r="C44" i="5"/>
  <c r="U43" i="5"/>
  <c r="AJ36" i="5"/>
  <c r="T36" i="5"/>
  <c r="S36" i="5"/>
  <c r="C36" i="5"/>
  <c r="AJ34" i="5"/>
  <c r="T34" i="5"/>
  <c r="AK34" i="5" s="1"/>
  <c r="S34" i="5"/>
  <c r="C34" i="5"/>
  <c r="AJ33" i="5"/>
  <c r="T33" i="5"/>
  <c r="AK33" i="5" s="1"/>
  <c r="S33" i="5"/>
  <c r="C33" i="5"/>
  <c r="AJ32" i="5"/>
  <c r="T32" i="5"/>
  <c r="S32" i="5"/>
  <c r="C32" i="5"/>
  <c r="AJ31" i="5"/>
  <c r="T31" i="5"/>
  <c r="S31" i="5"/>
  <c r="C31" i="5"/>
  <c r="AJ30" i="5"/>
  <c r="T30" i="5"/>
  <c r="S30" i="5"/>
  <c r="C30" i="5"/>
  <c r="AJ29" i="5"/>
  <c r="T29" i="5"/>
  <c r="S29" i="5"/>
  <c r="C29" i="5"/>
  <c r="AJ28" i="5"/>
  <c r="T28" i="5"/>
  <c r="S28" i="5"/>
  <c r="C28" i="5"/>
  <c r="AJ27" i="5"/>
  <c r="T27" i="5"/>
  <c r="S27" i="5"/>
  <c r="C27" i="5"/>
  <c r="AJ26" i="5"/>
  <c r="T26" i="5"/>
  <c r="S26" i="5"/>
  <c r="C26" i="5"/>
  <c r="AJ25" i="5"/>
  <c r="T25" i="5"/>
  <c r="S25" i="5"/>
  <c r="C25" i="5"/>
  <c r="AJ24" i="5"/>
  <c r="T24" i="5"/>
  <c r="S24" i="5"/>
  <c r="C24" i="5"/>
  <c r="AJ23" i="5"/>
  <c r="S23" i="5"/>
  <c r="C23" i="5"/>
  <c r="AJ22" i="5"/>
  <c r="S22" i="5"/>
  <c r="C22" i="5"/>
  <c r="AJ21" i="5"/>
  <c r="S21" i="5"/>
  <c r="C21" i="5"/>
  <c r="Q5" i="5"/>
  <c r="P4" i="4"/>
  <c r="O1" i="4"/>
  <c r="T22" i="5"/>
  <c r="T23" i="5"/>
  <c r="AK27" i="5" l="1"/>
  <c r="AK36" i="5"/>
  <c r="AK32" i="5"/>
  <c r="AK31" i="5"/>
  <c r="AK30" i="5"/>
  <c r="AK26" i="5"/>
  <c r="AK25" i="5"/>
  <c r="AK23" i="5"/>
  <c r="AK29" i="5"/>
  <c r="AK28" i="5"/>
  <c r="AK24" i="5"/>
  <c r="AK21" i="5"/>
  <c r="AK22" i="5"/>
  <c r="AK37" i="5" l="1"/>
  <c r="AE39" i="5" l="1"/>
  <c r="AK39" i="5" s="1"/>
  <c r="N3" i="4"/>
  <c r="N1" i="4" s="1"/>
  <c r="AK41" i="5" l="1"/>
  <c r="P3" i="4"/>
  <c r="P1" i="4" s="1"/>
</calcChain>
</file>

<file path=xl/sharedStrings.xml><?xml version="1.0" encoding="utf-8"?>
<sst xmlns="http://schemas.openxmlformats.org/spreadsheetml/2006/main" count="3334" uniqueCount="1357">
  <si>
    <t>EQUIPE</t>
  </si>
  <si>
    <t>CAPITALIZAÇÃO</t>
  </si>
  <si>
    <t>N° CONTRATO</t>
  </si>
  <si>
    <t>NATUREZA DO SERVIÇO</t>
  </si>
  <si>
    <t>CRS</t>
  </si>
  <si>
    <t>PRESTADORA</t>
  </si>
  <si>
    <t>DIN-LVCB01</t>
  </si>
  <si>
    <t>EQUIPE PESADA FIXA LV</t>
  </si>
  <si>
    <t>LV</t>
  </si>
  <si>
    <t>ME</t>
  </si>
  <si>
    <t>DÍNAMO</t>
  </si>
  <si>
    <t>COD SISUP</t>
  </si>
  <si>
    <t>Texto breve de material (REVISADA)</t>
  </si>
  <si>
    <t>Unidade de medida básica</t>
  </si>
  <si>
    <t xml:space="preserve"> CABO CU MOLE 120MM2 750V PVC PT</t>
  </si>
  <si>
    <t>M</t>
  </si>
  <si>
    <t>AFASTADOR ISOL PILAR AC1020 10X100X320MM</t>
  </si>
  <si>
    <t>PC</t>
  </si>
  <si>
    <t>ALCA PREF DIS CA/CAA 2/0AWG 10,4-11,69MM</t>
  </si>
  <si>
    <t>ALCA PREF DIS CA/CAA 6AWG 4,62-5,15MM</t>
  </si>
  <si>
    <t>ALCA PREF ESTAI 6,4MM HS/SM</t>
  </si>
  <si>
    <t>ALCA PREFORM DISTRIB ACO 120MM2/4/0AWG(CA/CAA) 875,0MM</t>
  </si>
  <si>
    <t>UN</t>
  </si>
  <si>
    <t>ALCA PREFORM DISTRIB ACO 336,4MCM(CA) 978,0MM</t>
  </si>
  <si>
    <t>ALCA PREFORM DISTRIB ACO 336,4MCM(CAA) 1000,0MM</t>
  </si>
  <si>
    <t>ALCA PREFORM DISTRIB ACO ALUM 1/0AWG(CA/CAA) 660,0MM</t>
  </si>
  <si>
    <t>ALCA PREFORM SERVICO ACO 10,0MM2 292,0MM</t>
  </si>
  <si>
    <t>ALCA PREFORM SERVICO ACO 25,0MM2/4 AWG(CAA) 445,0MM</t>
  </si>
  <si>
    <t>ALCA PREFORMADA CABO ACO CONTRA POSTE 6,40MM 790,0MM</t>
  </si>
  <si>
    <t>ALCA PREFORMADA CABO ACO CONTRA POSTE 7,90MM 915,0MM</t>
  </si>
  <si>
    <t>ALCA PREFORMADA CABO ACO STD 7,94MM  890,0MM</t>
  </si>
  <si>
    <t>ALCA PREFORMADA CABO ACO STD 9,53MM 965,0MM</t>
  </si>
  <si>
    <t>ALCA PREFORMADA DISTRIBUICAO 2AWG 610,0MM</t>
  </si>
  <si>
    <t>ALCA PREFORMADA DISTRIBUICAO 8AWG (1N8) 406,0MM</t>
  </si>
  <si>
    <t>ALCA PREFORMADA SERVICO 25,00MM2 330,0MM</t>
  </si>
  <si>
    <t>ANEL AMARRACAO SI P/ESPACADOR 45X90X140MM</t>
  </si>
  <si>
    <t>ANEL AMARRACAO SI P/ISOLADOR 15KV 45X110X160MM</t>
  </si>
  <si>
    <t>ARAME RED SAE1010 GALV BWG12</t>
  </si>
  <si>
    <t>KG</t>
  </si>
  <si>
    <t>ARMACAO SECUND ACO CARB GALV 1 ESTRIBO 5,0X 125,0X 110,0MM</t>
  </si>
  <si>
    <t>ARMACAO SECUNDARIA ACO CARB 2 ESTRIBOS 5,0X 325,0X 310,0MM</t>
  </si>
  <si>
    <t>ARMACAO SECUNDARIA ACO CARB 3 ESTRIBOS 5,0X 525,0X 510,0MM</t>
  </si>
  <si>
    <t>ARMACAO SECUNDARIA ACO CARB 4 ESTRIBOS 5,0X 725,0X 710,0 MM</t>
  </si>
  <si>
    <t>ARRUELA ESPACADORA LISA CIRCULAR FOFO GALV DIN9021 M18</t>
  </si>
  <si>
    <t>ARRUELA QUADR REG SAE1020 GALV 18,0MM 38,0MM ESP 3MM</t>
  </si>
  <si>
    <t>BRACO REDE COMP ANTI-BALANCO 15KV PEAD 305MM</t>
  </si>
  <si>
    <t>BRACO REDE COMP TIPO C 15KV SAE1010/20 580MM</t>
  </si>
  <si>
    <t>BRACO REDE COMP TIPO L 15KV SAE1010/20 354MM</t>
  </si>
  <si>
    <t>CABO AEREO 15KV ALUM 35 MM2 1F</t>
  </si>
  <si>
    <t>CABO AL PROT CA 95MM2 8,7-15KV XLPE</t>
  </si>
  <si>
    <t>CABO ALUM CA NU 1/0 AWG 1F POPPY</t>
  </si>
  <si>
    <t>CABO ALUM CA NU 2 AWG 1F IRIS</t>
  </si>
  <si>
    <t>CABO ALUM CA NU 336,4 MCM 1F TULIP</t>
  </si>
  <si>
    <t>CABO ALUM CA NU 4/0 AWG 1F OXLIP</t>
  </si>
  <si>
    <t>CABO ALUM CAA NU 1/0 AWG 1F RAVEN</t>
  </si>
  <si>
    <t>CABO ALUM CAA NU 2 AWG 1F SPARROW</t>
  </si>
  <si>
    <t>CABO ALUM CAA NU 4 AWG 1F SWAN</t>
  </si>
  <si>
    <t>CABO ALUM CAA NU 4/0 AWG 1F PENGUIN</t>
  </si>
  <si>
    <t>CABO ALUM CAA NU 6 AWG 1F CL AA TURKEY</t>
  </si>
  <si>
    <t>CABO ALUMOSTEEL RD 3X5AWG 9.93MM 50.29MM</t>
  </si>
  <si>
    <t>CABO COBRE ISOLD 0,6/1KV 10MM</t>
  </si>
  <si>
    <t>CABO CU MOLE 70MM2 750V PVC PT</t>
  </si>
  <si>
    <t>CABO FLEX 750V COBRE PVC 2,5 MM2 BIF CL2 PT</t>
  </si>
  <si>
    <t>CABO ISOL 750V COBRE PVC/BWF 10MM2 1F CL2 PT</t>
  </si>
  <si>
    <t>CABO MULTIPLEX 0,6/1KV AL XLPE 1X1X10MM2+10MM2 1F</t>
  </si>
  <si>
    <t>CABO MULTIPLEX 0,6/1KV AL XLPE 2X1X10MM2+10MM2 2F</t>
  </si>
  <si>
    <t>CABO MULTIPLEX 0,6/1KV AL XLPE 2X1X25 MM2+25 MM2 2F</t>
  </si>
  <si>
    <t>CABO MULTIPLEX 0,6/1KV AL XLPE 3X1X10MM2+10MM2 3F</t>
  </si>
  <si>
    <t>CABO MULTIPLEX 0,6/1KV AL XLPE 3X1X120MM2+70MM2 3F</t>
  </si>
  <si>
    <t>CABO MULTIPLEX 0,6/1KV AL XLPE 3X1X25MM2+25MM2 3F</t>
  </si>
  <si>
    <t>CABO MULTIPLEX 0,6/1KV AL XLPE 3X1X35MM2+35MM2 3F</t>
  </si>
  <si>
    <t>CABO MULTIPLEX 0,6/1KV AL XLPE 3X1X70MM2+70MM2 3F</t>
  </si>
  <si>
    <t>CABO POT 0,6/1KV COBRE CL2 PVC 2,5 MM2 2F</t>
  </si>
  <si>
    <t>CABO PROT 15KV ALUM 185 MM2 1F 30 FIOS</t>
  </si>
  <si>
    <t xml:space="preserve">CABO PROT 15KV ALUM 150 MM2 1F </t>
  </si>
  <si>
    <t>CABO PROT 15KV ALUM 50 MM2 1F 6 FIOS</t>
  </si>
  <si>
    <t>CABO PROT 15KV COBRE 16 MM2 1F 6 FIOS</t>
  </si>
  <si>
    <t>CAPA CON CUNHA PE 06-1KV 10-4AWG-12-8AWG</t>
  </si>
  <si>
    <t>CAPA ISOL CONECTOR CUNHA COD AZ 15KV PE</t>
  </si>
  <si>
    <t>CAPA ISOL CONECTOR CUNHA 15KV PE</t>
  </si>
  <si>
    <t>CAPA ISOL CONECTOR CUNHA COD AZ/VM 0,6/1KV PE</t>
  </si>
  <si>
    <t>CAPACITOR POTENCIA MON PP 19920V 100,0KVAR</t>
  </si>
  <si>
    <t>CAPACITOR POTENCIA MON PP 7960V 100,0KVAR</t>
  </si>
  <si>
    <t>CAPACITOR POTENCIA MON PP 7960V 50,0KVAR</t>
  </si>
  <si>
    <t>CARTUCHO FERRAM CONECTOR CUNHA AMARELO 24,30MM</t>
  </si>
  <si>
    <t>CARTUCHO FERRAM CONECTOR CUNHA AZUL 14,80MM</t>
  </si>
  <si>
    <t>CARTUCHO FERRAM CONECTOR CUNHA VERMELHO 14,80MM</t>
  </si>
  <si>
    <t>CARTUCHO PORTA FUS BASE C 15KV 100A 285MM</t>
  </si>
  <si>
    <t>CARTUCHO PORTA FUS BASE C 24,2/36,2KV 100A 375MM</t>
  </si>
  <si>
    <t>CHAPA ESTAI SAE1010/20 8,0MM 76X 60X 70MM</t>
  </si>
  <si>
    <t>CHAVE FUS DISTR 15KV 100A 1F MAN SECO SIM 7,1KA TP C</t>
  </si>
  <si>
    <t>CHAVE FUS DISTR 36,2KV 100A 1F MAN SECO SIM 4,5KA TP C</t>
  </si>
  <si>
    <t>CHAVE FUS RELIG 24,2/36,2KV 100A 1F MAN SECO SIM 4,5KA 3 INT</t>
  </si>
  <si>
    <t xml:space="preserve">CHAVE FUS RELIG DISTR 15KV 100A 1F MAN SECO SIM 7,1KA 3 </t>
  </si>
  <si>
    <t>CHAVE SECC EXT 15KV 400A 1F-FACA MAN SECO</t>
  </si>
  <si>
    <t>CHAVE SECC EXT 15KV 630A 1F-FACA MAN SECO</t>
  </si>
  <si>
    <t>CHAVE SECC EXT 36,2KV 400A 1F-FACA MAN SECO</t>
  </si>
  <si>
    <t>CHAVE SECC EXT 36,2KV 630A 1F-FACA MAN SECO</t>
  </si>
  <si>
    <t>CINTA POSTE CIRCULAR SAE1020 140,0MM</t>
  </si>
  <si>
    <t>CINTA POSTE CIRCULAR SAE1020 150,0MM</t>
  </si>
  <si>
    <t>CINTA POSTE CIRCULAR SAE1020 160,0MM</t>
  </si>
  <si>
    <t>CINTA POSTE CIRCULAR SAE1020 170,0MM</t>
  </si>
  <si>
    <t>CINTA POSTE CIRCULAR SAE1020 180,0MM</t>
  </si>
  <si>
    <t>CINTA POSTE CIRCULAR SAE1020 190,0MM</t>
  </si>
  <si>
    <t>CINTA POSTE CIRCULAR SAE1020 200,0MM</t>
  </si>
  <si>
    <t>CINTA POSTE CIRCULAR SAE1020 210,0MM</t>
  </si>
  <si>
    <t>CINTA POSTE CIRCULAR SAE1020 220,0MM</t>
  </si>
  <si>
    <t>CINTA POSTE CIRCULAR SAE1020 230,0MM</t>
  </si>
  <si>
    <t>CINTA POSTE CIRCULAR SAE1020 240,0MM</t>
  </si>
  <si>
    <t>CINTA POSTE CIRCULAR SAE1020 250,0MM</t>
  </si>
  <si>
    <t>CINTA POSTE CIRCULAR SAE1020 260,0MM</t>
  </si>
  <si>
    <t>CINTA POSTE CIRCULAR SAE1020 270,0MM</t>
  </si>
  <si>
    <t>CINTA POSTE CIRCULAR SAE1020 280,0MM</t>
  </si>
  <si>
    <t>CINTA POSTE CIRCULAR SAE1020 290,0MM</t>
  </si>
  <si>
    <t>CINTA POSTE CIRCULAR SAE1020 300,0MM</t>
  </si>
  <si>
    <t>CINTA POSTE CIRCULAR SAE1020 310,0MM</t>
  </si>
  <si>
    <t>CINTA POSTE CIRCULAR SAE1020 320,0MM</t>
  </si>
  <si>
    <t>CINTA POSTE CIRCULAR SAE1020 330,0MM</t>
  </si>
  <si>
    <t>CINTA POSTE CIRCULAR SAE1020 340,0MM</t>
  </si>
  <si>
    <t>CINTA POSTE CIRCULAR SAE1020 350,0MM</t>
  </si>
  <si>
    <t>CINTA POSTE CIRCULAR SAE1020 360,0MM</t>
  </si>
  <si>
    <t>CINTA POSTE CIRCULAR SAE1020 370,0MM</t>
  </si>
  <si>
    <t>CINTA POSTE CIRCULAR SAE1020 410,0MM</t>
  </si>
  <si>
    <t>CINTA POSTE CIRCULAR SAE1020 420,0MM</t>
  </si>
  <si>
    <t>CINTA POSTE CIRCULAR SAE1020 430,0MM</t>
  </si>
  <si>
    <t>CINTA POSTE CIRCULAR SAE1020 440,0MM</t>
  </si>
  <si>
    <t>CINTA POSTE CIRCULAR SAE1020 450,0MM</t>
  </si>
  <si>
    <t>CJ CONECTOR ESTRIBO CAPA CABO 336,4MCM</t>
  </si>
  <si>
    <t>COMPOSTO TRATAM SOLO BENTONITA/ARG/GRAF/CARVAO MIN 12KG</t>
  </si>
  <si>
    <t>PAC</t>
  </si>
  <si>
    <t>CON CUNHA ATER CU 5/8X1/4</t>
  </si>
  <si>
    <t>CON CUNHA DER CN11 AL 8,2-14X4,1-7,6MM</t>
  </si>
  <si>
    <t>CON CUNHA DER CN12 AL 5,1-8,3X4,1-6,5MM</t>
  </si>
  <si>
    <t>CON CUNHA DER CN15 AL 9,2-14,5X9,2-14MM</t>
  </si>
  <si>
    <t>CON CUNHA DER CN16 AL 16,9-18,3X11-14MM</t>
  </si>
  <si>
    <t>CON CUNHA DER CN17 AL 16,9-18,3X7-11MM</t>
  </si>
  <si>
    <t>CON CUNHA DER CN2 AL 15,2-17,3X11-17MM</t>
  </si>
  <si>
    <t>CON CUNHA DER CN5 AL 15,2-17,3X4,1-12MM</t>
  </si>
  <si>
    <t>CON CUNHA EST NOR AL 3/0-4/0AWG EST2AWG</t>
  </si>
  <si>
    <t>CON CUNHA RAM B CU 6,2-9,36MMX1,74-5,1MM</t>
  </si>
  <si>
    <t>CON PERF 1,5-10-10X70MM</t>
  </si>
  <si>
    <t>CON PERF 50-150X50-150MM</t>
  </si>
  <si>
    <t>CONECTOR ATER BZ HT 5/8/CB 70MM</t>
  </si>
  <si>
    <t xml:space="preserve">CONECTOR ATERR ASA CAB-HASTE COBRE 25MM2 (6,15MM)/ 5/8 </t>
  </si>
  <si>
    <t>CONECTOR CUNHA ALUMINIO 1/0AWG/ 1/0AWG VM</t>
  </si>
  <si>
    <t>CONECTOR CUNHA ALUMINIO 10,11MM/ 6,55MM VM</t>
  </si>
  <si>
    <t>CONECTOR CUNHA ALUMINIO 10,11MM/ 8,38MM VM</t>
  </si>
  <si>
    <t>CONECTOR CUNHA ALUMINIO 14,53MM/ 11,79MM AZ</t>
  </si>
  <si>
    <t>CONECTOR CUNHA ALUMINIO 14,53MM/ 14,53MM AZ</t>
  </si>
  <si>
    <t>CONECTOR CUNHA ALUMINIO 15,24MM/ 14,27MM AZ</t>
  </si>
  <si>
    <t>CONECTOR CUNHA ALUMINIO 17,37MM/ 15,24MM AZ</t>
  </si>
  <si>
    <t>CONECTOR CUNHA ALUMINIO 18,3MM/ 6,35MM AZ</t>
  </si>
  <si>
    <t>CONECTOR CUNHA ALUMINIO 2/0AWG/ 2AWG AZ</t>
  </si>
  <si>
    <t>CONECTOR CUNHA ALUMINIO 23,88MM/ 19,05MM AM</t>
  </si>
  <si>
    <t>CONECTOR CUNHA ALUMINIO 336,4MCM/ 1/0AWG AM ESTRIBO</t>
  </si>
  <si>
    <t>CONECTOR CUNHA ALUMINIO 336,4MCM/ 2AWG AM</t>
  </si>
  <si>
    <t>CONECTOR CUNHA ALUMINIO 4-2AWG 2AWG VM</t>
  </si>
  <si>
    <t>CONECTOR CUNHA C-C ALUM 16,3-18,5MM/ 15-18,5MM AZ 28A</t>
  </si>
  <si>
    <t>CONECTOR CUNHA C-C ALUM 16,92-23,88MM/ 16,92-23,88MM AM 20AM</t>
  </si>
  <si>
    <t>CONECTOR CUNHA C-C COBRE 2,54-4,93/ 1,27-4,65MM AM TP V</t>
  </si>
  <si>
    <t>CONECTOR CUNHA C-C COBRE 2,54-6,55/ 1,27-4,65MM AZ TP IV</t>
  </si>
  <si>
    <t>CONECTOR CUNHA C-C COBRE 2,54-6,55/ 1,27-4,65MM VM TP III</t>
  </si>
  <si>
    <t>CONECTOR CUNHA C-C COBRE 3,17-8,12/ 3,17-7,42MM CZ TP I</t>
  </si>
  <si>
    <t>CONECTOR CUNHA C-C COBRE 4,66-10,1/ 4,66-8,30MM BR/VM TP VII</t>
  </si>
  <si>
    <t>CONECTOR CUNHA C-C COBRE 8,01-10,61/ 6,54-9,36MM BR/AZ TP VI</t>
  </si>
  <si>
    <t>CONECTOR CUNHA COBRE 11,10MM/ 5,10MM MR/AZ</t>
  </si>
  <si>
    <t>CONECTOR CUNHA COBRE 12,74MM/ 5,10MM BR</t>
  </si>
  <si>
    <t>CONECTOR CUNHA COBRE 12,74MM/ 5,10MM MR</t>
  </si>
  <si>
    <t>CONECTOR CUNHA COBRE 25MM2/ 14,30MM AM</t>
  </si>
  <si>
    <t>CONECTOR CUNHA COBRE 35,00MM2/ 14,30MM</t>
  </si>
  <si>
    <t>CONECTOR CUNHA COBRE 8,12MM/ 5,21MM VD</t>
  </si>
  <si>
    <t>CONECTOR CUNHA COBRE 9,36MM/ 5,10MM VL</t>
  </si>
  <si>
    <t>CONECTOR DER PERF DUPLO TERMOPL 70-240MM2/ 70-240MM2</t>
  </si>
  <si>
    <t>CONECTOR DER PERF SIMPLES TERMOPL 16-120MM2/ 4-35MM2</t>
  </si>
  <si>
    <t>CONECTOR DER PERF SIMPLES TERMOPL 35-120MM2/ 35-120MM2</t>
  </si>
  <si>
    <t>CONECTOR DERIVACAO PARAL PERF 240MM2/ 240MM2</t>
  </si>
  <si>
    <t>CONECTOR DERIVACAO PARAL PERF 95MM2/ 10MM2</t>
  </si>
  <si>
    <t>CORDOALHA ACO CARB 3 FIOS 4,76MM 1670KGF</t>
  </si>
  <si>
    <t>CORDOALHA ACO CARB CL A 7 FIOS MR 6,40MM 1430KGF</t>
  </si>
  <si>
    <t>CORDOALHA ACO CARB CL A 7 FIOS MR 9,50MM 3160KGF</t>
  </si>
  <si>
    <t>CORDOALHA ACO ZINCADO 9.5 MM SM</t>
  </si>
  <si>
    <t>CRUZETA DE MADEIRA 2,40 METROS</t>
  </si>
  <si>
    <t>CRUZETA MADEIRA LEI 90X112,5X3500MM</t>
  </si>
  <si>
    <t>CRUZETA FIB. VID. 140 MM X 120MM X 5000MM</t>
  </si>
  <si>
    <t>CRUZETA FIB. VID. RETANG 90MM X 112MM X 3500MM</t>
  </si>
  <si>
    <t>CRUZETA POSTE CONCR QUADR 90X90MM 2000MM</t>
  </si>
  <si>
    <t>CRUZETA POSTE FIB VID RETANG 90X112MM 2400MM</t>
  </si>
  <si>
    <t>CRUZETA POSTE POLIMERO QUADRADA 2000MM</t>
  </si>
  <si>
    <t xml:space="preserve">ELETRODUTO RIGIDO PVC PRETO BSP 1/2 </t>
  </si>
  <si>
    <t>ELO FUSIVEL DISTRIBUICAO H 0,25A 500MM</t>
  </si>
  <si>
    <t>ELO FUSIVEL DISTRIBUICAO H 0,5A 500MM TP ELO 0,5H</t>
  </si>
  <si>
    <t>ELO FUSIVEL DISTRIBUICAO H 0,75A 500MM</t>
  </si>
  <si>
    <t>ELO FUSIVEL DISTRIBUICAO H 1,25A 500MM</t>
  </si>
  <si>
    <t>ELO FUSIVEL DISTRIBUICAO H 1,75A 500MM</t>
  </si>
  <si>
    <t>ELO FUSIVEL DISTRIBUICAO H 1A 500MM TP ELO 1H</t>
  </si>
  <si>
    <t>ELO FUSIVEL DISTRIBUICAO H 2A 500MM TP ELO 2H</t>
  </si>
  <si>
    <t>ELO FUSIVEL DISTRIBUICAO H 3A 500MM TP ELO 3H</t>
  </si>
  <si>
    <t>ELO FUSIVEL DISTRIBUICAO H 5A 500MM TP ELO 5H</t>
  </si>
  <si>
    <t>ELO FUSIVEL DISTRIBUICAO K 10A 500MM TP ELO 10K</t>
  </si>
  <si>
    <t>ELO FUSIVEL DISTRIBUICAO K 12A 500MM TP ELO 12K</t>
  </si>
  <si>
    <t>ELO FUSIVEL DISTRIBUICAO K 15A 500MM TP ELO 15K</t>
  </si>
  <si>
    <t>ELO FUSIVEL DISTRIBUICAO K 25A 500MM TP ELO 25K</t>
  </si>
  <si>
    <t>ELO FUSIVEL DISTRIBUICAO K 40A 500MM TP ELO 40K</t>
  </si>
  <si>
    <t>ELO FUSIVEL DISTRIBUICAO K 6A 500MM TP ELO 6K</t>
  </si>
  <si>
    <t>EMENDA PREF CON MET CA 1/0AWG 9,34-9,6MM</t>
  </si>
  <si>
    <t>EMENDA PREF CON MET CA 2AWG 7,36-7,58MM</t>
  </si>
  <si>
    <t>EMENDA PREF CON MET CA 336,4MCM16,3-17MM</t>
  </si>
  <si>
    <t>EMENDA PREF CON MET CA 4/0AWG13,2-13,8MM</t>
  </si>
  <si>
    <t>EMENDA PREF TOT CAA 6AWG</t>
  </si>
  <si>
    <t>EMENDA PREF TOT MET CAA 4/0AWG</t>
  </si>
  <si>
    <t>EMENDA PREF TOT MET CAA 4AWG</t>
  </si>
  <si>
    <t>EMENDA PREF TOT MET CAA 2AWG</t>
  </si>
  <si>
    <t>EMENDA PREF TOTAL 336.4MCM CAA 30X7</t>
  </si>
  <si>
    <t>EMENDA PREFORMADA CONDUTORA ACO CARB 2/0AWG 1143MM</t>
  </si>
  <si>
    <t>EMENDA PREFORMADA CONDUTORA ACO CARB 2/0AWG 1190MM</t>
  </si>
  <si>
    <t>EMENDA PREFORMADA CONDUTORA ACO CARB 3X2,25MM (DIAM) 700MM</t>
  </si>
  <si>
    <t>EMENDA PREFORMADA CONDUTORA ACO CARB 4AWG 635MM</t>
  </si>
  <si>
    <t>EMENDA PREFORMADA CONDUTORA ACO CARB 8AWG 520MM</t>
  </si>
  <si>
    <t>EMENDA PREFORMADA TOTAL ACO CARB 1/0AWG 1475MM</t>
  </si>
  <si>
    <t>EMENDA PREFORMADA TOTAL ACO CARB 2AWG 1118MM</t>
  </si>
  <si>
    <t>ESPAC LOS 15KV 12-32MM C/AMAR</t>
  </si>
  <si>
    <t>ESPACADOR ISOL FOFO 40X80MM 18MM</t>
  </si>
  <si>
    <t>ESPACADOR LOSANGULAR 15KV</t>
  </si>
  <si>
    <t>ESPACADOR LOSANGULAR 3 COND ANEL 15,0KV 340X460MM</t>
  </si>
  <si>
    <t>ESPACADOR LOSANGULAR 3 COND ANEL 36,2KV 550X750MM</t>
  </si>
  <si>
    <t>ESPACADOR REDE SECUND MADEIRA 4F 20X 700MM</t>
  </si>
  <si>
    <t>ESTRIBO ACO CARB 14,0X 70,0MM 400DAN BRACO TIPO L</t>
  </si>
  <si>
    <t>ESTRIBO FOFO NOD 19,0X 80,0MM 400KGF</t>
  </si>
  <si>
    <t>FECHO DENTADO FITA  METALICA POSTE 19,0 X 24,0 X 1,2 MM</t>
  </si>
  <si>
    <t>PEÇ</t>
  </si>
  <si>
    <t>FIO ALUMINIO 6 AWG 1F MOLE</t>
  </si>
  <si>
    <t>FIO COBRE ISOLADO 6 MM2</t>
  </si>
  <si>
    <t>FIO ISOLADO 450/750V CU 6 MM2 CL1 PT</t>
  </si>
  <si>
    <t>FITA AÇO INOX 19 X 0,80 MM</t>
  </si>
  <si>
    <t>FITA AMARRACAO CABOS LISA ALUMINIO 10,0MM 1,00MM</t>
  </si>
  <si>
    <t>FITA ISOL AUTOFUSAO EPR PT 750V 19X10M</t>
  </si>
  <si>
    <t>FITA ISOLANTE PT 0,75KV 19MM 10M 1UN</t>
  </si>
  <si>
    <t>FIXADOR PERFIL U ACO CARB 76X 178MM</t>
  </si>
  <si>
    <t>GANCHO OLHAL S/TRAVA SAE1045 5000DAN</t>
  </si>
  <si>
    <t>GRAMP LV TRON 2AWG-336.4MCM DER 6-4/0AWG</t>
  </si>
  <si>
    <t>GRAMPO ANC CABO COBERTO 14-16 MM</t>
  </si>
  <si>
    <t>GRAMPO ANCORAGEM DIELETRICO ALUMINIO 14-16MM 1000DAN</t>
  </si>
  <si>
    <t>GRAMPO ANCORAGEM DIELETRICO ALUMINIO 20-22MM 1000DAN</t>
  </si>
  <si>
    <t>GRAMPO LINHA VIVA BRONZE 6AWG-250MCM/ 6-2/0AWG</t>
  </si>
  <si>
    <t>GRAMPO LINHA VIVA BRONZE 8AWG-250MCM/ 8-2/0AWG</t>
  </si>
  <si>
    <t>GRAMPO LINHA VIVA COBRE 6AWG-250MCM/ 6-2/0AWG</t>
  </si>
  <si>
    <t>HASTE ANCORA CERCA SAE1045 GALV 5100KGF 16,0MM 2,40M</t>
  </si>
  <si>
    <t>HASTE ATERRAMENTO CIRC C/ROSCA 5/8" 2400,0MM</t>
  </si>
  <si>
    <t>HASTE ATERRAMENTO CIRC S/ROSCA 14,3X 2400MM</t>
  </si>
  <si>
    <t>HASTE ATERRAMENTO PERF L CHANFR 25,0X25,0X 2400,0MM</t>
  </si>
  <si>
    <t>HASTE ATERRAMENTO PERF L CHANFR 25X25X5X 2400MM</t>
  </si>
  <si>
    <t>INDICADOR FALTA 4,16-69KV 25KA 0,8-38MM</t>
  </si>
  <si>
    <t>ISOLADOR PILAR PORC VERT 720 MM 36,2 KV 8000 DAN</t>
  </si>
  <si>
    <t>ISOLADOR PILAR PORC VERT S/GRP 300,0MM 15KV 800DAN</t>
  </si>
  <si>
    <t>ISOLADOR PINO ANTI-POLUIC POLIMERICO CINZA 280,0MM 15KV</t>
  </si>
  <si>
    <t>ISOLADOR PINO POR 15KV P57MM</t>
  </si>
  <si>
    <t>ISOLADOR PINO POR 34,5KV P102MM</t>
  </si>
  <si>
    <t>ISOLADOR SUSP BASTAO POLIM 15 KV CZ GARF-OLH 350MM 7000DAN</t>
  </si>
  <si>
    <t>ISOLADOR SUSP BASTAO POLIM GARF-OLH 370,0MM 380MM 15KV</t>
  </si>
  <si>
    <t>ISOLADOR SUSP BASTAO POLIM GARF-OLH 550,0MM 745MM 34,5KV</t>
  </si>
  <si>
    <t>ISOLADOR SUSPENSAO ESFERICO PORC MR 178MM 4500DAN</t>
  </si>
  <si>
    <t>LACO PREF LAT AC CAA 4AWG P60MM</t>
  </si>
  <si>
    <t>LACO PREF TOPO AC CAA 4AWG P60MM</t>
  </si>
  <si>
    <t>LACO PREFORM LATERAL PESC 120-130MM C/COXIM 4/0AWG 813,0MM</t>
  </si>
  <si>
    <t>LACO PREFORM TOPO PESC 60MM C/COXIM 1/0AWG(CA/CAA) 750,0MM</t>
  </si>
  <si>
    <t>LACO PREFORM TOPO PESC 60MM C/COXIM 4/0AWG(CA/CAA) 800,0MM</t>
  </si>
  <si>
    <t>LACO PREFORMADO CABO ACO LATERAL 4,87MM 510,0MM</t>
  </si>
  <si>
    <t>LACO PREFORMADO LATERAL 1/0AWG 620,0MM</t>
  </si>
  <si>
    <t>LACO PREFORMADO LATERAL 2AWG 500,0MM</t>
  </si>
  <si>
    <t>LACO PREFORMADO LATERAL 336,40MCM 700,0MM</t>
  </si>
  <si>
    <t>LACO PREFORMADO LATERAL 4/0AWG 700,0MM</t>
  </si>
  <si>
    <t>LACO PREFORMADO LATERAL 4AWG 400,0MM</t>
  </si>
  <si>
    <t>LACO PREFORMADO LATERAL 4AWG 480,0MM</t>
  </si>
  <si>
    <t>LACO PREFORMADO LATERAL 8AWG 405,0MM</t>
  </si>
  <si>
    <t>LACO PREFORMADO TOPO DISTRIB PESC 102MM 4AWG 680,0MM</t>
  </si>
  <si>
    <t>LACO PREFORMADO TOPO DISTRIBUICAO 2AWG 700,0MM</t>
  </si>
  <si>
    <t>LACO PREFORMADO TOPO DISTRIBUICAO 336,40MCM 750,0MM</t>
  </si>
  <si>
    <t>LACO PREFORMADO TOPO DISTRIBUICAO 4AWG 635,0MM</t>
  </si>
  <si>
    <t>LACO PREFORMADO TOPO DISTRIBUICAO 6AWG 609,0MM</t>
  </si>
  <si>
    <t>LACO PREFORMADO TOPO DISTRIBUICAO 8AWG 460,0MM</t>
  </si>
  <si>
    <t>LAMINA DESLIGADORA BASE C 15KV 300A</t>
  </si>
  <si>
    <t>LAMINA DESLIGADORA BASE C 24,2/36,2KV 300A</t>
  </si>
  <si>
    <t>LUVA EMENDA COMPRESS COBRE EST 16,00MM2 35,00MM</t>
  </si>
  <si>
    <t>LUVA EMENDA HASTE ATERRAMENTO BRONZE ROSCA UNC 3/4 "</t>
  </si>
  <si>
    <t>LUVA EMENDA HASTE ATERRAMENTO COBRE ROSCA UNC 5/8 "</t>
  </si>
  <si>
    <t>LUVA EMENDA TORQUIMETRICO LIGA ALUM 15KV 35X 125MM 25-150MM2</t>
  </si>
  <si>
    <t>LUVA EMENDA TORQUIMETRICO LIGA ALUM 15KV 35X 125MM 50-240MM2</t>
  </si>
  <si>
    <t>MANILHA SAPATILHA SAE1020 16,0MM 5000DAN</t>
  </si>
  <si>
    <t>MAO FRANC PLANA AC 723X32X5MM</t>
  </si>
  <si>
    <t>MAO FRANCESA PERFIL/BECO SAE 1020 38X 5X 1534MM</t>
  </si>
  <si>
    <t>MAO FRANCESA PLANA SAE 1020 32X 6X 1053MM</t>
  </si>
  <si>
    <t>MAO FRANCESA PLANA SAE 1020 32X 6X 619MM</t>
  </si>
  <si>
    <t>MAO FRANCESA PLANA SAE 1020 32X 6X 726MM</t>
  </si>
  <si>
    <t>MAO FRANCESA PLANA SAE 1020 32X 5X 710MM</t>
  </si>
  <si>
    <t>OLHAL PARAFUSO ACO FORJ M16 16,0MM 5000DAN</t>
  </si>
  <si>
    <t>PARA RAIO DISTR POLIM 13,8KV OX ZN 10KA S/CENTELHADOR</t>
  </si>
  <si>
    <t>PARA RAIO DISTRIB POLIMERICO 30KV S/ CENTELHADOR</t>
  </si>
  <si>
    <t xml:space="preserve">PARA RAIO DISTRIB PORCELANA 12KV S/ CENTELHADOR </t>
  </si>
  <si>
    <t>PARAFUSO ABAU FENDA SAE1010 RP MG M16X 100MM</t>
  </si>
  <si>
    <t>PARAFUSO ABAU FENDA SAE1010 RP MG M16X 200MM</t>
  </si>
  <si>
    <t>PARAFUSO ABAU FENDA SAE1010 RP MG M16X 50MM</t>
  </si>
  <si>
    <t>PARAFUSO ABAU SAE1020 RP MG M16X 150MM</t>
  </si>
  <si>
    <t>PARAFUSO ABAU SAE1020 RP MG M16X 45MM</t>
  </si>
  <si>
    <t>PARAFUSO ABAU SAE1020 RP MG M16X 70MM</t>
  </si>
  <si>
    <t>PARAFUSO PRIS SAE1010 RP MG M16X 200MM</t>
  </si>
  <si>
    <t>PARAFUSO PRIS SAE1010 RP MG M16X 250MM</t>
  </si>
  <si>
    <t>PARAFUSO PRIS SAE1010 RP MG M16X 300MM</t>
  </si>
  <si>
    <t>PARAFUSO PRIS SAE1010 RP MG M16X 350MM</t>
  </si>
  <si>
    <t>PARAFUSO PRIS SAE1010 RP MG M16X 450MM</t>
  </si>
  <si>
    <t>PARAFUSO PRIS SAE1010 RP MG M16X 700MM</t>
  </si>
  <si>
    <t>PARAFUSO PRIS SAE1020 RP MG M16X 400MM</t>
  </si>
  <si>
    <t>PARAFUSO PRIS SAE1020 RP MG M16X 500MM</t>
  </si>
  <si>
    <t>PARAFUSO PRIS SAE1020 RP MG M16X 550MM</t>
  </si>
  <si>
    <t>PARAFUSO PRIS SAE1020 RP MG M16X 600MM</t>
  </si>
  <si>
    <t>PARAFUSO QUAD SAE1020 RP MG CL 6G M16X 100MM</t>
  </si>
  <si>
    <t>PARAFUSO ROSC TOT SAE1010 RT MG M16X 600MM</t>
  </si>
  <si>
    <t>PARAFUSO QUAD SAE1020 RP MG CL 6G M16X 125MM</t>
  </si>
  <si>
    <t>PARAFUSO QUAD SAE1020 RP MG CL 6G M16X 150MM</t>
  </si>
  <si>
    <t>PARAFUSO QUAD SAE1020 RP MG CL 6G M16X 200MM</t>
  </si>
  <si>
    <t>PARAFUSO QUAD SAE1020 RP MG CL 6G M16X 250MM</t>
  </si>
  <si>
    <t>PARAFUSO QUAD SAE1020 RP MG CL 6G M16X 300MM</t>
  </si>
  <si>
    <t>PARAFUSO QUAD SAE1020 RP MG CL 6G M16X 350MM</t>
  </si>
  <si>
    <t>PARAFUSO QUAD SAE1020 RP MG CL 6G M16X 400MM</t>
  </si>
  <si>
    <t>PARAFUSO QUAD SAE1020 RP MG CL 6G M16X 450MM</t>
  </si>
  <si>
    <t>PARAFUSO QUAD SAE1020 RP MG CL 6G M16X 500MM</t>
  </si>
  <si>
    <t>PARAFUSO QUAD SAE1020 RP MG CL 6G M16X 50MM</t>
  </si>
  <si>
    <t>PARAFUSO QUAD SAE1020 RP MG CL 6G M16X 550MM</t>
  </si>
  <si>
    <t>PARAFUSO QUAD SAE1020 RP MG CL 6G M16X 600MM</t>
  </si>
  <si>
    <t>PARAFUSO QUAD SAE1020 RP MG CL 6G M16X 650MM</t>
  </si>
  <si>
    <t>PARAFUSO QUAD SAE1020 RP MG CL 6G M16X 700MM</t>
  </si>
  <si>
    <t>PARAFUSO QUAD SAE1020 RP MG M16X 40MM</t>
  </si>
  <si>
    <t>PARAFUSO ROSC TOT SAE1010 RT MG M16X 450MM</t>
  </si>
  <si>
    <t>PARAFUSO ROSC TOT SAE1010 RT MG M16X 500MM</t>
  </si>
  <si>
    <t>PARAFUSO ROSC TOT SAE1010 RT MG M16X 550MM</t>
  </si>
  <si>
    <t>un</t>
  </si>
  <si>
    <t>PARAFUSO ROSCA DUPLA AC 16X650MM</t>
  </si>
  <si>
    <t>PARAFUSO SEXT NORMAL A394 RP UNC 1/2X 2.3/8"</t>
  </si>
  <si>
    <t>PERFIL U AC 54X152MM 1/4 4460MM</t>
  </si>
  <si>
    <t>PERFIL U ACO CARB 76,2X38,0X 6,5MM</t>
  </si>
  <si>
    <t>PINO ISOLADOR ACO CARBONO 16,0MM AUTO-TRAVANTE M20 169MM</t>
  </si>
  <si>
    <t>PINO ISOLADOR ACO CARBONO 16,0MM AUTO-TRAVANTE M20 85MM</t>
  </si>
  <si>
    <t>PINO ISOLADOR SAE 1010/20 16,0MM 150X 38X 192MM</t>
  </si>
  <si>
    <t>PINO ISOLADOR SAE 1010/20 16,0MM 28,5X 200X 228,5MM</t>
  </si>
  <si>
    <t>PINO ISOLADOR SAE 1010/20 16,0MM 28,5X 250X 278,5MM</t>
  </si>
  <si>
    <t>PINO ISOLADOR SAE1020 16,0MM 25,0MM 150X 140X 294MM</t>
  </si>
  <si>
    <t>PLACA CONCRETO ESTAI PLANA 100 X 200 X 600 MM</t>
  </si>
  <si>
    <t>PLACA CONCRETO ESTAI SUBSOLO 10X20X100CM</t>
  </si>
  <si>
    <t>PORCA OLHAL STD SAE1045 GALV MG M16 78,0MM</t>
  </si>
  <si>
    <t>POSTE CIRCULAR CONCR 10M 600 DAN 390MM 190MM</t>
  </si>
  <si>
    <t>POSTE CIRCULAR CONCR 11M 1000 DAN 450MM 230MM</t>
  </si>
  <si>
    <t>POSTE CIRCULAR CONCR 11M 600 DAN 410MM 190MM</t>
  </si>
  <si>
    <t>POSTE CIRCULAR CONCR 12M 1000 DAN 470MM 230MM</t>
  </si>
  <si>
    <t>POSTE CIRCULAR CONCR 12M 600 DAN 430MM 190MM</t>
  </si>
  <si>
    <t>POSTE CIRCULAR CONCR 13M 1000 DAN 510MM 230MM</t>
  </si>
  <si>
    <t>POSTE CIRCULAR CONCR 13M 1500 DAN 410MM 290MM</t>
  </si>
  <si>
    <t>POSTE CIRCULAR CONCR 13M 600 DAN 450MM 190MM</t>
  </si>
  <si>
    <t>POSTE CIRCULAR CONCR C-17 10M 300DAN</t>
  </si>
  <si>
    <t>POSTE CIRCULAR CONCR C-17 12M 300DAN</t>
  </si>
  <si>
    <t>POSTE CIRCULAR CONCRETO 10M 1000 DAN 430MM 230MM</t>
  </si>
  <si>
    <t>POSTE CIRCULAR CONCRETO 10M 400 DAN 380MM 180MM</t>
  </si>
  <si>
    <t>POSTE CIRCULAR CONCRETO 11M 200 DAN 370MM 150MM</t>
  </si>
  <si>
    <t>POSTE CIRCULAR CONCRETO 11M 300 DAN 390MM 170MM</t>
  </si>
  <si>
    <t>POSTE CIRCULAR CONCRETO 11M 400 DAN 390MM 170MM</t>
  </si>
  <si>
    <t>POSTE CIRCULAR CONCRETO 12M 200 DAN 390MM 150MM</t>
  </si>
  <si>
    <t>POSTE CIRCULAR CONCRETO 13M 300 DAN 430MM 170MM</t>
  </si>
  <si>
    <t>POSTE CIRCULAR FIB VID 10M 300 DAN 373MM 168MM</t>
  </si>
  <si>
    <t>POSTE CIRCULAR MADEIRA 10M MED-MAD 730MM 460X620MM</t>
  </si>
  <si>
    <t>POSTE CIRCULAR MADEIRA 11M MED-MAD 770MM 480X640MM</t>
  </si>
  <si>
    <t>POSTE DE CONCRETO DT 10/400</t>
  </si>
  <si>
    <t>POSTE DE CONCRETO DT 11/400</t>
  </si>
  <si>
    <t>POSTE DT CONCR TIPO B 10M 400DAN</t>
  </si>
  <si>
    <t>POSTE DT CONCR TIPO B-1,5 10M 1000DAN</t>
  </si>
  <si>
    <t>POSTE DUP T CONCRETO 11M 200DAN 210X296MM 100X120MM</t>
  </si>
  <si>
    <t>POSTE DUP T CONCRETO 12M 1000DAN 380X518MM 140X182MM</t>
  </si>
  <si>
    <t>POSTE DUP T CONCRETO 13M 300DAN 370X504MM 110X140MM</t>
  </si>
  <si>
    <t>POSTE DUPLO T CONCR 10M 150DAN 200X280MM 100X120MM</t>
  </si>
  <si>
    <t>POSTE DUPLO T CONCR 10M 300DAN 310X420MM 110X140MM</t>
  </si>
  <si>
    <t>POSTE DUPLO T CONCR 10M 600DAN 310X420MM 110X140MM</t>
  </si>
  <si>
    <t>POSTE DUPLO T CONCR 11M 1000DAN 360X490MM 140X182MM</t>
  </si>
  <si>
    <t>POSTE DUPLO T CONCR 11M 1500DAN 390X532MM 170X224MM</t>
  </si>
  <si>
    <t>POSTE DUPLO T CONCR 11M 300DAN 330X448MM 110X140MM</t>
  </si>
  <si>
    <t>POSTE DUPLO T CONCR 11M 600DAN 330X448MM 110X140MM</t>
  </si>
  <si>
    <t>POSTE DUPLO T CONCR 12M 300DAN 350X476MM 110X140MM</t>
  </si>
  <si>
    <t>POSTE DUPLO T CONCR 12M 600DAN 350X476MM 110X140MM</t>
  </si>
  <si>
    <t>POSTE DUPLO T CONCR 13M 600DAN 370X504MM 110X140MM</t>
  </si>
  <si>
    <t>PROTETOR BUCHA/PARA RAIO ISOLANTE TERMOPLASTICO 15KV PT</t>
  </si>
  <si>
    <t>REG TEN 1F 19,92KV 201A 400KVA NBI 150KV</t>
  </si>
  <si>
    <t>REGULADOR TENSAO 13,8 KV 276KVA 200A 1F</t>
  </si>
  <si>
    <t>REGULADOR TENSAO 19,92KV 333KVA 167A 1F</t>
  </si>
  <si>
    <t>REGULADOR TENSAO AUTOM 34,5KV 398KVA 200A 1F TP 3B</t>
  </si>
  <si>
    <t>RELIGADOR 15KV 630A 12,5KA REDE</t>
  </si>
  <si>
    <t>RELIGADOR 36,2KV, 630A 12,5KA,REDE</t>
  </si>
  <si>
    <t>RELIGADOR EXT P VACUO 15KV 630A 3F AUTO 12,5KA 220VCA</t>
  </si>
  <si>
    <t>SAPATILHA PESADA ACO CARB 9,5MM</t>
  </si>
  <si>
    <t>SECCIONADOR PREFORMADO ACO CARB 2,50-3,00MM 650MM 450KG</t>
  </si>
  <si>
    <t>SECCIONADOR PREFORMADO ACO CARB 2,50-3,00MM 800MM 450KG</t>
  </si>
  <si>
    <t>SECCIONADOR PREFORMADO ACO CARB 2,60-5,00MM 800MM 900KG</t>
  </si>
  <si>
    <t>SECCIONADOR PREFORMADO ACO CARB 3,26-4,11MM 650MM 450KG</t>
  </si>
  <si>
    <t>SELA CRUZETA ACO CARB 1 FURO 18,0MM CRUZ TP L/T ALT 116,0MM</t>
  </si>
  <si>
    <t>SEPARADOR CABO PE 15KV 18,56-23,38MM (DIAM)/1/4"</t>
  </si>
  <si>
    <t>SEPARADOR CABO POLIETILENO 150KV 6AWG-336,4MCM 1000MM</t>
  </si>
  <si>
    <t>SEPARADOR CABO POLIETILENO 150KV 6AWG-336,4MCM 1200MM</t>
  </si>
  <si>
    <t>SEPARADOR CABO POLIETILENO 150KV 6AWG-336,4MCM 450MM</t>
  </si>
  <si>
    <t>SEPARADOR CABO POLIETILENO 150KV 6AWG-336,4MCM 550MM</t>
  </si>
  <si>
    <t>SEPARADOR CABO POLIETILENO 150KV 6AWG-336,4MCM 650MM</t>
  </si>
  <si>
    <t>SEPARADOR CABO POLIETILENO 150KV 6AWG-336,4MCM 750MM</t>
  </si>
  <si>
    <t>SEPARADOR CABO POLIETILENO 15KV 13,74-18,55MM (DIAM)</t>
  </si>
  <si>
    <t>SUP AUX BRACO C AC 15KV 65X65X900MM</t>
  </si>
  <si>
    <t>SUPORTE FIXACAO ENERGISA DES EPD-57035-068</t>
  </si>
  <si>
    <t>SUPORTE FORMATO L ENERGISA EPD-57035-053</t>
  </si>
  <si>
    <t>SUPORTE L ENERGISA DES EPD- 57035-054</t>
  </si>
  <si>
    <t>SUPORTE L ISOLADOR PILAR 265X107X5MM</t>
  </si>
  <si>
    <t>SUPORTE P/CHAVE FACA INCLINADO 15KV 220X169X220MM</t>
  </si>
  <si>
    <t>SUPORTE T ENERGISA DES EPD-57035-058 540MM</t>
  </si>
  <si>
    <t>SUPORTE T ENERGISA DES EPD-57035-058 800MM</t>
  </si>
  <si>
    <t>SUPORTE TRANSFORM POSTE CIRC SAE1020 210MM</t>
  </si>
  <si>
    <t>SUPORTE TRANSFORM POSTE CIRC SAE1020 225MM</t>
  </si>
  <si>
    <t>SUPORTE TRANSFORM POSTE CIRC SAE1020 230MM</t>
  </si>
  <si>
    <t>SUPORTE TRANSFORM POSTE CIRC SAE1020 240MM</t>
  </si>
  <si>
    <t>SUPORTE TRANSFORM POSTE CIRC SAE1020 255MM</t>
  </si>
  <si>
    <t>SUPORTE TRANSFORM POSTE CIRC SAE1020 270MM</t>
  </si>
  <si>
    <t>SUPORTE TRANSFORM POSTE CIRC SAE1020 285MM</t>
  </si>
  <si>
    <t>SUPORTE TRANSFORM POSTE CIRC SAE1020 360MM</t>
  </si>
  <si>
    <t>SUPORTE TRANSFORM POSTE DUP T SAE1020 130X220MM</t>
  </si>
  <si>
    <t>TERMINAL COMPRESSAO ANEL TUB 7,87X 18,10MM 1,0-1,5MM2</t>
  </si>
  <si>
    <t>CEN</t>
  </si>
  <si>
    <t>TERMINAL ESP 2F 336,4MCM 336,4-556,5MCM</t>
  </si>
  <si>
    <t>TERMINAL ESPADA LIGA ALUM 2F 6AWG-266,8MCM</t>
  </si>
  <si>
    <t>TF D 3F 36KV 75KVA 220/127V 5T</t>
  </si>
  <si>
    <t>TRANSF DISTR AEREO 13,8KV 220V 150KVA 3F</t>
  </si>
  <si>
    <t>TRANSF DISTR AEREO OLEO M 13,8KV 220V 20KVA TRIF CV</t>
  </si>
  <si>
    <t>TRANSF DISTR AEREO OLEO M/V 13,8KV 220V 112,5KVA TRIF CV</t>
  </si>
  <si>
    <t>TRANSF DISTR AEREO OLEO M/V 13,8KV 220V 150KVA TRIF CV</t>
  </si>
  <si>
    <t>TRANSF DISTR AEREO OLEO M/V 13,8KV 220V 15KVA TRIF CV</t>
  </si>
  <si>
    <t>TRANSF DISTR AEREO OLEO M/V 13,8KV 220V 225KVA TRIF CV</t>
  </si>
  <si>
    <t>TRANSF DISTR AEREO OLEO M/V 13,8KV 220V 300KVA TRIF CV</t>
  </si>
  <si>
    <t>TRANSF DISTR AEREO OLEO M/V 13,8KV 220V 30KVA TRIF CV</t>
  </si>
  <si>
    <t>TRANSF DISTR AEREO OLEO M/V 13,8KV 220V 45KVA TRIF CV</t>
  </si>
  <si>
    <t>TRANSF DISTR AEREO OLEO M/V 13,8KV 220V 75KVA TRIF CV</t>
  </si>
  <si>
    <t>TRANSF DISTR AEREO OLEO M/V 19,9KV 254V 10KVA 1F F/N CV</t>
  </si>
  <si>
    <t>TRANSF DISTR AEREO OLEO M/V 19,9KV 254V 15KVA 1F F/N CV</t>
  </si>
  <si>
    <t>TRANSF DISTR AEREO OLEO M/V 19,9KV 254V 25KVA 1F F/N CV</t>
  </si>
  <si>
    <t>TRANSF DISTR AEREO OLEO M/V 19,9KV 254V 5KVA 1F F/N CV</t>
  </si>
  <si>
    <t>TRANSF DISTR AEREO OLEO M/V 34,5KV 220V 112,5KVA TRIF CV</t>
  </si>
  <si>
    <t>TRANSF DISTR AEREO OLEO M/V 34,5KV 220V 15KVA TRIF CV</t>
  </si>
  <si>
    <t>TRANSF DISTR AEREO OLEO M/V 34,5KV 220V 30KVA TRIF CV</t>
  </si>
  <si>
    <t>TRANSF DISTR AEREO OLEO M/V 34,5KV 220V 45KVA TRIF CV</t>
  </si>
  <si>
    <t>TRANSF DISTR AEREO OLEO M/V 7,967KV 254V 10KVA 1F F/N CV</t>
  </si>
  <si>
    <t>TRANSF DISTR AEREO OLEO M/V 7,967KV 254V 15KVA 1F F/N CV</t>
  </si>
  <si>
    <t>TRANSF DISTR AEREO OLEO M/V 7,967KV 254V 25KVA 1F F/N CV</t>
  </si>
  <si>
    <t xml:space="preserve"> </t>
  </si>
  <si>
    <t>CÓDIGOS SIAGO</t>
  </si>
  <si>
    <t>CÓDIGOS SGM</t>
  </si>
  <si>
    <t>DESCRIÇÃO BÁSICA</t>
  </si>
  <si>
    <t>UNIDADE</t>
  </si>
  <si>
    <t>T/H</t>
  </si>
  <si>
    <t>R$</t>
  </si>
  <si>
    <t>I6770</t>
  </si>
  <si>
    <t>DESAT CABO AL CA PROTEG 185MM2 LV</t>
  </si>
  <si>
    <t>DESAT CABO AL CA PROTEG 50MM2 LV</t>
  </si>
  <si>
    <t>DESAT CABO AL NU PRIM CA/CAA 4/0A336 LV</t>
  </si>
  <si>
    <t>DESAT CABO AL NU PRIM CA/CAA 4A1/0 LV</t>
  </si>
  <si>
    <t>DESAT CAPACITOR MT MONOPOLAR LV</t>
  </si>
  <si>
    <t>DESAT CH 1P DS CARG-NR-MAN 3PC =&gt;69KV LV</t>
  </si>
  <si>
    <t>DESAT CH TRIP OLEO ABER CARGA &lt; 69 KV LV</t>
  </si>
  <si>
    <t>DESAT CHAVE FUS &lt;69KV 1F LV</t>
  </si>
  <si>
    <t>DESAT CHAVE FUS RELIG &gt;= 34,5 KV 1F LV</t>
  </si>
  <si>
    <t>DESAT CRUZ DUPLA P BASE EQUIPAM ESPEC LV</t>
  </si>
  <si>
    <t>DESAT ESPAC LOSANG 50/185MM² LV</t>
  </si>
  <si>
    <t>DESAT ESPAC RD BT LV</t>
  </si>
  <si>
    <t>DESAT EST PRIM CE1 LV</t>
  </si>
  <si>
    <t>DESAT EST PRIM CE1-A LV</t>
  </si>
  <si>
    <t>DESAT EST PRIM CE2-CE3 LV</t>
  </si>
  <si>
    <t>DESAT EST PRIM N3-2/M3-2/N2-3/M2-3 LV 1C</t>
  </si>
  <si>
    <t>DESAT EST PRIM N3-2/M3-2/N2-3/M2-3 LV 2C</t>
  </si>
  <si>
    <t>DESAT ESTR PRIM N3/N3-E/M3/B3/B3-E LV</t>
  </si>
  <si>
    <t>DESAT ESTRUT PRIM N4/N4-E/M4/B4/B4-E LV</t>
  </si>
  <si>
    <t>DESAT ESTRUTURA PRIM CE2 LV</t>
  </si>
  <si>
    <t>DESAT ESTRUTURA PRIM CE3 LV</t>
  </si>
  <si>
    <t>DESAT ESTRUTURA PRIM CE4 LV</t>
  </si>
  <si>
    <t>DESAT ESTRUTURA PRIM HS LV</t>
  </si>
  <si>
    <t>DESAT ESTRUTURA PRIM HT/HTE LV</t>
  </si>
  <si>
    <t>DESAT ESTRUTURA PRIM N1/M1/B1 LV</t>
  </si>
  <si>
    <t>DESAT ESTRUTURA PRIM N2/M2/B2/B2-E LV</t>
  </si>
  <si>
    <t>DESAT ESTRUTURA PRIM U1 LV</t>
  </si>
  <si>
    <t>DESAT ESTRUTURA PRIM U2 LV</t>
  </si>
  <si>
    <t>DESAT ESTRUTURA PRIM U3/U3-2/U2-3 LV</t>
  </si>
  <si>
    <t>DESAT ESTRUTURA PRIM U4 LV</t>
  </si>
  <si>
    <t>DESAT ISOLADOR DISCO LV</t>
  </si>
  <si>
    <t>DESAT ISOLADOR PILAR LV</t>
  </si>
  <si>
    <t>DESAT ISOLADOR PINO FIM DE REDE LV</t>
  </si>
  <si>
    <t>DESAT ISOLADOR PINO TANGENTE LV</t>
  </si>
  <si>
    <t>DESAT PARA-RAIOS RD &lt; 34,5 KV LV</t>
  </si>
  <si>
    <t>DESAT POSTE ACIMA DE 13 M LV</t>
  </si>
  <si>
    <t>DESAT POSTE DE 8,5 ATE 13 M LV</t>
  </si>
  <si>
    <t>DESAT REGUL TENSAO NA REDE MT</t>
  </si>
  <si>
    <t>DESAT RELIGADOR NA REDE MT LV</t>
  </si>
  <si>
    <t>DESAT SEPARADOR VERTICAL 50/185MM² LV</t>
  </si>
  <si>
    <t>DESAT TRANSF DISTRIBUIC AEREO 1F LV</t>
  </si>
  <si>
    <t>DESATIVAR BANCO CAPACITOR 600 KVAR LV</t>
  </si>
  <si>
    <t>DESATIVAR BANCO CAPACITOR 900 KVAR LV</t>
  </si>
  <si>
    <t>DESATIVAR ESTRUT PRIM N1 COM MUFLA LV</t>
  </si>
  <si>
    <t>DESATIVAR MAO FRANCESA LV</t>
  </si>
  <si>
    <t>EMEND CABO MENS REDE PROTEGIDA LV</t>
  </si>
  <si>
    <t>IDENTIFICAR SEQUENCIA FASES EM ALIM LV</t>
  </si>
  <si>
    <t>INST BANCO CAPACITOR 600KVAR LV</t>
  </si>
  <si>
    <t>INST BANCO CAPACITOR 900KVAR LV</t>
  </si>
  <si>
    <t>INST CAPACITOR MT MONOPOLAR LV</t>
  </si>
  <si>
    <t>INST CH SECC S/LAM TER MONO MAN &lt;69KV</t>
  </si>
  <si>
    <t>INST CHAVE FUSIVEL 3 OP &lt; 34,5 KV</t>
  </si>
  <si>
    <t>INST CHAVE FUSIVEL 3 OP =&gt; 34,5 KV</t>
  </si>
  <si>
    <t>INST CONEC RD SEC LV</t>
  </si>
  <si>
    <t>INST CONECTOR REDE PRIMARIA LV</t>
  </si>
  <si>
    <t>INST CRUZETA DUPLA LV</t>
  </si>
  <si>
    <t>INST ESPAC REDE BT LV</t>
  </si>
  <si>
    <t>INST ESPACADOR LOSANG 50/185MM² LV</t>
  </si>
  <si>
    <t>INST EST PRIM N4/N4-E/M4/B4/B4-E C CH LV</t>
  </si>
  <si>
    <t>INST EST SEC EM REDE CONVENCIONAL LV</t>
  </si>
  <si>
    <t>INST ESTAI CRUZETA A CRUZETA LV</t>
  </si>
  <si>
    <t>INST ESTR PRIM CE1 LV</t>
  </si>
  <si>
    <t>INST ESTR PRIM CE1-A LV</t>
  </si>
  <si>
    <t>INST ESTR PRIM CE1-C LV</t>
  </si>
  <si>
    <t>INST ESTR PRIM N3/N3-E/M3/B3/B3-E LV</t>
  </si>
  <si>
    <t>INST ESTRUT PRIM N4/N4-E/M4/B4/B4-E LV</t>
  </si>
  <si>
    <t>INST ESTRUTURA PRIM CE3 LV</t>
  </si>
  <si>
    <t>INST ESTRUTURA PRIM CE4 LV</t>
  </si>
  <si>
    <t>INST ESTRUTURA PRIM HT/HTE LV</t>
  </si>
  <si>
    <t>INST ESTRUTURA PRIM N1/M1/B1 LV</t>
  </si>
  <si>
    <t>INST ESTRUTURA PRIM N2/M2/B2/B2-E LV</t>
  </si>
  <si>
    <t>INST ESTRUTURA PRIM U1 LV</t>
  </si>
  <si>
    <t>INST ESTRUTURA PRIM U2 LV</t>
  </si>
  <si>
    <t>INST ESTRUTURA PRIM U3/U3-2/U2-3 LV</t>
  </si>
  <si>
    <t>INST ESTRUTURA PRIM U4 LV</t>
  </si>
  <si>
    <t>INST ISOLADOR DISCO LV</t>
  </si>
  <si>
    <t>INST ISOLADOR PILAR LV</t>
  </si>
  <si>
    <t>INST ISOLADOR PINO FIM DE REDE LV</t>
  </si>
  <si>
    <t>INST ISOLADOR PINO TANGENTE LV</t>
  </si>
  <si>
    <t>INST MEDICAO MT CONJUNTO TC E TP LV</t>
  </si>
  <si>
    <t>INST OLHAL LV</t>
  </si>
  <si>
    <t>INST PARA-RAIOS RD &lt; 34,5 KV LV</t>
  </si>
  <si>
    <t>INST POSTE ACIMA DE 13 M LV</t>
  </si>
  <si>
    <t>INST POSTE ATE 13M &lt;69KV GUIN LV</t>
  </si>
  <si>
    <t>INST SEPARADOR VERTICAL 50/185MM² LV</t>
  </si>
  <si>
    <t>INST TRANSF DISTRIBUIC AEREO MONO LV</t>
  </si>
  <si>
    <t>INST TRANSF DISTRIBUIC AEREO TRIF LV</t>
  </si>
  <si>
    <t>INSTALACAO ESTRUT PRIM N1 MUFLA LV</t>
  </si>
  <si>
    <t>PODAR ARVORE LINHA VIVA</t>
  </si>
  <si>
    <t>REAPERT CONEXOES PRIMARIAS LV</t>
  </si>
  <si>
    <t>REAPERT CONEXOES SECUNDARIAS LV</t>
  </si>
  <si>
    <t>REINST CAPACITOR MT MONOPOLAR LV</t>
  </si>
  <si>
    <t>REINST CH FUSIVEL RELIG &lt;34,5KV LV</t>
  </si>
  <si>
    <t>REINST CH FUSIVEL RELIG &gt; = 34,5KV LV</t>
  </si>
  <si>
    <t>REINST CH TRIP DESLIGAM EM CARGA LV</t>
  </si>
  <si>
    <t>REINST CHAVE FUSIVEL &lt;34,5KV LV</t>
  </si>
  <si>
    <t>REINST CHAVE FUSIVEL &gt; = 34,5KV LV</t>
  </si>
  <si>
    <t>REINST CHAVE SECC FACA &gt; =15KV LV</t>
  </si>
  <si>
    <t>REINST CRUZAM AER FLY TAP BT JUMP LV</t>
  </si>
  <si>
    <t>REINST CRUZAM AER FLY TAP MT JUMP LV</t>
  </si>
  <si>
    <t>REINST PARA-RAIO RD &gt; = 34,5KV LV</t>
  </si>
  <si>
    <t>REINST POSTE ACIMA DE 13M LV</t>
  </si>
  <si>
    <t>REINST POSTE DE 8,5 ATE 13M LV</t>
  </si>
  <si>
    <t>REINST REGULADOR TENSAO NA REDE MT LV</t>
  </si>
  <si>
    <t>REINST TRANSF DIST MONOFASICO LV</t>
  </si>
  <si>
    <t>REINST TRANSF DIST TRIFASICO LV</t>
  </si>
  <si>
    <t>REMAN BANCO CAPACIT 300 KVAR &lt; 69 KV LV</t>
  </si>
  <si>
    <t>REMAN BANCO CAPACIT 600 KVAR &lt; 69 KV LV</t>
  </si>
  <si>
    <t>REMAN BANCO CAPACIT 900 KVAR &lt; 69 KV LV</t>
  </si>
  <si>
    <t>REMAN CADEIA ISOLADOR DISCO REDE LV</t>
  </si>
  <si>
    <t>REMAN CH FUS MONO &lt; 34,5 KV RELIG LV</t>
  </si>
  <si>
    <t>REMAN CH FUS MONO &gt; = 34,5 KV RELIG LV</t>
  </si>
  <si>
    <t>REMAN CH FUSIVEL &lt; 34,5 KV LV</t>
  </si>
  <si>
    <t>REMAN CH FUSIVEL &gt; = 34,5 KV LV</t>
  </si>
  <si>
    <t>REMAN CH SECC FACA &gt;= 15KV LV</t>
  </si>
  <si>
    <t>REMAN CH TRIP OLEO TRIP A CAR &lt; 69 KV LV</t>
  </si>
  <si>
    <t>REMAN ESPACADOR NA REDE BT LV</t>
  </si>
  <si>
    <t>REMAN PARA-RAIO &lt; 34,5KV LV</t>
  </si>
  <si>
    <t>REMAN PARA-RAIO &gt; = 34,5KV LV</t>
  </si>
  <si>
    <t>REMAN POSTE &lt; 69 KV COM USO GUIND LV</t>
  </si>
  <si>
    <t>REMAN REG TENS MONOPOL &lt;69KV LV</t>
  </si>
  <si>
    <t>REMAN RELIGADOR TRIP NA REDE LV</t>
  </si>
  <si>
    <t>REMAN TRANSF DIST MONOFASICO LV</t>
  </si>
  <si>
    <t>REMAN TRANSF DIST TRIFASICO LV</t>
  </si>
  <si>
    <t>REPOSIC CRUZ N1/N2 OU B1/B2 LV</t>
  </si>
  <si>
    <t>REPOSIC CRUZ N3,N4 OU B3,B4,T3/T4 LV</t>
  </si>
  <si>
    <t>RETIRAR OBJETO ESTRANHO DA REDE LV</t>
  </si>
  <si>
    <t>SERV OFIC DESAT BCO CAPAC 300 KVAR LV</t>
  </si>
  <si>
    <t>SERV OFIC INST BCO CAPAC 300 KVAR LV</t>
  </si>
  <si>
    <t>SERV OFIC PODAR ARVORE URB</t>
  </si>
  <si>
    <t>SERV SUBST ESTRUTURA PRIM HS LV</t>
  </si>
  <si>
    <t>SERV SUBST ESTRUTURA TIPO4 C/CH FUSIV LV</t>
  </si>
  <si>
    <t>SERV TEC INST COBERT REDE FASE LV</t>
  </si>
  <si>
    <t>SERV TEC INST COBERTURA REDE BT FASE LV</t>
  </si>
  <si>
    <t>SERV TEC INST MAO FRANCESA LV</t>
  </si>
  <si>
    <t>SERV TEC LV EMENDAR COND PRIMAR PROTEG</t>
  </si>
  <si>
    <t>SERV TEC LV EMENDAR CONDUTOR PRIMARIO NU</t>
  </si>
  <si>
    <t>SERV TEC LV EMENDAR CONDUTOR SECUNDAR NU</t>
  </si>
  <si>
    <t>SERV TEC LV MONTAR PLATAFORMA</t>
  </si>
  <si>
    <t>SERV TEC LV NIVELAR CRUZ/COLOC BISSETRIZ</t>
  </si>
  <si>
    <t>SERV TEC LV REAP REGULAR CHAVE FUSIVEL</t>
  </si>
  <si>
    <t>SERV TEC LV REAP REGULAR CHAVE SECCION</t>
  </si>
  <si>
    <t>SERV TEC LV REFAZER AMARRACAO DE BT</t>
  </si>
  <si>
    <t>SERV TEC LV REFAZER AMARRACAO DE MT</t>
  </si>
  <si>
    <t>SERV TRANSFORMAR TIPO N1 PARA N2</t>
  </si>
  <si>
    <t>SERVICOS TRANSFORMAR ESTR N1 PARA N4 LV</t>
  </si>
  <si>
    <t>SERVICOS TRANSFORMAR ESTR N2 PARA N1 LV</t>
  </si>
  <si>
    <t>SERVICOS TRANSFORMAR ESTR N4 PARA N1 LV</t>
  </si>
  <si>
    <t>SUBST BARRAMENTO DE PARA-RAIOS</t>
  </si>
  <si>
    <t>SUBST BRACO ANTI-BAL REDE COMPACTA LV</t>
  </si>
  <si>
    <t>SUBST CABO ACO EM ESTAI ANCORA LV</t>
  </si>
  <si>
    <t>SUBST CAPACITOR CELULA 50 100 KVAR LV</t>
  </si>
  <si>
    <t>SUBST CHAVE FUSIV RELIG &lt;34,5KV LV</t>
  </si>
  <si>
    <t>SUBST CHAVE FUSIV UNIP &lt;34,5KV LV</t>
  </si>
  <si>
    <t>SUBST CONECTOR NA REDE MT/BT LV</t>
  </si>
  <si>
    <t>SUBST CRUZ 1 DE 2000-2400MM EST TP 1 LV</t>
  </si>
  <si>
    <t>SUBST CRUZ 2 DE 2000-2400MM EST TP 2 LV</t>
  </si>
  <si>
    <t>SUBST CRUZ 2 DE 2000-2400MM EST TP 3 LV</t>
  </si>
  <si>
    <t>SUBST CRUZ 2 DE 2000-2400MM EST TP 4 LV</t>
  </si>
  <si>
    <t>SUBST CRUZ 2 DE 5000MM EST TP HT/HTE LV</t>
  </si>
  <si>
    <t>SUBST CRUZ DUPLA P BASE EQUIPAM ESPEC LV</t>
  </si>
  <si>
    <t>SUBST CRUZ EST TIPO 2 COM TRANSF LV</t>
  </si>
  <si>
    <t>SUBST CRUZ EST TIPO 4 COM CH SEC FACA LV</t>
  </si>
  <si>
    <t>SUBST CRUZAM AEREO FLY TAP MT JAMP LV</t>
  </si>
  <si>
    <t>SUBST EMENDA DE COND MT NU LV</t>
  </si>
  <si>
    <t>SUBST EMENDA DE COND MT PROTEGIDO LV</t>
  </si>
  <si>
    <t>SUBST ESPACADOR LOSAN RD MT COMP LV</t>
  </si>
  <si>
    <t>SUBST ESTAI CRUZETA LV</t>
  </si>
  <si>
    <t>SUBST ISOLADOR DISCO LV</t>
  </si>
  <si>
    <t>SUBST ISOLADOR PILAR PILAR LV</t>
  </si>
  <si>
    <t>SUBST ISOLADOR PINO FIM REDE LV</t>
  </si>
  <si>
    <t>SUBST ISOLADOR PINO PILAR LV</t>
  </si>
  <si>
    <t>SUBST ISOLADOR PINO TANGENTE LV</t>
  </si>
  <si>
    <t>SUBST MAO FRANCESA LV</t>
  </si>
  <si>
    <t>SUBST PARA-RAIO RD &lt;34,5KV LV</t>
  </si>
  <si>
    <t>SUBST PORTA FUSIVEL LV</t>
  </si>
  <si>
    <t>SUBST TERMINAL CHAVE FACA LV</t>
  </si>
  <si>
    <t>Serviços Emergenciais Linha Viva</t>
  </si>
  <si>
    <t>LOTE ENVIADO</t>
  </si>
  <si>
    <t>DATA ENVIO LOTE</t>
  </si>
  <si>
    <t>Nº CONTRATO</t>
  </si>
  <si>
    <t>DATA EXECUÇÃO</t>
  </si>
  <si>
    <t>IDENTIFICAÇÃO EQUIPAMENTO</t>
  </si>
  <si>
    <t>CODIGO ACIONAMENTO</t>
  </si>
  <si>
    <t>INTERVENÇÃO ACIONAMENTO</t>
  </si>
  <si>
    <t>NOTA DO SGM</t>
  </si>
  <si>
    <t>CÓDIGO EXTERNO</t>
  </si>
  <si>
    <t>OS SECUNDARIA</t>
  </si>
  <si>
    <t>VALOR</t>
  </si>
  <si>
    <t>VALOR FISCAL</t>
  </si>
  <si>
    <t>DIFERENÇA</t>
  </si>
  <si>
    <t>Nº DA OBRA  EMERGENCIAL</t>
  </si>
  <si>
    <t>OBSERVAÇÕES ENERGISA</t>
  </si>
  <si>
    <t>OBSERVAÇÕES DINAMO</t>
  </si>
  <si>
    <t>41378876</t>
  </si>
  <si>
    <t xml:space="preserve">                   Medição do Serviço Executado pela Equipe de Linha Viva - Construção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</si>
  <si>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EQUIPE :</t>
  </si>
  <si>
    <t>KM INICIAL :</t>
  </si>
  <si>
    <t>KM FINAL:</t>
  </si>
  <si>
    <t>KM RODADO:</t>
  </si>
  <si>
    <t>DATA:</t>
  </si>
  <si>
    <t>OBRA:
OS:</t>
  </si>
  <si>
    <t>ENDEREÇO:</t>
  </si>
  <si>
    <t>OS TABLET/EXTERNA:</t>
  </si>
  <si>
    <t>RESPONSAVEIS PELO SERVIÇO:</t>
  </si>
  <si>
    <t>OPERADOR:</t>
  </si>
  <si>
    <t>TIPO DE SERVIÇO:</t>
  </si>
  <si>
    <t>ID:</t>
  </si>
  <si>
    <t>Cód. Acionamento:</t>
  </si>
  <si>
    <t>Intervenção:</t>
  </si>
  <si>
    <t xml:space="preserve">ALIMENTADOR: </t>
  </si>
  <si>
    <t>S/E:</t>
  </si>
  <si>
    <t>CHAVE:</t>
  </si>
  <si>
    <t>PT:</t>
  </si>
  <si>
    <t>Nota SGM:</t>
  </si>
  <si>
    <t>OBSERVAÇÕES:</t>
  </si>
  <si>
    <t>CÓDIGO</t>
  </si>
  <si>
    <t>DESCRIÇÃO MÃO DE OBRA</t>
  </si>
  <si>
    <t>VALOR UNITARIO (R$)</t>
  </si>
  <si>
    <t>Qtotal</t>
  </si>
  <si>
    <t>DESCRIÇÃO DO MATERIAL APLICADO</t>
  </si>
  <si>
    <t>QTDE</t>
  </si>
  <si>
    <t>DESCRIÇÃO DO MATERIAL RETIRADO</t>
  </si>
  <si>
    <t>REUTILIZADO NO SERVIÇO</t>
  </si>
  <si>
    <t>BOM</t>
  </si>
  <si>
    <t>SUCATA</t>
  </si>
  <si>
    <t>DESCARTE</t>
  </si>
  <si>
    <t>REFORMA</t>
  </si>
  <si>
    <t>INST CHAVE FUSIVEL &lt; 34,5 KV LM</t>
  </si>
  <si>
    <t>SUBST CONDUTORES  ISOL BAR TRANSFORMADOR</t>
  </si>
  <si>
    <t>INSTAL ESTR PRIM N3-2/M3-2/N2-3/M2-3  LV</t>
  </si>
  <si>
    <t xml:space="preserve"> INST RELIGADOR TENSAO NA REDE MT LV</t>
  </si>
  <si>
    <t>INSTALACAO ESTRIBO EM REDE EXIST AT  LV</t>
  </si>
  <si>
    <t>DESAT CONECT E/OU TERM &lt; 69 KV LV</t>
  </si>
  <si>
    <t>DESAT CH SECCIONADORA  =&gt;15KV BY PASS LV</t>
  </si>
  <si>
    <t>INST CHAVE FUSIVEL =&gt; 34,5KV LM</t>
  </si>
  <si>
    <t xml:space="preserve"> INST REGULADOR TENSAO NA REDE MT LV</t>
  </si>
  <si>
    <t>cod_grupo</t>
  </si>
  <si>
    <t>descricao</t>
  </si>
  <si>
    <t>cod_mobra</t>
  </si>
  <si>
    <t>instalar</t>
  </si>
  <si>
    <t>retirar</t>
  </si>
  <si>
    <t>instalar_emergencial</t>
  </si>
  <si>
    <t>retirar_emergencial</t>
  </si>
  <si>
    <t>SAP</t>
  </si>
  <si>
    <t>MANUTENÇÃO</t>
  </si>
  <si>
    <t>APOIO A ENG LM</t>
  </si>
  <si>
    <t>ENG LV</t>
  </si>
  <si>
    <t>Gustavo</t>
  </si>
  <si>
    <t>8916858006</t>
  </si>
  <si>
    <t>ENG-LV Nº</t>
  </si>
  <si>
    <t xml:space="preserve"> EMT-RD-ME  6042/2022 </t>
  </si>
  <si>
    <t>SIM</t>
  </si>
  <si>
    <t>ENG LV CBO1</t>
  </si>
  <si>
    <t>E-10</t>
  </si>
  <si>
    <t>CONECTOR CUNHA ALUM CN-04 15,24-17,37/6,55-14,27MM AZL</t>
  </si>
  <si>
    <t>CRUZETA MAD 90X100X1 220MM FUR</t>
  </si>
  <si>
    <t>CONECTOR GRAMPO LINHA VIVA COBRE 2-1/0AWG/ 8-2/0AWG 100A</t>
  </si>
  <si>
    <t>ELO FUSIVEL DISTRIBUICAO TIPO K 25A 500MM BRANCO</t>
  </si>
  <si>
    <t>CONECTOR CUNHA CB-EST ALUM 5,88-8,01MM 2AWG VM</t>
  </si>
  <si>
    <t>C</t>
  </si>
  <si>
    <t>PARAFUSO ROSC TOTAL ACO CARB M16 400MM</t>
  </si>
  <si>
    <t>ABERTURA FAIXA VEGETACAO DENSA C/TRATOR</t>
  </si>
  <si>
    <t>SERV AB/FEC VAL ATER EM TERRA</t>
  </si>
  <si>
    <t>INST PADR ENERG TRIF T5/T6/T7-INDIR LM</t>
  </si>
  <si>
    <t>DESAT EST PRIM CE-1/CE-1A/CE-2 LM</t>
  </si>
  <si>
    <t>INST ESTRIBO REDE BT LM</t>
  </si>
  <si>
    <t>INST ESTR PRIM N3/B3/T3 LM</t>
  </si>
  <si>
    <t>INST ESTR. PRIM N4, M4, B4 CRZ CONC LM</t>
  </si>
  <si>
    <t>INST KIT INST ELET RES INT BAIX RENDA LM</t>
  </si>
  <si>
    <t>INST POSTO TRANSF ESTRUT MT2 LM</t>
  </si>
  <si>
    <t>INST RAMAL SERVICO BIFASICO LM</t>
  </si>
  <si>
    <t>INST RELIG TRIP NA REDE MT LM</t>
  </si>
  <si>
    <t>INST TRANSF DISTRIBUIC AEREO TRIF LM</t>
  </si>
  <si>
    <t>DESAT AFASTADOR 500MM LM</t>
  </si>
  <si>
    <t>DESAT AMARRAÇÃO DE MT / BT NO POSTE LM</t>
  </si>
  <si>
    <t>DESAT CADEIA DE DISCO COMPLETA LM</t>
  </si>
  <si>
    <t>DESAT CH TRIP O RUP AB CARG 13,8&lt;69KV LM</t>
  </si>
  <si>
    <t>DESAT CRUZAMENTO AEREO MT FLY TAP LM</t>
  </si>
  <si>
    <t>DES CRZ DUP BAS EQ ESP CONC LM</t>
  </si>
  <si>
    <t>DESAT ESPAC RD BT LM</t>
  </si>
  <si>
    <t>DESAT ESTRUTURA PRIM CE3 LM</t>
  </si>
  <si>
    <t>DESAT IP CJ ILUM PST ORNAM</t>
  </si>
  <si>
    <t>DESAT POSTE ATE 13 &lt;69KV GUIND LM</t>
  </si>
  <si>
    <t>ELAB PLANO CONTR AMB C/DES LM</t>
  </si>
  <si>
    <t>INST CAIXA MED CPREDE 1 MEDID ELETROM LM</t>
  </si>
  <si>
    <t>INST ESPAC REDE BT TUBO DE PVC LM</t>
  </si>
  <si>
    <t>INST ISOLADOR DISCO LM</t>
  </si>
  <si>
    <t>INST CABO AL NU &gt;2/0CA/CAAAWG LM</t>
  </si>
  <si>
    <t>INST BANCO CAPACITOR 300KVAR LM</t>
  </si>
  <si>
    <t>INST CAPACITOR DE MT MONOPOLAR LM</t>
  </si>
  <si>
    <t>INST EMENDA COND PRIM/SEC NU LM</t>
  </si>
  <si>
    <t>NIVELAR COND AT P/FASE LM</t>
  </si>
  <si>
    <t>NIVELAR COND BT P/FASE LM</t>
  </si>
  <si>
    <t>NIVELAR CRUZETA LM</t>
  </si>
  <si>
    <t>OPER CHAVE FUS AB E FC EMERG LM</t>
  </si>
  <si>
    <t>PODAR ARV GRANDE LM</t>
  </si>
  <si>
    <t>REAP CONEXOES SECUNDARIAS LM</t>
  </si>
  <si>
    <t>REINST CH MONO FACA LM</t>
  </si>
  <si>
    <t>REINST ESP LO / VERT CB 35 A 185 LM</t>
  </si>
  <si>
    <t>REINST REGULADOR TENSAO MONOPOLAR LM</t>
  </si>
  <si>
    <t>REMAN BANCO CAPACITOR 300 KVAR LM</t>
  </si>
  <si>
    <t>REMAN CADEIA ISOLADOR DISCO REDE LM</t>
  </si>
  <si>
    <t>RET DESMANTELAR ATER LM</t>
  </si>
  <si>
    <t>RET RAMAL ENTR C ELETROD CAIXA CP REDE</t>
  </si>
  <si>
    <t>SUBST PARA-RAIO &lt; 34,5 kV LM</t>
  </si>
  <si>
    <t>SUBST PINO PARA ISOLADOR LM</t>
  </si>
  <si>
    <t>Alteração de US - Item a ser utilizado para pagamento da diferença na medição de mão de obra quando houver ajuste no valor da US.</t>
  </si>
  <si>
    <t>VISITA IMPRODUTIVA - SEM ATUAÇÃO</t>
  </si>
  <si>
    <t>EMEND COND PRIM PROTEG LM</t>
  </si>
  <si>
    <t>INST SAPATA PANTANO COM TAMBOR</t>
  </si>
  <si>
    <t>REINST ESTRUTURA PRIM N1/M1/B1 CONC LM</t>
  </si>
  <si>
    <t>REINST ESTRUTURA PRIM N4/M4/B4 LM</t>
  </si>
  <si>
    <t>REINST ESTR PRIM TIPO P1, PT1 OU PTA1 LM</t>
  </si>
  <si>
    <t>REINST RAMAL SERVICO CONSUM TRIFASICO LM</t>
  </si>
  <si>
    <t>DESAT EST PRI N4/N4E/M4/B4/B4E C/CHAV LM</t>
  </si>
  <si>
    <t>INST ESTAI ANCORA EQUIP S/EXPLOSIVO LM</t>
  </si>
  <si>
    <t>INST ESTAI CRUZETA LM</t>
  </si>
  <si>
    <t>INST ESTRIBO REDE MT LM</t>
  </si>
  <si>
    <t>INST ESTR PRIM CE1-C LM</t>
  </si>
  <si>
    <t>INST ESTR PRIM CE-CF LM</t>
  </si>
  <si>
    <t>INST ESTR PRIM DN2 LM</t>
  </si>
  <si>
    <t>INST ESTR PRIM DN4-SEM CHAVE LM</t>
  </si>
  <si>
    <t>INST ESTRUTURA PRIM HS LM</t>
  </si>
  <si>
    <t>INST ESTRUTURA PRIM N2/M2/B2/B2-E LM</t>
  </si>
  <si>
    <t>INST ESTR PRIM P3 LM</t>
  </si>
  <si>
    <t>INST ESTR PRIM CE3/CE4 LM</t>
  </si>
  <si>
    <t>INST LACRE MED E/OU CX MED LM</t>
  </si>
  <si>
    <t>EFET LEVANTAM GEOREF RDR LM</t>
  </si>
  <si>
    <t>DESAT EST PRIM N3-CE LM</t>
  </si>
  <si>
    <t>DESAT CABO AL NU &gt; 2/0AWG LM</t>
  </si>
  <si>
    <t>DESAT CHAVE FUSIVEL 3 OP &lt; 34,5 KV</t>
  </si>
  <si>
    <t>DESAT CHAVE FUSIVEL 3 OP =&gt; 34,5 KV</t>
  </si>
  <si>
    <t>DESAT CRUZETA DUPLA LM</t>
  </si>
  <si>
    <t>DESAT EST PRIM P4 LM</t>
  </si>
  <si>
    <t>DESAT EST SEC EM REDE MULTIPLEXADA LM</t>
  </si>
  <si>
    <t>DESAT ISOLADOR PILAR LM</t>
  </si>
  <si>
    <t>DESAT REGUL NA REDE MT LM</t>
  </si>
  <si>
    <t>INSPEC ESTR RDU P/MANUT PREV LM</t>
  </si>
  <si>
    <t>INST CABO ALUM NU  =&lt; 2/0AWG LM</t>
  </si>
  <si>
    <t>INST ESTR PRIM CE1-A LM</t>
  </si>
  <si>
    <t>INST PLACA ALUS LM</t>
  </si>
  <si>
    <t>INST SUP P/TRANSF &lt;69KV LM</t>
  </si>
  <si>
    <t>INST CB AL MULTIPLEX TODOS LM</t>
  </si>
  <si>
    <t>INST BANCO CAPACITOR 900KVAR LM</t>
  </si>
  <si>
    <t>INST ESPACADOR REDE BT LM</t>
  </si>
  <si>
    <t>LIMP FAIXA SERVIDAO MECANIZADA</t>
  </si>
  <si>
    <t>OPER CHAVE FACA AB E FC EMERG LM</t>
  </si>
  <si>
    <t>REFAZ AMARR BT LM</t>
  </si>
  <si>
    <t>REINST CH MONO FUSIVEL 3 OPERACOES LM</t>
  </si>
  <si>
    <t>REINST SERV TEC ESPACADOR BT LM</t>
  </si>
  <si>
    <t>REINST CADEIA DISCO COMPLETA LM</t>
  </si>
  <si>
    <t>REINST CONDUTOR ALUM PROT &gt; 95 MM² LM</t>
  </si>
  <si>
    <t>REINST ESTR. PRIM N3, M3, B3 CRZ CONC LM</t>
  </si>
  <si>
    <t>RET OBJ ESTRANHO REDE LM</t>
  </si>
  <si>
    <t>SERV INSPECAO EM REDE RURAL LM</t>
  </si>
  <si>
    <t>SERV OFIC DESAT ESTAI POSTE-ESTRUT LM</t>
  </si>
  <si>
    <t>SERV OFIC INST CRUZETA LM</t>
  </si>
  <si>
    <t>EST ILUM SUBST LUMIN FECHADA LM</t>
  </si>
  <si>
    <t>INST CHAVE FUSIVEL &gt;= 34,5KV LV</t>
  </si>
  <si>
    <t xml:space="preserve">HORA DO COLABORADOR EM DISPONIBILIDADE PARA OUTRA REGIONAL - LV_x000D_
</t>
  </si>
  <si>
    <t>INST SERV TEC COM BALANC CARGA REDE BT</t>
  </si>
  <si>
    <t>DESAT CABO AL NU CA/CAA &gt;2/0AWG LM</t>
  </si>
  <si>
    <t>DESAT CH SECCIONADORA  =&gt;15KV BY PASS LM</t>
  </si>
  <si>
    <t>INST ESTR PRIM P1,PT1,PTA1 LM</t>
  </si>
  <si>
    <t>INST ESTR PRIM P2,PT2 LM</t>
  </si>
  <si>
    <t>DESAT BANCO CAPACITOR 300KVAR LM</t>
  </si>
  <si>
    <t>DESAT CABO AL NU  =&lt;2/0AWG LM</t>
  </si>
  <si>
    <t>DESAT CX MED CP-REDE CONEX RAMAI UC LM</t>
  </si>
  <si>
    <t>DESAT CX MED CP-REDE P/1 MEDIDOR LM</t>
  </si>
  <si>
    <t>DESAT CONECTOR NA REDE MT/BT LM</t>
  </si>
  <si>
    <t>DESAT ESTRUTURA PRIM CE2 LM</t>
  </si>
  <si>
    <t>DESAT ESTR. PRIM N3, M3, B3 CRZ CONC LM</t>
  </si>
  <si>
    <t>DESAT EST PRIM P3 LM</t>
  </si>
  <si>
    <t>DESAT EST PRIM TE LM</t>
  </si>
  <si>
    <t>DESAT EST SEC EM REDE CONVENCIONAL LM</t>
  </si>
  <si>
    <t>DESAT RELIGADOR NA REDE MT LM</t>
  </si>
  <si>
    <t>SERV TEC LM DIST PST OBRA LM (URBANO)</t>
  </si>
  <si>
    <t>ELAB PLANO CONTR AMB S/DES LM</t>
  </si>
  <si>
    <t>INSPEC ESTR RDR P/MANUT PREV LM</t>
  </si>
  <si>
    <t>INST SEPARADOR VERTICAL 50/185MM² LM</t>
  </si>
  <si>
    <t>INST CB AL PROTEG =&lt;95MM² LM</t>
  </si>
  <si>
    <t>INST CB AL PROTEG &gt;95MM² LM</t>
  </si>
  <si>
    <t>INST CONEC RD SEC LM</t>
  </si>
  <si>
    <t>INST EMENDA COND C/LUVA PREF LM</t>
  </si>
  <si>
    <t>REAP PARAFUSO ESTRUT PRIM LM</t>
  </si>
  <si>
    <t>REEMB ATEST ALINH POR PST LM</t>
  </si>
  <si>
    <t>REINST CH MONO FUSIVEL LM</t>
  </si>
  <si>
    <t>REINST CH TRIP OMNI RUPTER ABER CARGA LM</t>
  </si>
  <si>
    <t>REINST CONDUT ALUMIN ACIMA DE 2/0 AWG LM</t>
  </si>
  <si>
    <t>REINST ESTR. PRIM –  T4 E TE CRZ CONC LM</t>
  </si>
  <si>
    <t>REINST ESTRUTURA PRIMARIA MRT U3,U4 LM</t>
  </si>
  <si>
    <t>REINST ESTRUTURA PRIMARIA TIPO P4 LM</t>
  </si>
  <si>
    <t>REMAN BANCO CAPACITOR 900 KVAR LM</t>
  </si>
  <si>
    <t>REMAN TRANSF TRIF LM</t>
  </si>
  <si>
    <t>SIST ILUM SUBST REATOR EXTERNO LM</t>
  </si>
  <si>
    <t>SERV TRANSFORMAR TIPO N4 PARA N1</t>
  </si>
  <si>
    <t>INST CHAVE FUSIVEL 3 OP =&gt; 34,5 KV - LV</t>
  </si>
  <si>
    <t>SERV. EMERG. FORA DO HORARIO COMERCIAL-ADICIONAL 30%</t>
  </si>
  <si>
    <t>ABERTURA FAIXA COM PLANTACAO GRAMINEAS</t>
  </si>
  <si>
    <t>ABRIR CAVA ROCHA SEM USO EXPLOSIVO LM</t>
  </si>
  <si>
    <t>SERV OFIC APRUMAR PST LM</t>
  </si>
  <si>
    <t>DESAT JUMPER NA REDE MT/BT LM</t>
  </si>
  <si>
    <t>REINST ESTRUTURA PRIM CE3 LM</t>
  </si>
  <si>
    <t>CONST CXS PASS LM</t>
  </si>
  <si>
    <t>DESAT EST PRIM CE3/CE4 LM</t>
  </si>
  <si>
    <t>DESAT EST PRIM N3-1/M3-1/B3-1 LM</t>
  </si>
  <si>
    <t>INST ESTR PRIM CEE-CS LM</t>
  </si>
  <si>
    <t>INST ESTRUTURA PRIM N1/M1/B1 LM</t>
  </si>
  <si>
    <t>INST N1, M1, B1 CRZ DE CONC LM</t>
  </si>
  <si>
    <t>INST N2-3 / M2-3 CRZ DE CONC LM</t>
  </si>
  <si>
    <t>INST POSTE ATE 13M &lt;69KV MANUAL LM</t>
  </si>
  <si>
    <t>INST REGULADOR TENSAO NA REDE MT LM</t>
  </si>
  <si>
    <t>LANCAR COND ELETR SUBTER LM</t>
  </si>
  <si>
    <t>DESAT BANCO CAPACITOR 900KVAR LM</t>
  </si>
  <si>
    <t>DESAT CABO AL CA PROTEGIDO &gt; 95MM2 LM</t>
  </si>
  <si>
    <t>DESAT CB AL MULT TODOS LM</t>
  </si>
  <si>
    <t>DESAT CX MED CP-REDE P/ 3 OU 4 MEDID LM</t>
  </si>
  <si>
    <t>DESAT CHAVE FUSIVEL &lt; 34,5 KV LM</t>
  </si>
  <si>
    <t>DESAT ESTRUTURA PRIM CE4 LM</t>
  </si>
  <si>
    <t>DESAT EST PRIM N3/B3/T3 LM</t>
  </si>
  <si>
    <t>DESAT PADRAO CONCR M1/T1 COM ATERRAM LM</t>
  </si>
  <si>
    <t>DISP H-MAQ P/EXEC SERV LM</t>
  </si>
  <si>
    <t>EFET LOCACAO PST AREA URBANA LM</t>
  </si>
  <si>
    <t>INSPEC POST TRAN RUR LM</t>
  </si>
  <si>
    <t>INST CB MENSAG REDE PROTEG CORDO9,5MM LM</t>
  </si>
  <si>
    <t>INST ISOLADOR PINO FIM DE REDE LM</t>
  </si>
  <si>
    <t>INST AFAST RD SEC 500MM LM</t>
  </si>
  <si>
    <t>INST BANCO CAPACITOR 600KVAR LM</t>
  </si>
  <si>
    <t>INST CINTA CX CP REDE PST LM</t>
  </si>
  <si>
    <t>INST CONEC RD PRIM LM</t>
  </si>
  <si>
    <t>INST CRZ DUP BAS DE EQ ESP MAD OU FIB LM</t>
  </si>
  <si>
    <t>LIMP FAIXA VEGETACAO DENSA</t>
  </si>
  <si>
    <t>REINST COND AL SECUND MULTIPLEX TODOS LM</t>
  </si>
  <si>
    <t>REINST ESTAI CON-PST/CRUZ-PST/PST-PST LM</t>
  </si>
  <si>
    <t>REINST RAMAL SERVICO CONSUM MONOF LM</t>
  </si>
  <si>
    <t>REMAN PST C/USO GUIND LM</t>
  </si>
  <si>
    <t>ESTRUT ILUM REMANEJAR LUMIN SIMPLES LM</t>
  </si>
  <si>
    <t>REMAN REG TENS MONO LM</t>
  </si>
  <si>
    <t>REMAN RELIG LM</t>
  </si>
  <si>
    <t>REPAR COND C/PREFORM LM</t>
  </si>
  <si>
    <t>REPOSIC CRUZ N1/N2 OU B1/B2 LM</t>
  </si>
  <si>
    <t>RET CASA JOAO BARRO LM</t>
  </si>
  <si>
    <t>SERC OFIC SUBS CABO ACO EM ESTAI LM</t>
  </si>
  <si>
    <t>SIST ILUM SUBST RELE FOTOELETRICO LM</t>
  </si>
  <si>
    <t>SERV TRANSFORMAR TIPO N2 PARA N1</t>
  </si>
  <si>
    <t>TRAT HST ATERR TR QU LABORGEL/SIMILAR LM</t>
  </si>
  <si>
    <t xml:space="preserve">DIÁRIA HOSPEDAGEM ALIMENTAÇÃO FORA DA REGIONAL (POR COLABORADOR) - LV_x000D_
</t>
  </si>
  <si>
    <t xml:space="preserve">HORA DO COLABORADOR EM DISPONIBILIDADE PARA OUTRA REGIONAL - LM_x000D_
</t>
  </si>
  <si>
    <t xml:space="preserve">KM RODADO EM DESLOCAMENTO PARA OUTRA REGIONAL (POR COLABORADOR) - LV_x000D_
</t>
  </si>
  <si>
    <t>ABRIR CAVA ROCHA USO EXPLOS EQUIP LM</t>
  </si>
  <si>
    <t>ABERT DE FAIXA CERRADO/MATA LM</t>
  </si>
  <si>
    <t>REINST TRANSF DIST AEREO MONOFASICO LM</t>
  </si>
  <si>
    <t>CONFECC BASE CONC SIMPLES</t>
  </si>
  <si>
    <t>DESAT CONECTOR NA BT LM</t>
  </si>
  <si>
    <t>INST ESTR PRIM CE1/CE1-A/CE2 LM</t>
  </si>
  <si>
    <t>INST ESTR. PRIM N3, M3, B3 CRZ CONC LM</t>
  </si>
  <si>
    <t>INST ESTR PRIM P4 LM</t>
  </si>
  <si>
    <t>INST ESTR. PRIM –  TE E T4 CRZ CONC LM</t>
  </si>
  <si>
    <t>INST ESTR PRIM U3-2/U2-3 LM</t>
  </si>
  <si>
    <t>INST ISOLADOR CADEIA LM</t>
  </si>
  <si>
    <t>INST MED PADRAO AREA RUR ELETROMECANICO</t>
  </si>
  <si>
    <t>INS RAMAL ENTR C/ELETR CX CP RD LM</t>
  </si>
  <si>
    <t>INST ELETRODUTO REDE SUBTERRANEA TODOS</t>
  </si>
  <si>
    <t>DESAT CX CP-TRAFO LM</t>
  </si>
  <si>
    <t>DESAT EST  N4, M4, B4 CRZ CONC LM</t>
  </si>
  <si>
    <t>DESAT EST PRIM N4/B4/T4 LM</t>
  </si>
  <si>
    <t>DESAT EST PRIM U1/U2 LM</t>
  </si>
  <si>
    <t>DESAT MAO FRANC LM</t>
  </si>
  <si>
    <t>DESAT N1, M1, B1 CRZ DE CONC LM</t>
  </si>
  <si>
    <t>DESAT POSTE ACIMA 13 LM</t>
  </si>
  <si>
    <t>DESAT RAMAL SERVICO BIFASICO LM</t>
  </si>
  <si>
    <t>DESAT TRANSF DIST AEREO MONOFASICO LM</t>
  </si>
  <si>
    <t>EMEND CABO MULTIP LM</t>
  </si>
  <si>
    <t>INST CABO ALUM NU &gt; 2/0 LM</t>
  </si>
  <si>
    <t>INST ESTRUT PRIM N23/M23/B23 LM</t>
  </si>
  <si>
    <t>INST CAIXA MED CP TRAFO ELETROM LM</t>
  </si>
  <si>
    <t>LIMP FAIXA CERRADO E CAPOEIRA</t>
  </si>
  <si>
    <t>MUDAR TAP TRANSF LM</t>
  </si>
  <si>
    <t>OPER RELIG/DISJ AB E FC LM</t>
  </si>
  <si>
    <t>REAP E REG CHAVE FUS LM</t>
  </si>
  <si>
    <t>EFET RECUPER CX CP REDE LM</t>
  </si>
  <si>
    <t>REINST AFASTADOR 500MM LM</t>
  </si>
  <si>
    <t>REINST CRUZAMENTO AEREO FLY TAP MT LM</t>
  </si>
  <si>
    <t>REINST ESTRUTURA PRIMARIA MRT U1,U2 LM</t>
  </si>
  <si>
    <t>REINST ESTRUTURA PRIM T4/TE/T4-T LM</t>
  </si>
  <si>
    <t>REINS N2, M2, B2 CRZ DE CONC LM</t>
  </si>
  <si>
    <t>REINST RAMAL SERVICO CONSUM BIFASICO LM</t>
  </si>
  <si>
    <t>REINST  RELIG NA REDE MT LM</t>
  </si>
  <si>
    <t>REMAN BANCO CAPACITOR 600 KVAR LM</t>
  </si>
  <si>
    <t>EFET REP CALC COM COM FORNEC MAT LM</t>
  </si>
  <si>
    <t>EFET REP CALC ESPEC COM FORN MAT LM</t>
  </si>
  <si>
    <t>SERV OFIC RETENS ESTAI POSTE-ESTRUT LM</t>
  </si>
  <si>
    <t>VISIT PREV CANT OBRA EXTE MENO OU=0,5KM</t>
  </si>
  <si>
    <t>INST CHAVE FUSIVEL 3 OP &lt; 34,5 KV - LV</t>
  </si>
  <si>
    <t>DIÁRIA HOSPEDAGEM ALIMENTAÇÃO FORA DA REGIONAL (POR COLABORADOR) - LM - UN</t>
  </si>
  <si>
    <t>ARRASTAR PST LOC DIS A PT INS LM</t>
  </si>
  <si>
    <t>SERV TEC DE LM ATERRAR CERCA LM</t>
  </si>
  <si>
    <t>CONFECC BASE CONC TOTAL / SOLO CIMENTO</t>
  </si>
  <si>
    <t>DESAT MED EM CAIXA CP-REDE TRIFASICO LM</t>
  </si>
  <si>
    <t>EFET LOCACAO PST AREA RUR LM</t>
  </si>
  <si>
    <t>EFET MED INSTANT TRANSFORM LM</t>
  </si>
  <si>
    <t>INSPEC LDR P/LOCALIZ DEF LM</t>
  </si>
  <si>
    <t>INST EST SEC EM REDE CONVENCIONAL LM</t>
  </si>
  <si>
    <t>INST ISOLADOR PILAR LM</t>
  </si>
  <si>
    <t>REINST  N4, M4, B4 CRZ CONC LM</t>
  </si>
  <si>
    <t>INST ESTR PRIM N3-2/M3-2/N2-3/M2-3 LM</t>
  </si>
  <si>
    <t>INST ESTR PRIM N4/B4/T4 LM</t>
  </si>
  <si>
    <t>INST ESTR PRIM U1/U2 LM</t>
  </si>
  <si>
    <t>INST PADR ENERG BIFASICO LM</t>
  </si>
  <si>
    <t>INST PARA-RAIOS RD =&gt; 34,5 KV LM</t>
  </si>
  <si>
    <t>INST SAPATA PANTANO COM MANILHA</t>
  </si>
  <si>
    <t>INST TRANSF DISTRIBUIC AEREO MONO LM</t>
  </si>
  <si>
    <t>LIMP FAIXA CAMPO-10M LARGURA</t>
  </si>
  <si>
    <t>DESAT ISOLADOR CADEIA LM</t>
  </si>
  <si>
    <t>DESAT ISOLADOR PINO TANGENTE LM</t>
  </si>
  <si>
    <t>DESAT CRUZAMENTO AEREO BT FLY TAP LM</t>
  </si>
  <si>
    <t>DESAT ESTRIBO EM REDE EXISTENTE LM</t>
  </si>
  <si>
    <t>DESAT EST PRIM P1,PT1,PTA1 LM</t>
  </si>
  <si>
    <t>DESAT EST PRIM U3/U4 LM</t>
  </si>
  <si>
    <t>EFET LIG RUR FORA REDE REGIONAL ELETROM</t>
  </si>
  <si>
    <t>EFET MANOBRA CHAV FACA AB/FEC LM</t>
  </si>
  <si>
    <t>EFET MAN CX CP REDE LM</t>
  </si>
  <si>
    <t>EFETUAR MEDICAO ATERR TRANSFORMADOR</t>
  </si>
  <si>
    <t>INSPEC RDU P/LOCALIZ DEF LM</t>
  </si>
  <si>
    <t>INST AMARRACAO MT/BT LM</t>
  </si>
  <si>
    <t>SERV OFIC INST CABO MENS CORD ACO LM</t>
  </si>
  <si>
    <t>NIVELAR COND TODAS FASES LM</t>
  </si>
  <si>
    <t>NIVELAR COND RAMAL SERV LM</t>
  </si>
  <si>
    <t>SERV OFIC PODAR ARVORE RURAL LM</t>
  </si>
  <si>
    <t>SERVIÇO EXCLUSIVO DE PODA DE ARVORE URB/RUR  C/RECOLHA</t>
  </si>
  <si>
    <t>REAP CONEXOES PRIMARIAS LM</t>
  </si>
  <si>
    <t>REINST PARA-RAIO RD &gt; = 34,5KV LM</t>
  </si>
  <si>
    <t>REINST CRUZAMENTO AEREO FLY TAP BT LM</t>
  </si>
  <si>
    <t>REINST ESTRUTURA PRIM CE4 LM</t>
  </si>
  <si>
    <t>REINST ESTRUTURA PRIM N2/M2/B2/B2-E LM</t>
  </si>
  <si>
    <t>REINST ESTRUTURA PRIMARIA TIPO P3 LM</t>
  </si>
  <si>
    <t>REMAN TRANSF MON LM</t>
  </si>
  <si>
    <t>REPOSIC CRUZ N3,N4 OU B3,B4,T3/T4 LM</t>
  </si>
  <si>
    <t>Transporte de postes com carreta por KM</t>
  </si>
  <si>
    <t>SERV. EMERG. HORARIO COMERCIAL - ADICIONAL 12%</t>
  </si>
  <si>
    <t>ABRIR CAVA EM TERRA NORMAL</t>
  </si>
  <si>
    <t>ABER-FECH VALETA RECOM PISO CALCADA LM</t>
  </si>
  <si>
    <t>DESAT PARA-RAIOS RD &lt; 34,5 KV LM</t>
  </si>
  <si>
    <t>INST CAIXA MED CP-REDE CONEX/RAMAIS LM</t>
  </si>
  <si>
    <t>REINST ESTRUTURA PRIM HT/HTE LM</t>
  </si>
  <si>
    <t>REINST POSTE DE 8,5 ATE 13M LM</t>
  </si>
  <si>
    <t>INST ESCORA SUBSOLO PST A IMPLANT-02 ESC</t>
  </si>
  <si>
    <t>INST ESTR PRIM CE-CS LM</t>
  </si>
  <si>
    <t>INST ESTR PRIM DN1 LM</t>
  </si>
  <si>
    <t>INST ESTR PRIM HT LM</t>
  </si>
  <si>
    <t>INST ESTR PRIM U3/U4 LM</t>
  </si>
  <si>
    <t>INST EST SEC EM REDE MULTIPLEXADA LM</t>
  </si>
  <si>
    <t>INST GRAMPO LINHA VIVA COM JUMPER LM</t>
  </si>
  <si>
    <t>INST JUMPER NA REDE MT/BT LM</t>
  </si>
  <si>
    <t>INST MAO FRANC LM</t>
  </si>
  <si>
    <t>INST MED MEDIA TENSAO CONJ TCS E TPS</t>
  </si>
  <si>
    <t>INST MED EM CAIXA CP-TRAFO LM</t>
  </si>
  <si>
    <t>INST PADR ENERG TRIFASICO LM</t>
  </si>
  <si>
    <t>INST POSTE ACIMA 13M LM</t>
  </si>
  <si>
    <t>INST POSTO TRANSF ESTRUT MT1 LM</t>
  </si>
  <si>
    <t>DESAT EST PRIM N3-2/M3-2/N2-3/M2-3 LM</t>
  </si>
  <si>
    <t>DESAT BANCO CAPACITOR 600KVAR LM</t>
  </si>
  <si>
    <t>DESAT CAPACITOR CELULA 50/100KVAR LM</t>
  </si>
  <si>
    <t>DESATIVAR CHAVE SECC FACA =&gt; 15 KV LM</t>
  </si>
  <si>
    <t>DESAT CHAVE FUSIVEL =&gt; 34,5 KV LM</t>
  </si>
  <si>
    <t>DESAT ESTR. PRIM –  TE E T4 CRZ CONC LM</t>
  </si>
  <si>
    <t>DESAT ESTRUTURA PRIM N1/M1/B1 LM</t>
  </si>
  <si>
    <t>DESAT EST PRIM P2,PT2 LM</t>
  </si>
  <si>
    <t>EST ILUM DESAT LUMIN SIMPLES LM</t>
  </si>
  <si>
    <t>DESAT N2, M2, B2 CRZ DE CONC LM</t>
  </si>
  <si>
    <t>DISTR PST RUR LM</t>
  </si>
  <si>
    <t>EFET MANOBRA CHAV FUS AB/FEC LM</t>
  </si>
  <si>
    <t>EMEND CABO MENS REDE COMPACTA LM</t>
  </si>
  <si>
    <t>SERV PROJ INSPECIONAR REDE RURAL KM</t>
  </si>
  <si>
    <t>INST COBERTURA REDE MT/FASE LM</t>
  </si>
  <si>
    <t>INST ESTR PRIM CE2 LM</t>
  </si>
  <si>
    <t>INST ATER POR HASTE LM</t>
  </si>
  <si>
    <t>INST CRUZAMENTO AEREO MT FLY TAP  LM</t>
  </si>
  <si>
    <t>INST ESCORA SUBSOLO PST EXISTENTE-02 ESC</t>
  </si>
  <si>
    <t>INST ESPACADOR LOSANG 35A185MM² LM</t>
  </si>
  <si>
    <t>CODIF EQUIP DISTRIBUICAO LM</t>
  </si>
  <si>
    <t>PINTAR Nº PATR EQU INST LM</t>
  </si>
  <si>
    <t>REFAZ AMARR MT LM</t>
  </si>
  <si>
    <t>REINST ESTAI CRUZETA A CRUZETA LM</t>
  </si>
  <si>
    <t>REINST TRANSF DIST TRIFASICO LM</t>
  </si>
  <si>
    <t>REMAN PST MANUAL LM</t>
  </si>
  <si>
    <t>RET ESTAI DE QUALQUER TIPO CORD LM</t>
  </si>
  <si>
    <t>SUBST MAO FRANCESA LM</t>
  </si>
  <si>
    <t>VER SEQU FASE LM</t>
  </si>
  <si>
    <t>INST CHAVE FUSIVEL &lt; 34,5KV LV</t>
  </si>
  <si>
    <t xml:space="preserve">CAVALO MECÂNICO COM CARRETA 2 EIXOS CAPACIDADE DE 24 TON_x000D_
</t>
  </si>
  <si>
    <t>KM RODADO EM DESLOCAMENTO PARA OUTRA REGIONAL (POR COLABORADOR) - LM - KM</t>
  </si>
  <si>
    <t>DESAT RAMAL SERVICO TRIFASICO LM</t>
  </si>
  <si>
    <t>EST  ILUM INST LUMIN SIMPLES LM</t>
  </si>
  <si>
    <t>INST N2, M2, B2 CRZ DE CONC LM</t>
  </si>
  <si>
    <t>INST POSTE ATE 13M &lt;69KV GUIN LM</t>
  </si>
  <si>
    <t>INST RAMAL SERVICO MONOFASICO LM</t>
  </si>
  <si>
    <t>REINST ESTRUTURA SECUNDARIA CONVENCIONAL</t>
  </si>
  <si>
    <t>DESAT EST PRIM N3/N3-E/M3/B3/B3-E LM</t>
  </si>
  <si>
    <t>INST ESTAI ANCORA CAVA SIMPLES LM</t>
  </si>
  <si>
    <t>INST ESTR PRIM DN3 LM</t>
  </si>
  <si>
    <t>INST ESTR PRIM N3-N3/M3-M3 LM</t>
  </si>
  <si>
    <t>INST ESTR PRIM N4/N4E/M4/B4/B4E C/CH LM</t>
  </si>
  <si>
    <t>INST ISOLADOR PINO LM</t>
  </si>
  <si>
    <t>INST PADR ENERG MONOFASICO LM</t>
  </si>
  <si>
    <t>INST PARA-RAIOS RD &lt; 34,5 KV LM</t>
  </si>
  <si>
    <t>FORN/INST PLACA DE OBRA</t>
  </si>
  <si>
    <t>INST RAMAL SERVICO TRIFASICO LM</t>
  </si>
  <si>
    <t>INST SAPATA PANTANO COM TORA</t>
  </si>
  <si>
    <t>DESAT EST PRIM N3-N3/M3-M3 LM</t>
  </si>
  <si>
    <t>DESAT ISOLADOR PINO FIM DE REDE LM</t>
  </si>
  <si>
    <t>DESAT CABO AL CA PROTEGIDO  =&lt;95MM2 LM</t>
  </si>
  <si>
    <t>DESAT CX MED CP-REDE P/6 OU 8 MEDID LM</t>
  </si>
  <si>
    <t>DESAT CRUZETA SIMPLES LM</t>
  </si>
  <si>
    <t>DESAT ESPAC LOSANG 35A185MM² LM</t>
  </si>
  <si>
    <t>DESAT ESPAC VERTL REDE MT COMP LM</t>
  </si>
  <si>
    <t>DESAT ESTAI ANCORA CHUMBADO ROCHA LM</t>
  </si>
  <si>
    <t>DESAT ESTRUTURA PRIM CE1/CE1-A LM</t>
  </si>
  <si>
    <t>DESAT EST PRIM HT LM</t>
  </si>
  <si>
    <t>DESAT ESTRUTURA PRIM N2/M2/B2/B2-E LM</t>
  </si>
  <si>
    <t>DESAT ISOLADOR PINO LM</t>
  </si>
  <si>
    <t>DESAT MED EM CAIXA CP-REDE BIFASICO LM</t>
  </si>
  <si>
    <t>DESAT MED EM CAIXA CP-REDE MONOFAS LM</t>
  </si>
  <si>
    <t>DESAT MED EM CAIXA CP-TRAFO LM</t>
  </si>
  <si>
    <t>DESAT POSTE ATE 13 &lt;69KV MANUAL LM</t>
  </si>
  <si>
    <t>DESAT RAMAL SERVICO MONOFASICO LM</t>
  </si>
  <si>
    <t>DESAT TRANSF DISTRIBUIC AEREO 3F LM</t>
  </si>
  <si>
    <t>INST ESTR PRIM CE3 LM</t>
  </si>
  <si>
    <t>INST ISOLADOR PINO TANGENTE LM</t>
  </si>
  <si>
    <t>INST PARA-RAIOS RD &lt;34,5 KV LM</t>
  </si>
  <si>
    <t>INST CABO AL NU  =&lt;2/0CA/CAAAWG LM</t>
  </si>
  <si>
    <t>INST CRUZAMENTO AEREO BT FLY TAP LM</t>
  </si>
  <si>
    <t>INST CRZ DUP BAS EQ ESP CONC LM</t>
  </si>
  <si>
    <t>PINT NUM PST C/FORNEC MAT LM</t>
  </si>
  <si>
    <t>SERVIÇO EXCLUSIVO DE PODA DE ARVORE URB/RUR  S/RECOLHA</t>
  </si>
  <si>
    <t>REEMB ATEST ALINH POR RUA LM</t>
  </si>
  <si>
    <t>REINST PARA-RAIO RD &lt; 34,5KV LM</t>
  </si>
  <si>
    <t>REINST CONDUT AL ATE 2/0 AWG INCLUS LM</t>
  </si>
  <si>
    <t>REINST CONDUTOR ALUM PROT =&lt; 95 MM² LM</t>
  </si>
  <si>
    <t>REINST ESTRUTURA PRIM CE1/CE1-A LM</t>
  </si>
  <si>
    <t>REINST ESTRUTURA PRIM CE2 LM</t>
  </si>
  <si>
    <t>REINST ISOLADOR DE PINO LM</t>
  </si>
  <si>
    <t>REINST POSTE ACIMA DE 13M LM</t>
  </si>
  <si>
    <t>RET. COND ISOL. DE BAR. DE TRANSF. LM</t>
  </si>
  <si>
    <t>SECCIONAR CERCA POR FIO LM</t>
  </si>
  <si>
    <t>SUBST ELO FUSIVEL LM</t>
  </si>
  <si>
    <t>SUBST PORTA FUSIVEL ELO FUSIVEL LM</t>
  </si>
  <si>
    <t>SERV TRANSFORMAR TIPO N1 PARA N4</t>
  </si>
  <si>
    <t>Transporte de postes com caminhão Toco/truck por KM</t>
  </si>
  <si>
    <t>VISIT PREV CANT OBRA EXTE MAIO QUE 0,5KM</t>
  </si>
  <si>
    <t>INST CH SECC S/LAM TER MONO MAN &lt;69KV - LV</t>
  </si>
  <si>
    <t>SERV TRANSFORMAR TIPO N1 PARA N2 - LV</t>
  </si>
  <si>
    <t>EMERGENCIAL</t>
  </si>
  <si>
    <t>CONECTOR CUNHA ALUM CN-03 15,24-17,37/8,23-15,24MM AZL</t>
  </si>
  <si>
    <t>PÇ</t>
  </si>
  <si>
    <t>ISOLADOR DE DISCO PORCELANA 15 KV</t>
  </si>
  <si>
    <t>SUB-TOTAL:</t>
  </si>
  <si>
    <t>ADICIONAL</t>
  </si>
  <si>
    <t>TOTAL</t>
  </si>
  <si>
    <t>AFASTADOR ISOLADOR PILAR ACO GALV 100X320MM 10MM 320DAN</t>
  </si>
  <si>
    <t>ALCA PREF CORD ACO-ZN 6,40MM 5X2.18MM 460MM AMR</t>
  </si>
  <si>
    <t>ALCA PREF CORD ACO-ZN 9,50MM 6X2.54MM 965MM LRJ</t>
  </si>
  <si>
    <t>ALCA PREF DISTR ACO-ALUM 9,27-10,40MM 660MM AMR</t>
  </si>
  <si>
    <t>ALCA PREF DISTR ACO-ZINC 13,10-14,65MM 865MM VRM</t>
  </si>
  <si>
    <t>ALCA PREF DISTR ACO-ZINC 16,20-18,15MM 980MM VRD</t>
  </si>
  <si>
    <t>ALCA PREF DISTR ACO-ZINC 9,15-10,25MM 670MM AMR</t>
  </si>
  <si>
    <t>ALCA PREF SERV ACO-ZINC 3,90-4,30MM 345MM MRM</t>
  </si>
  <si>
    <t>ALCA PREF SERV ACO-ZINC 6,00-6,70MM 330MM LRJ</t>
  </si>
  <si>
    <t>ALCA PREFORMADA SERVICO 8AWG 355,0MM</t>
  </si>
  <si>
    <t>ANEL AMAR ELASTOMERICO P/ESPACADOR 45X90X140MM CNZ</t>
  </si>
  <si>
    <t>ANEL AMAR ELASTOMERICO P/ISOLADOR 15,0KV 45X110X160MM VRM</t>
  </si>
  <si>
    <t>ARAME REDOND ACO-GALV DURA 2,77MM BWG12</t>
  </si>
  <si>
    <t>ARMACAO SECUNDARIA ACO GALV 1 ESTRIBO 110X50X5,0MM 125X16MM</t>
  </si>
  <si>
    <t>ARRUELA ESPACADORA FERRO FUND 50X18X30MM</t>
  </si>
  <si>
    <t>ARRUELA QUADRADA ACO GALV 38X18X3MM</t>
  </si>
  <si>
    <t>BRACO ANTIBALANCO PEAD 15,0KV 305MM CNZ/PRT 180/50DAN</t>
  </si>
  <si>
    <t>BRACO COMP TIPO C 15KV ACO-GALV 580X365X362MM</t>
  </si>
  <si>
    <t>BRACO COMP TIPO L 15KV ACO-GALV 354X241MM</t>
  </si>
  <si>
    <t>BRACO COMP TIPO L 36,2KV ACO-GALV 600X241MM</t>
  </si>
  <si>
    <t>CABO ALUM MULTIPLEX 0,6/1,0KV XLPE 1F 1X1X10MM2+10MM2</t>
  </si>
  <si>
    <t>CABO ALUM MULTIPLEX 0,6/1,0KV XLPE 3F 3X1X120MM2+70MM2</t>
  </si>
  <si>
    <t>CABO ALUM MULTIPLEX 0,6/1,0KV XLPE 3F 3X1X25MM2+25MM2</t>
  </si>
  <si>
    <t>CABO ALUM MULTIPLEX 0,6/1,0KV XLPE 3F 3X1X35MM2+35MM2</t>
  </si>
  <si>
    <t>CABO ALUM MULTIPLEX 0,6/1,0KV XLPE 3F 3X1X70MM2+70MM2</t>
  </si>
  <si>
    <t>CABO ALUM NU 1F CA/AAC 1/0AWG POPPY</t>
  </si>
  <si>
    <t>CABO ALUM NU 1F CA/AAC 2AWG IRIS</t>
  </si>
  <si>
    <t>CABO ALUM NU 1F CA/AAC 336,4MCM TULIP</t>
  </si>
  <si>
    <t>CABO ALUM NU CAA/ASCR 1F 1/0AWG RAVEN</t>
  </si>
  <si>
    <t>CABO ALUM NU CAA/ASCR 1F 2AWG SPARROW</t>
  </si>
  <si>
    <t>CABO ALUM NU CAA/ASCR 1F 4/0AWG PENGUIN</t>
  </si>
  <si>
    <t>CABO ALUM PROT SPL XLPE 1F 15,0KV 120MM2 BLOQ CNZ</t>
  </si>
  <si>
    <t>CABO ALUM PROT SPL XLPE 1F 15,0KV 50MM2 BLOQ CNZ</t>
  </si>
  <si>
    <t>CABO ALUM PROT SPL XLPE 1F 36,2KV 120MM2 BLOQ CNZ</t>
  </si>
  <si>
    <t>CABO ALUM PROT SPL XLPE 1F 36,2KV 70MM2 BLOQ CNZ</t>
  </si>
  <si>
    <t>CABO COBR PROT SPL XLPE 1F 15,0KV 16MM2 BLOQ CNZ</t>
  </si>
  <si>
    <t>CABO COBRE ISOLAD 450/750V BWF/PVC 120MM2 CL2/4/5 PRT</t>
  </si>
  <si>
    <t>CAPA PROT CONECTOR CUNHA 15KV 131X80MM SERIE VERM</t>
  </si>
  <si>
    <t>CAPA PROT CONECTOR CUNHA 15KV 166X100MM SERIE AZUL</t>
  </si>
  <si>
    <t>CAPA PROT PEAD TRANSF BT 1,2 KV 247X85X70MM 2X24MM</t>
  </si>
  <si>
    <t>CAPA PROT PEAD TRANSF MT 15/36,2KV 135X110MM</t>
  </si>
  <si>
    <t>CHAPA ESTAI ACO GALV 76X60X70MM 8MM 5000DAN</t>
  </si>
  <si>
    <t>CHAVE FUS DIST PRC BASE C 15,0KV 315A 1F MAN SEC</t>
  </si>
  <si>
    <t>CHAVE FUS DIST PRC BASE C 36,2KV 315A 1F MAN SEC</t>
  </si>
  <si>
    <t>CHAVE FUS RELIG DIST PRC BASE C 36,2KV 315A 1F MAN SEC 3INT</t>
  </si>
  <si>
    <t>CHAVE SECC FACA PORC EXT 11,4-13,8-15KV 630A 1F MAN SECO CEN</t>
  </si>
  <si>
    <t>CHAVE SECC FACA PORC EXT 34,5-36,2KV 400A 1F MAN SECO CENT</t>
  </si>
  <si>
    <t>CHAVE SECC FACA PORC EXT 34,5-36,2KV 630A 1F MAN SECO CENT</t>
  </si>
  <si>
    <t xml:space="preserve">CINTA POSTE CIRCULAR ACO GALV 140MM 6MM 5000DAN </t>
  </si>
  <si>
    <t>CINTA POSTE CIRCULAR ACO GALV 150MM 6MM 5000DAN</t>
  </si>
  <si>
    <t>CINTA POSTE CIRCULAR ACO GALV 160MM 6MM 5000DAN</t>
  </si>
  <si>
    <t>CINTA POSTE CIRCULAR ACO GALV 170MM 6MM 5000DAN</t>
  </si>
  <si>
    <t>CINTA POSTE CIRCULAR ACO GALV 180MM 6MM 5000DAN</t>
  </si>
  <si>
    <t>CINTA POSTE CIRCULAR ACO GALV 190MM 6MM 5000DAN</t>
  </si>
  <si>
    <t>CINTA POSTE CIRCULAR ACO GALV 200MM 6MM 5000DAN</t>
  </si>
  <si>
    <t>CINTA POSTE CIRCULAR ACO GALV 210MM 6MM 5000DAN</t>
  </si>
  <si>
    <t>CINTA POSTE CIRCULAR ACO GALV 220MM 6MM 5000DAN</t>
  </si>
  <si>
    <t>CINTA POSTE CIRCULAR ACO GALV 230MM 6MM 5000DAN</t>
  </si>
  <si>
    <t>CINTA POSTE CIRCULAR ACO GALV 240MM 6MM 5000DAN</t>
  </si>
  <si>
    <t>CINTA POSTE CIRCULAR ACO GALV 250MM 6MM 5000DAN</t>
  </si>
  <si>
    <t>CINTA POSTE CIRCULAR ACO GALV 280MM 6MM 5000DAN</t>
  </si>
  <si>
    <t>CINTA POSTE CIRCULAR ACO GALV 290MM 6MM 5000DAN</t>
  </si>
  <si>
    <t>CINTA POSTE CIRCULAR ACO GALV 300MM 6MM 5000DAN</t>
  </si>
  <si>
    <t>CINTA POSTE CIRCULAR ACO GALV 320MM 6MM 5000DAN</t>
  </si>
  <si>
    <t>CINTA POSTE CIRCULAR ACO GALV 350MM 6MM 5000DAN</t>
  </si>
  <si>
    <t>COM CUNHA DER CN2 AL 15,2-17,3X11-17MM</t>
  </si>
  <si>
    <t>CONEC CUNHA RML COBR TP I 3,17-8,12/3,17-7,42MM CZ</t>
  </si>
  <si>
    <t>CONEC CUNHA RML COBR TP II 3,17-8,12/3,17-5,21MM VD</t>
  </si>
  <si>
    <t>CONEC CUNHA RML COBR TP III 2,54-6,55/1,27-4,65MM VM</t>
  </si>
  <si>
    <t>CONEC CUNHA RML COBR TP IV 2,54-6,55/1,27-4,65MM AZ</t>
  </si>
  <si>
    <t>CONEC CUNHA RML COBR TP VI 8,01-10,61/6,64-9,36MM BR/AZ</t>
  </si>
  <si>
    <t>CONEC CUNHA RML COBR TP VII 4,66-10,11/4,66-8,30MM BR/VM</t>
  </si>
  <si>
    <t>CONEC CUNHA RML COBR TP VIII 8,01-10,11/8,0-10,11MM BR/VD</t>
  </si>
  <si>
    <t>CONECT TERM COMPR CB/BAR ALUM 2F 3,09-4,10MM 145X25X14MM</t>
  </si>
  <si>
    <t>CONECT TERM ESTRANG CB/BAR ALUM 2F 123X25MM 11.20-12.30MM</t>
  </si>
  <si>
    <t>CONECTOR ATERR CUNHA COBRE CB/HST 16-25MM2 14,3MM</t>
  </si>
  <si>
    <t>CONECTOR CUNHA ALUM CN-06 9,25-14,53/6,55-14,53MM AZL</t>
  </si>
  <si>
    <t>CONECTOR CUNHA ALUM CN-10 8,23-14,53/4,11-11,79MM AZL</t>
  </si>
  <si>
    <t>CONECTOR CUNHA ALUM CN-12 5,18-8,38/4,11-6,55MM VRM</t>
  </si>
  <si>
    <t>CONECTOR CUNHA ALUM CN-13 6,55-10,11/5,18-8,38MM VRM</t>
  </si>
  <si>
    <t>CONECTOR CUNHA ALUM CN-15 10,40-14,53/10,40-14,53MM AZL</t>
  </si>
  <si>
    <t>CONECTOR CUNHA ALUM CN-16 16,90-18,30/11,80-14,31MM AZL</t>
  </si>
  <si>
    <t>CONECTOR CUNHA ALUM CN-17 16,90-18,30/7,42-11,35MM AZL</t>
  </si>
  <si>
    <t>CONECTOR CUNHA CB-EST ALUM 14,88-16,30MM 1/0AWG AM</t>
  </si>
  <si>
    <t xml:space="preserve">CONECTOR DERIV PERFURAT C/C 1,0KV 16-120MM2/4-35MM2 </t>
  </si>
  <si>
    <t xml:space="preserve">CONECTOR DERIV PERFURAT C/C 1,0KV 35-120MM2/10-35MM2 </t>
  </si>
  <si>
    <t xml:space="preserve">CONECTOR DERIV PERFURAT C/C 1,0KV 35-120MM2/35-120MM2 </t>
  </si>
  <si>
    <t xml:space="preserve">CONECTOR DERIV PERFURAT C/C 1,0KV 70-240MM2/70-240MM2 </t>
  </si>
  <si>
    <t>CONECTOR GRAMPO LINHA VIVA COBR 2-1/0AWG/8-2/0AWG 100A</t>
  </si>
  <si>
    <t>CORDOALHA ACO CARB CL A 7 FIOS MR 6,4MM 1430DAN</t>
  </si>
  <si>
    <t>CORDOALHA ACO CARB CL A 7 FIOS MR 9,5MM 3160DAN</t>
  </si>
  <si>
    <t xml:space="preserve">CRUZETA DE MADEIRA </t>
  </si>
  <si>
    <t>CRUZETA DISTR CONCR TIPO QUADR 90X90MM 2000MM 250DAN CL 2</t>
  </si>
  <si>
    <t>CRUZETA DISTR PRFV RETANG 90X112,5MM 2400MM 400DAN</t>
  </si>
  <si>
    <t>CRUZETA DISTR PRFV RETANG 90X112,5MM 3500MM 400DAN</t>
  </si>
  <si>
    <t>ELO FUSIVEL DISTRIBUICAO TIPO H 0,5A 500MM</t>
  </si>
  <si>
    <t>ELO FUSIVEL DISTRIBUICAO TIPO H 1A 500MM</t>
  </si>
  <si>
    <t>ELO FUSIVEL DISTRIBUICAO TIPO H 2A 500MM</t>
  </si>
  <si>
    <t>ELO FUSIVEL DISTRIBUICAO TIPO H 3A 500MM</t>
  </si>
  <si>
    <t>ELO FUSIVEL DISTRIBUICAO TIPO H 5A 500MM</t>
  </si>
  <si>
    <t>ELO FUSIVEL DISTRIBUICAO TIPO K 10A 500MM VERMELHO</t>
  </si>
  <si>
    <t>ELO FUSIVEL DISTRIBUICAO TIPO K 15A 500MM VERDE</t>
  </si>
  <si>
    <t>EMENDA PRED CON MET CAA 2AWG 7,89-8,27MM</t>
  </si>
  <si>
    <t>EMENDA PREF CON MET CAA 1/0AWG9,6-10,1MM</t>
  </si>
  <si>
    <t>ESPACADOR LOSANGULAR PEAD 15KV 340X460MM TRAV CNZ/PRT</t>
  </si>
  <si>
    <t>ESTRIBO P/ BRACO TIPO L ACO GALV 140X70X50MM 400DAN</t>
  </si>
  <si>
    <t>FIO AMARRACAO ALUMINIO MOLE 1F 6AWG 4.11MM 80DAN</t>
  </si>
  <si>
    <t>FITA LISA P/ AMARRACAO CABO ALUM 1F 10,0X1,0MM</t>
  </si>
  <si>
    <t>FIXADOR PERFIL U ACO GALV 37X76X176MM 150DAN</t>
  </si>
  <si>
    <t>GANCHO OLHAL ACO GALV 130X88X13MM 50KN S/TRAVA</t>
  </si>
  <si>
    <t>GRAMPO ANCOR DIELETR SINGLE 15KV 18,8-21,3MM 120MM2 400DAN</t>
  </si>
  <si>
    <t>GRAMPO ANCOR DIELETR SINGLE 15KV 21,8-24,3MM 185MM2 400DAN</t>
  </si>
  <si>
    <t>GRAMPO ANCOR DIELETR SINGLE 36,2KV 25,3-28,6MM 70MM2 400DAN</t>
  </si>
  <si>
    <t>GRAMPO ANCOR DIELETR SINGLE 36,2KV 28,6-31,9MM 120MM2 400DAN</t>
  </si>
  <si>
    <t>HASTE ATERRAMENTO CIRC 2400X14,3MM C/ ROSCA</t>
  </si>
  <si>
    <t>HASTE ATERRAMENTO CIRC 2400X14,3MM S/ ROSCA</t>
  </si>
  <si>
    <t>HASTE ATERRAMENTO PERF L 2400X25X25X5MM CHANF</t>
  </si>
  <si>
    <t>ISOLADOR BASTAO POLIM ANCOR 15.0KV 370MM 380MM 50KN GO</t>
  </si>
  <si>
    <t>ISOLADOR BASTAO POLIM ANCOR 36.2KV 550MM 745MM 50KN GO</t>
  </si>
  <si>
    <t>ISOLADOR PILAR PORCEL 15,0KV 220MM 300MM 8.0KN M20 CTC</t>
  </si>
  <si>
    <t>ISOLADOR PILAR PORCEL 36,2KV 400MM 720MM 8.0KN M20 CTC</t>
  </si>
  <si>
    <t>ISOLADOR PINO POLIMERICO CINZA 15,0KV 280MM 25MM ANEL</t>
  </si>
  <si>
    <t>ISOLADOR PINO POLIMERICO CINZA 36,2KV 530MM 35MM ANEL</t>
  </si>
  <si>
    <t>ISOLADOR PINO POR 15KV ANTIGO</t>
  </si>
  <si>
    <t>ISOLADOR ROLDANA PORCELANA 79X76MM 1350DAN MRM</t>
  </si>
  <si>
    <t>LACO PREF DISTR ACO-AL LAT SIMP 7,30-8,20MM 525MM VRM COX 2AWG</t>
  </si>
  <si>
    <t>LACO PREF DISTR ACO-AL TOPO 13,10-14,65MM 800MM VRM COX 4/0AWG</t>
  </si>
  <si>
    <t>LACO PREF DISTR ACO-AL TOPO 16,20-18,15MM 840MM VRD COX 336AWG</t>
  </si>
  <si>
    <t>LACO PREF DISTR ACO-AL TOPO 7,30-8,20MM 700MM VRM COX 2AWG</t>
  </si>
  <si>
    <t>LACO PREF DISTR ACO-AL TOPO 9,15-10,25MM 750MM AMR COX 1/0AWG</t>
  </si>
  <si>
    <t>LUVA EMENDA HASTE ATERRAMENTO BRONZE ROSCA UNC 5/8</t>
  </si>
  <si>
    <t>MANILHA SAPATILHA ACO GALV 110X60X34MM 5000DAN</t>
  </si>
  <si>
    <t>MAO FRANCESA PERFILADA ACO GALV 1534X38MM 5MM 3000DAN</t>
  </si>
  <si>
    <t>MAO FRANCESA PERFILADA ACO GALV 1971X48MM 5MM 3000DAN</t>
  </si>
  <si>
    <t>MAO FRANCESA PLANA ACO GALV 1053X32MM 5MM 3000DAN</t>
  </si>
  <si>
    <t>MAO FRANCESA PLANA ACO GALV 619X32MM 5MM 3000DAN</t>
  </si>
  <si>
    <t>MAO FRANCESA PLANA ACO GALV 726X32MM 5MM 3000DAN</t>
  </si>
  <si>
    <t>OLHAL PARA PARAFUSO SAE1020 M16 13,0MM 5000DAN</t>
  </si>
  <si>
    <t>PARAFUSO CAB ABAU ACO CARB M16 150MM</t>
  </si>
  <si>
    <t>PARAFUSO CAB ABAU ACO CARB M16 45MM</t>
  </si>
  <si>
    <t>PARAFUSO CAB ABAU ACO CARB M16 70MM</t>
  </si>
  <si>
    <t>PARAFUSO CAB QUAD ACO CARB M16 100MM</t>
  </si>
  <si>
    <t>PARAFUSO CAB QUAD ACO CARB M16 125MM</t>
  </si>
  <si>
    <t>PARAFUSO CAB QUAD ACO CARB M16 150MM</t>
  </si>
  <si>
    <t>PARAFUSO CAB QUAD ACO CARB M16 200MM</t>
  </si>
  <si>
    <t>PARAFUSO CAB QUAD ACO CARB M16 250MM</t>
  </si>
  <si>
    <t>PARAFUSO CAB QUAD ACO CARB M16 300MM</t>
  </si>
  <si>
    <t>PARAFUSO CAB QUAD ACO CARB M16 350MM</t>
  </si>
  <si>
    <t>PARAFUSO CAB QUAD ACO CARB M16 400MM</t>
  </si>
  <si>
    <t>PARAFUSO ROSC TOTAL ACO CARB M16 450MM</t>
  </si>
  <si>
    <t>PARAFUSO ROSC TOTAL ACO CARB M16 500MM</t>
  </si>
  <si>
    <t>PARA-RAIO DISTRIB PORCELANA 12KV S/ CENTELHADOR</t>
  </si>
  <si>
    <t>PARA-RAIO DISTRIB PORCELANA 30KV S/ CENTELHADOR</t>
  </si>
  <si>
    <t>PARA-RAIOS DISTR BT POLIM 127V 10KA OX MT S/CENT RSC</t>
  </si>
  <si>
    <t>PARA-RAIOS DISTR BT POLIM 127V 10KA OX MT S/CENT RSI</t>
  </si>
  <si>
    <t>PARA-RAIOS DISTR MT POLIM 12KV 10KA OX ZN S/CENT S/FERR</t>
  </si>
  <si>
    <t>PARA-RAIOS DISTR MT POLIM 30KV 10KA OX ZN S/CENT S/FERR</t>
  </si>
  <si>
    <t>PERFIL U ACO GALV 900MM 76X37X6MM 400DAN</t>
  </si>
  <si>
    <t>PINO ISOLADOR AUTOTRAVANTE ACO M20/M16 228,5MM - P/ POSTE</t>
  </si>
  <si>
    <t>PINO ISOLADOR AUTOTRAVANTE ACO M20/M16 85,0MM - P/SUPORTE ISOLADOR PILAR TOPO</t>
  </si>
  <si>
    <t>PINO ISOLADOR CRUZETA ACO M16 294X140X150MM 15KV - P/CRUZETA</t>
  </si>
  <si>
    <t>PINO ISOLADOR SAE 1010/20 16,0MM 150X 38X 192MM - PINO CURTO</t>
  </si>
  <si>
    <t>PINO NORMAL AC 344MM 35X45MM</t>
  </si>
  <si>
    <t>PORCA QUADR PESADA ACO CARB GALV DIN557 MG M16</t>
  </si>
  <si>
    <t xml:space="preserve">POSTE CIRCULAR CONCR C-17 10M 300DAN </t>
  </si>
  <si>
    <t>POSTE CONCR CIRC 10M 600DAN 390MM 190MM CL II</t>
  </si>
  <si>
    <t>POSTE CONCR CIRC 11M 1000DAN 450MM 230MM CL II</t>
  </si>
  <si>
    <t>POSTE CONCR CIRC 11M 1500DAN 510MM 290MM CL II</t>
  </si>
  <si>
    <t>POSTE CONCR CIRC 11M 600DAN 410MM 190MM CL II</t>
  </si>
  <si>
    <t>POSTE CONCR CIRC 12M 1000DAN 470MM 230MM CL II</t>
  </si>
  <si>
    <t>POSTE CONCR CIRC 12M 1500DAN 530MM 290MM CL II</t>
  </si>
  <si>
    <t>POSTE CONCR CIRC 12M 600DAN 430MM 190MM CL II</t>
  </si>
  <si>
    <t>POSTE CONCR CIRC 13M 1000DAN 490MM 230MM CL II</t>
  </si>
  <si>
    <t>POSTE CONCR CIRC 13M 1500DAN 550MM 290MM CL II</t>
  </si>
  <si>
    <t>POSTE CONCR CIRC 13M 600DAN 450MM 190MM CL II</t>
  </si>
  <si>
    <t>POSTE CONCR DUPL T 10M 150DAN 200X280MM 100X120MM CL II</t>
  </si>
  <si>
    <t>POSTE CONCR DUPL T 10M 300DAN 310X420MM 110X140MM CL II</t>
  </si>
  <si>
    <t>POSTE CONCR DUPL T 10M 600DAN 310X420MM 110X140MM CL II</t>
  </si>
  <si>
    <t>POSTE CONCR DUPL T 11M 1000DAN 360X490MM 140X182MM CL II</t>
  </si>
  <si>
    <t>POSTE CONCR DUPL T 11M 1500DAN 390X532MM 170X224MM CL II</t>
  </si>
  <si>
    <t>POSTE CONCR DUPL T 11M 300DAN 330X448MM 110X140MM CL II</t>
  </si>
  <si>
    <t>POSTE CONCR DUPL T 11M 600DAN 330X448MM 110X140MM CL II</t>
  </si>
  <si>
    <t>POSTE CONCR DUPL T 12M 1000DAN 380X518MM 140X182MM CL II</t>
  </si>
  <si>
    <t>POSTE CONCR DUPL T 12M 1500DAN 410X560MM 170X224MM CL II</t>
  </si>
  <si>
    <t>POSTE CONCR DUPL T 12M 300DAN 350X476MM 110X140MM CL II</t>
  </si>
  <si>
    <t>POSTE CONCR DUPL T 12M 600DAN 350X476MM 110X140MM CL II</t>
  </si>
  <si>
    <t>POSTE CONCR DUPL T 13M 1000DAN 410X560MM 140X182MM CL II</t>
  </si>
  <si>
    <t>POSTE CONCR DUPL T 13M 1500DAN 430X588MM 170X224MM CL II</t>
  </si>
  <si>
    <t>POSTE CONCR DUPL T 13M 600DAN 370X504MM 110X140MM CL II</t>
  </si>
  <si>
    <t>POSTE MADEIRA EUC PRESS 8,5MM PESADO</t>
  </si>
  <si>
    <t>SEPARADOR VERTICAL PEAD 15KV 750MM TRAV CNZ/PRT</t>
  </si>
  <si>
    <t>SEPARADOR VERTICAL PEAD 36,2KV 950MM TRAV CNZ/PRT</t>
  </si>
  <si>
    <t>SUPORTE HORIZONTAL 15 KV 300X200X300MM 200 DAN</t>
  </si>
  <si>
    <t>SUPORTE P/CHAVE FACA INCLINADO 45 15KV 220X169X220MM</t>
  </si>
  <si>
    <t>SUPORTE P/CHAVE FACA INCLINADO 45 25/35KV 320X245X320MM</t>
  </si>
  <si>
    <t>SUPORTE TRANSF ESP PST DT ACO GALV 230X150X10MM 3000DAN</t>
  </si>
  <si>
    <t>SUPORTE TRANSF ESP PST DT ACO GALV 360X76X10MM 3000DAN</t>
  </si>
  <si>
    <t>SUPORTE TRANSF PST CIRC ACO GALV 230MM 76X8MM 3000DAN</t>
  </si>
  <si>
    <t>SUPORTE TRANSF PST CIRC ACO GALV 250MM 76X8MM 3000DAN</t>
  </si>
  <si>
    <t>SUPORTE TRANSF PST CIRC ACO GALV 270MM 76X8MM 3000DAN</t>
  </si>
  <si>
    <t>TERMINAL COMPRESSAO ANEL TUB 12,0X 32,00MM 10,00MM2</t>
  </si>
  <si>
    <t>TRANSF DISTR AER OMI 1F/N 19,919KV 254/127V 10KVA CL2 5TP</t>
  </si>
  <si>
    <t>TRANSF DISTR AER OMI 1F/N 19,919KV 254/127V 15KVA CL2 5TP</t>
  </si>
  <si>
    <t>TRANSF DISTR AER OMI 1F/N 19,919KV 254/127V 25KVA CL2 5TP</t>
  </si>
  <si>
    <t>TRANSF DISTR AER OMI 1F/N 19,919KV 254/127V 5KVA CL2 5TP</t>
  </si>
  <si>
    <t>TRANSF DISTR AER OMI 1F/N 7,969KV 254/127V 10KVA CL2 5TP</t>
  </si>
  <si>
    <t>TRANSF DISTR AER OMI 1F/N 7,969KV 254/127V 15KVA CL2 5TP</t>
  </si>
  <si>
    <t>TRANSF DISTR AER OMI 1F/N 7,969KV 254/127V 25KVA CL2 5TP</t>
  </si>
  <si>
    <t>TRANSF DISTR AER OMI 1F/N 7,969KV 254/127V 5KVA CL2 5TP</t>
  </si>
  <si>
    <t>TRANSF DISTR AER OMI 3F 13,8KV 220/127V 112,5KVA CL2 4TP</t>
  </si>
  <si>
    <t>TRANSF DISTR AER OMI 3F 13,8KV 220/127V 150KVA CL2 4TP</t>
  </si>
  <si>
    <t>TRANSF DISTR AER OMI 3F 13,8KV 220/127V 15KVA CL2 4TP</t>
  </si>
  <si>
    <t>TRANSF DISTR AER OMI 3F 13,8KV 220/127V 225KVA CL2 4TP</t>
  </si>
  <si>
    <t>TRANSF DISTR AER OMI 3F 13,8KV 220/127V 30KVA CL2 4TP</t>
  </si>
  <si>
    <t>TRANSF DISTR AER OMI 3F 13,8KV 220/127V 45KVA CL2 4TP</t>
  </si>
  <si>
    <t>TRANSF DISTR AER OMI 3F 13,8KV 220/127V 75KVA CL2 4TP</t>
  </si>
  <si>
    <t>TRANSF DISTR AER OMI 3F 34,5KV 220/127V 45KVA CL2 4TP</t>
  </si>
  <si>
    <t>TRANSF DISTR AER OMI 3F 34,5KV 220/127V 75KVA CL2 4TP</t>
  </si>
  <si>
    <t>CONECTOR AMPACT CN2</t>
  </si>
  <si>
    <t>SAPATILHA DIST.AÇO GALV.9.5MM 3/8 POL 3160 DAN</t>
  </si>
  <si>
    <t>PLACA CONCRETO ESTAI/ESC PLANA 200X1000MM 100MM 1600 DAN CL2</t>
  </si>
  <si>
    <t>CABO ALUM PROT SPL XLPE 1F 15,0KV 150MM2 BLOQ CNZ</t>
  </si>
  <si>
    <t xml:space="preserve">CONECTOR CUNHA CB-EST ALUM 11,20-13,30MM 2AWG AZ </t>
  </si>
  <si>
    <t>ISOLADOR ROLDANA PORCELANA MARROM 80,0X 76,0MM 1350DAN MRM</t>
  </si>
  <si>
    <t>ISOLADOR DE DISCO PORCELANA 36 KV</t>
  </si>
  <si>
    <t>POSTE CIRCULAR CONCR C-17 10M 400DAN 380MM 180MM</t>
  </si>
  <si>
    <t>BRACO REDE COMP TIPO J 15/36,2KV ACO-GALV 1650X550MM</t>
  </si>
  <si>
    <t>CONECTOR GRAMPO LINHA VIVA ALUM 35-120MM2/10-95MM2 400A</t>
  </si>
  <si>
    <t>CONECTOR CUNHA ALUM CN-02 15,24-17,37/11,68,17,37MM AZL</t>
  </si>
  <si>
    <t>CONECTOR TERMINAL ESPADA 336, (CHAVE FACA)</t>
  </si>
  <si>
    <t xml:space="preserve">ESPACADOR LOSANGULAR AUTOTRAVANTE 15 KV 03 COND 340 X 460MM </t>
  </si>
  <si>
    <t>CONECTOR DERIV PERFURAT CB/ESTR 15 KV 35-95MM2 8,2MM</t>
  </si>
  <si>
    <t>AA_PRONIZADO</t>
  </si>
  <si>
    <t>MOBILIZAÇÃO E DESMOBILIZAÇÃO EQUIPE</t>
  </si>
  <si>
    <t>MISCELÂNEA</t>
  </si>
  <si>
    <t>LINHA VIVA - ESTRUTURAS COMPLETAS</t>
  </si>
  <si>
    <t>SERVIÇO DE FRETE-IÇAMENTO DE CARGA</t>
  </si>
  <si>
    <t>DESLOC EQUIP PESADA ACIMA 50 KM DA BASE</t>
  </si>
  <si>
    <t>PARA RAIO DISTR POLIM 34,KV 10KA OX ZN S/CENT S/FERR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</si>
</sst>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0_);\(0\)"/>
    <numFmt numFmtId="166" formatCode="[$R$ -416]#,##0.00"/>
    <numFmt numFmtId="167" formatCode="d&quot;-&quot;mmm&quot;-&quot;yyyy"/>
    <numFmt numFmtId="168" formatCode="#,##0.00_);[Red]\(#,##0.00\)"/>
    <numFmt numFmtId="169" formatCode="&quot;R$&quot;\ #,##0.00_);[Red]\(&quot;R$&quot;\ #,##0.00\)"/>
    <numFmt numFmtId="170" formatCode="dddd"/>
    <numFmt numFmtId="171" formatCode="dd/mm/yy"/>
    <numFmt numFmtId="172" formatCode="0.0"/>
    <numFmt numFmtId="173" formatCode="_(* #,##0.00_);_(* \(#,##0.00\);_(* &quot;-&quot;??_);_(@_)"/>
  </numFmts>
  <fonts count="4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rgb="FF00B050"/>
      <name val="Times New Roman"/>
      <family val="1"/>
    </font>
    <font>
      <b/>
      <sz val="20"/>
      <color rgb="FF000000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24"/>
      <color rgb="FF000000"/>
      <name val="Arial"/>
      <family val="2"/>
    </font>
    <font>
      <b/>
      <sz val="26"/>
      <color rgb="FFFF0000"/>
      <name val="Arial"/>
      <family val="2"/>
    </font>
    <font>
      <b/>
      <sz val="11"/>
      <color theme="1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Arial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Arial"/>
      <family val="2"/>
    </font>
    <font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sz val="11"/>
      <name val="Arial"/>
      <family val="2"/>
    </font>
    <font>
      <b/>
      <sz val="20"/>
      <color rgb="FF000000"/>
      <name val="Arial"/>
      <family val="2"/>
    </font>
    <font>
      <b/>
      <sz val="24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66666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DD7E6B"/>
        <bgColor rgb="FFDD7E6B"/>
      </patternFill>
    </fill>
    <fill>
      <patternFill patternType="solid">
        <fgColor rgb="FFFC7972"/>
        <bgColor rgb="FFFC7972"/>
      </patternFill>
    </fill>
    <fill>
      <patternFill patternType="solid">
        <fgColor rgb="FFCCCCCC"/>
        <bgColor rgb="FFCCCCCC"/>
      </patternFill>
    </fill>
    <fill>
      <patternFill patternType="solid">
        <fgColor rgb="FFFF7474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rgb="FFFFFF00"/>
        <bgColor theme="0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18"/>
    <xf numFmtId="44" fontId="40" fillId="0" borderId="0" applyFont="0" applyFill="0" applyBorder="0" applyAlignment="0" applyProtection="0"/>
    <xf numFmtId="0" fontId="2" fillId="0" borderId="18"/>
    <xf numFmtId="0" fontId="1" fillId="0" borderId="18"/>
  </cellStyleXfs>
  <cellXfs count="224">
    <xf numFmtId="0" fontId="0" fillId="0" borderId="0" xfId="0"/>
    <xf numFmtId="164" fontId="4" fillId="2" borderId="0" xfId="0" applyNumberFormat="1" applyFont="1" applyFill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3" borderId="2" xfId="0" applyFont="1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wrapText="1"/>
    </xf>
    <xf numFmtId="0" fontId="9" fillId="3" borderId="5" xfId="0" applyFont="1" applyFill="1" applyBorder="1" applyAlignment="1">
      <alignment vertical="center" wrapText="1"/>
    </xf>
    <xf numFmtId="164" fontId="12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vertical="center"/>
    </xf>
    <xf numFmtId="166" fontId="12" fillId="6" borderId="4" xfId="0" applyNumberFormat="1" applyFont="1" applyFill="1" applyBorder="1" applyAlignment="1">
      <alignment vertical="center"/>
    </xf>
    <xf numFmtId="49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9" fontId="15" fillId="7" borderId="1" xfId="0" applyNumberFormat="1" applyFont="1" applyFill="1" applyBorder="1" applyAlignment="1">
      <alignment horizontal="center" vertical="center" wrapText="1"/>
    </xf>
    <xf numFmtId="167" fontId="15" fillId="7" borderId="1" xfId="0" applyNumberFormat="1" applyFont="1" applyFill="1" applyBorder="1" applyAlignment="1">
      <alignment horizontal="center" vertical="center" wrapText="1"/>
    </xf>
    <xf numFmtId="49" fontId="15" fillId="7" borderId="1" xfId="0" applyNumberFormat="1" applyFont="1" applyFill="1" applyBorder="1" applyAlignment="1">
      <alignment horizontal="center" vertical="center"/>
    </xf>
    <xf numFmtId="49" fontId="15" fillId="5" borderId="1" xfId="0" applyNumberFormat="1" applyFont="1" applyFill="1" applyBorder="1" applyAlignment="1">
      <alignment horizontal="center" vertical="center"/>
    </xf>
    <xf numFmtId="168" fontId="15" fillId="5" borderId="1" xfId="0" applyNumberFormat="1" applyFont="1" applyFill="1" applyBorder="1" applyAlignment="1">
      <alignment horizontal="center" vertical="center"/>
    </xf>
    <xf numFmtId="169" fontId="15" fillId="5" borderId="1" xfId="0" applyNumberFormat="1" applyFont="1" applyFill="1" applyBorder="1" applyAlignment="1">
      <alignment horizontal="center" vertical="center" wrapText="1"/>
    </xf>
    <xf numFmtId="49" fontId="15" fillId="5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9" xfId="0" applyFont="1" applyBorder="1" applyAlignment="1">
      <alignment vertical="center"/>
    </xf>
    <xf numFmtId="0" fontId="23" fillId="0" borderId="0" xfId="0" applyFont="1" applyAlignment="1">
      <alignment horizontal="right" vertical="center"/>
    </xf>
    <xf numFmtId="1" fontId="23" fillId="0" borderId="10" xfId="0" applyNumberFormat="1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1" fontId="23" fillId="0" borderId="0" xfId="0" applyNumberFormat="1" applyFont="1" applyAlignment="1">
      <alignment vertical="center"/>
    </xf>
    <xf numFmtId="0" fontId="23" fillId="0" borderId="9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4" borderId="2" xfId="0" applyFont="1" applyFill="1" applyBorder="1" applyAlignment="1">
      <alignment vertical="center"/>
    </xf>
    <xf numFmtId="0" fontId="26" fillId="0" borderId="0" xfId="0" applyFont="1" applyAlignment="1">
      <alignment horizontal="left" vertical="center" wrapText="1"/>
    </xf>
    <xf numFmtId="20" fontId="23" fillId="0" borderId="0" xfId="0" applyNumberFormat="1" applyFont="1" applyAlignment="1">
      <alignment vertical="center"/>
    </xf>
    <xf numFmtId="0" fontId="23" fillId="0" borderId="9" xfId="0" applyFont="1" applyBorder="1" applyAlignment="1">
      <alignment horizontal="right" vertical="center"/>
    </xf>
    <xf numFmtId="20" fontId="23" fillId="0" borderId="0" xfId="0" applyNumberFormat="1" applyFont="1" applyAlignment="1">
      <alignment horizontal="center" vertical="center"/>
    </xf>
    <xf numFmtId="0" fontId="25" fillId="4" borderId="18" xfId="0" applyFont="1" applyFill="1" applyBorder="1" applyAlignment="1">
      <alignment vertical="center"/>
    </xf>
    <xf numFmtId="49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horizontal="right" vertical="center"/>
    </xf>
    <xf numFmtId="20" fontId="23" fillId="0" borderId="0" xfId="0" applyNumberFormat="1" applyFont="1" applyAlignment="1">
      <alignment horizontal="right" vertical="center"/>
    </xf>
    <xf numFmtId="0" fontId="29" fillId="7" borderId="19" xfId="0" applyFont="1" applyFill="1" applyBorder="1" applyAlignment="1">
      <alignment horizontal="center" vertical="center"/>
    </xf>
    <xf numFmtId="49" fontId="29" fillId="7" borderId="23" xfId="0" applyNumberFormat="1" applyFont="1" applyFill="1" applyBorder="1" applyAlignment="1">
      <alignment horizontal="center" vertical="center"/>
    </xf>
    <xf numFmtId="49" fontId="29" fillId="7" borderId="24" xfId="0" applyNumberFormat="1" applyFont="1" applyFill="1" applyBorder="1" applyAlignment="1">
      <alignment horizontal="center" vertical="center" wrapText="1"/>
    </xf>
    <xf numFmtId="0" fontId="29" fillId="7" borderId="23" xfId="0" applyFont="1" applyFill="1" applyBorder="1" applyAlignment="1">
      <alignment horizontal="center" vertical="center"/>
    </xf>
    <xf numFmtId="49" fontId="29" fillId="7" borderId="26" xfId="0" applyNumberFormat="1" applyFont="1" applyFill="1" applyBorder="1" applyAlignment="1">
      <alignment vertical="center"/>
    </xf>
    <xf numFmtId="0" fontId="23" fillId="8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vertical="center"/>
    </xf>
    <xf numFmtId="2" fontId="31" fillId="7" borderId="1" xfId="0" applyNumberFormat="1" applyFont="1" applyFill="1" applyBorder="1" applyAlignment="1">
      <alignment vertical="center"/>
    </xf>
    <xf numFmtId="172" fontId="33" fillId="7" borderId="1" xfId="0" applyNumberFormat="1" applyFont="1" applyFill="1" applyBorder="1" applyAlignment="1">
      <alignment horizontal="center" vertical="top"/>
    </xf>
    <xf numFmtId="4" fontId="33" fillId="7" borderId="27" xfId="0" applyNumberFormat="1" applyFont="1" applyFill="1" applyBorder="1" applyAlignment="1">
      <alignment vertical="center"/>
    </xf>
    <xf numFmtId="0" fontId="23" fillId="8" borderId="4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49" fontId="29" fillId="7" borderId="35" xfId="0" applyNumberFormat="1" applyFont="1" applyFill="1" applyBorder="1" applyAlignment="1">
      <alignment horizontal="center" vertical="center"/>
    </xf>
    <xf numFmtId="49" fontId="29" fillId="7" borderId="37" xfId="0" applyNumberFormat="1" applyFont="1" applyFill="1" applyBorder="1" applyAlignment="1">
      <alignment horizontal="center" vertical="center"/>
    </xf>
    <xf numFmtId="2" fontId="34" fillId="7" borderId="1" xfId="0" applyNumberFormat="1" applyFont="1" applyFill="1" applyBorder="1"/>
    <xf numFmtId="0" fontId="34" fillId="7" borderId="1" xfId="0" applyFont="1" applyFill="1" applyBorder="1"/>
    <xf numFmtId="0" fontId="3" fillId="0" borderId="39" xfId="1" applyBorder="1" applyAlignment="1" applyProtection="1">
      <alignment horizontal="center"/>
      <protection locked="0"/>
    </xf>
    <xf numFmtId="0" fontId="3" fillId="0" borderId="18" xfId="1" applyProtection="1">
      <protection locked="0"/>
    </xf>
    <xf numFmtId="49" fontId="35" fillId="0" borderId="1" xfId="0" applyNumberFormat="1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8" fillId="3" borderId="18" xfId="0" applyFont="1" applyFill="1" applyBorder="1"/>
    <xf numFmtId="0" fontId="8" fillId="3" borderId="0" xfId="0" applyFont="1" applyFill="1"/>
    <xf numFmtId="0" fontId="10" fillId="2" borderId="0" xfId="0" applyFont="1" applyFill="1"/>
    <xf numFmtId="0" fontId="11" fillId="0" borderId="0" xfId="0" applyFont="1"/>
    <xf numFmtId="0" fontId="11" fillId="4" borderId="39" xfId="0" applyFont="1" applyFill="1" applyBorder="1" applyAlignment="1">
      <alignment horizontal="center"/>
    </xf>
    <xf numFmtId="0" fontId="0" fillId="0" borderId="39" xfId="0" applyBorder="1"/>
    <xf numFmtId="0" fontId="0" fillId="0" borderId="18" xfId="0" applyBorder="1"/>
    <xf numFmtId="2" fontId="10" fillId="2" borderId="39" xfId="0" applyNumberFormat="1" applyFont="1" applyFill="1" applyBorder="1" applyAlignment="1">
      <alignment horizontal="right"/>
    </xf>
    <xf numFmtId="44" fontId="27" fillId="9" borderId="39" xfId="2" applyFont="1" applyFill="1" applyBorder="1" applyAlignment="1">
      <alignment vertical="center" wrapText="1"/>
    </xf>
    <xf numFmtId="44" fontId="27" fillId="0" borderId="30" xfId="2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3" fillId="4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vertical="center"/>
    </xf>
    <xf numFmtId="0" fontId="42" fillId="0" borderId="39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7" fillId="3" borderId="2" xfId="0" applyFont="1" applyFill="1" applyBorder="1"/>
    <xf numFmtId="0" fontId="42" fillId="0" borderId="39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/>
    </xf>
    <xf numFmtId="0" fontId="1" fillId="0" borderId="39" xfId="4" applyBorder="1" applyAlignment="1" applyProtection="1">
      <alignment horizontal="center"/>
      <protection locked="0"/>
    </xf>
    <xf numFmtId="0" fontId="1" fillId="0" borderId="18" xfId="4" applyProtection="1">
      <protection locked="0"/>
    </xf>
    <xf numFmtId="0" fontId="0" fillId="0" borderId="0" xfId="0" applyProtection="1">
      <protection locked="0"/>
    </xf>
    <xf numFmtId="0" fontId="2" fillId="0" borderId="18" xfId="3" applyProtection="1">
      <protection locked="0"/>
    </xf>
    <xf numFmtId="0" fontId="12" fillId="0" borderId="0" xfId="0" applyFont="1" applyAlignment="1">
      <alignment horizontal="center" vertical="center"/>
    </xf>
    <xf numFmtId="0" fontId="0" fillId="0" borderId="0" xfId="0"/>
    <xf numFmtId="2" fontId="33" fillId="8" borderId="10" xfId="0" applyNumberFormat="1" applyFont="1" applyFill="1" applyBorder="1" applyAlignment="1">
      <alignment horizontal="center" vertical="top" shrinkToFit="1"/>
    </xf>
    <xf numFmtId="0" fontId="22" fillId="0" borderId="11" xfId="0" applyFont="1" applyBorder="1"/>
    <xf numFmtId="0" fontId="22" fillId="0" borderId="12" xfId="0" applyFont="1" applyBorder="1"/>
    <xf numFmtId="49" fontId="29" fillId="7" borderId="38" xfId="0" applyNumberFormat="1" applyFont="1" applyFill="1" applyBorder="1" applyAlignment="1">
      <alignment horizontal="center" vertical="center"/>
    </xf>
    <xf numFmtId="0" fontId="22" fillId="0" borderId="29" xfId="0" applyFont="1" applyBorder="1"/>
    <xf numFmtId="0" fontId="22" fillId="0" borderId="30" xfId="0" applyFont="1" applyBorder="1"/>
    <xf numFmtId="0" fontId="31" fillId="7" borderId="10" xfId="0" applyFont="1" applyFill="1" applyBorder="1" applyAlignment="1">
      <alignment horizontal="left" vertical="center"/>
    </xf>
    <xf numFmtId="173" fontId="27" fillId="0" borderId="39" xfId="0" applyNumberFormat="1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49" fontId="29" fillId="7" borderId="39" xfId="0" applyNumberFormat="1" applyFont="1" applyFill="1" applyBorder="1" applyAlignment="1">
      <alignment horizontal="left" vertical="center"/>
    </xf>
    <xf numFmtId="49" fontId="41" fillId="7" borderId="39" xfId="0" applyNumberFormat="1" applyFont="1" applyFill="1" applyBorder="1" applyAlignment="1">
      <alignment horizontal="center" vertical="center" wrapText="1"/>
    </xf>
    <xf numFmtId="4" fontId="27" fillId="7" borderId="46" xfId="0" applyNumberFormat="1" applyFont="1" applyFill="1" applyBorder="1" applyAlignment="1">
      <alignment horizontal="center" vertical="center"/>
    </xf>
    <xf numFmtId="4" fontId="27" fillId="7" borderId="47" xfId="0" applyNumberFormat="1" applyFont="1" applyFill="1" applyBorder="1" applyAlignment="1">
      <alignment horizontal="center" vertical="center"/>
    </xf>
    <xf numFmtId="49" fontId="29" fillId="7" borderId="32" xfId="0" applyNumberFormat="1" applyFont="1" applyFill="1" applyBorder="1" applyAlignment="1">
      <alignment horizontal="center" vertical="center"/>
    </xf>
    <xf numFmtId="0" fontId="22" fillId="0" borderId="33" xfId="0" applyFont="1" applyBorder="1"/>
    <xf numFmtId="0" fontId="22" fillId="0" borderId="34" xfId="0" applyFont="1" applyBorder="1"/>
    <xf numFmtId="2" fontId="32" fillId="8" borderId="10" xfId="0" applyNumberFormat="1" applyFont="1" applyFill="1" applyBorder="1" applyAlignment="1">
      <alignment horizontal="center" vertical="top" shrinkToFit="1"/>
    </xf>
    <xf numFmtId="0" fontId="27" fillId="0" borderId="39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 wrapText="1"/>
    </xf>
    <xf numFmtId="0" fontId="27" fillId="0" borderId="28" xfId="0" applyFont="1" applyBorder="1" applyAlignment="1">
      <alignment horizontal="right" vertical="center"/>
    </xf>
    <xf numFmtId="0" fontId="23" fillId="0" borderId="13" xfId="0" applyFont="1" applyBorder="1" applyAlignment="1">
      <alignment horizontal="center" vertical="center"/>
    </xf>
    <xf numFmtId="0" fontId="22" fillId="0" borderId="14" xfId="0" applyFont="1" applyBorder="1"/>
    <xf numFmtId="0" fontId="22" fillId="0" borderId="15" xfId="0" applyFont="1" applyBorder="1"/>
    <xf numFmtId="49" fontId="30" fillId="7" borderId="36" xfId="0" applyNumberFormat="1" applyFont="1" applyFill="1" applyBorder="1" applyAlignment="1">
      <alignment horizontal="center" vertical="center" wrapText="1"/>
    </xf>
    <xf numFmtId="170" fontId="23" fillId="0" borderId="1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6" xfId="0" applyFont="1" applyBorder="1"/>
    <xf numFmtId="0" fontId="24" fillId="7" borderId="6" xfId="0" applyFont="1" applyFill="1" applyBorder="1" applyAlignment="1">
      <alignment horizontal="center" vertical="center" wrapText="1"/>
    </xf>
    <xf numFmtId="0" fontId="22" fillId="0" borderId="7" xfId="0" applyFont="1" applyBorder="1"/>
    <xf numFmtId="0" fontId="22" fillId="0" borderId="8" xfId="0" applyFont="1" applyBorder="1"/>
    <xf numFmtId="0" fontId="22" fillId="0" borderId="9" xfId="0" applyFont="1" applyBorder="1"/>
    <xf numFmtId="0" fontId="22" fillId="0" borderId="13" xfId="0" applyFont="1" applyBorder="1"/>
    <xf numFmtId="49" fontId="24" fillId="8" borderId="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71" fontId="23" fillId="8" borderId="10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37" fillId="7" borderId="10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1" fontId="23" fillId="0" borderId="9" xfId="0" applyNumberFormat="1" applyFont="1" applyBorder="1" applyAlignment="1">
      <alignment horizontal="center" vertical="center"/>
    </xf>
    <xf numFmtId="14" fontId="23" fillId="8" borderId="10" xfId="0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/>
    </xf>
    <xf numFmtId="0" fontId="23" fillId="8" borderId="10" xfId="0" applyFont="1" applyFill="1" applyBorder="1" applyAlignment="1">
      <alignment horizontal="left" vertical="center"/>
    </xf>
    <xf numFmtId="0" fontId="23" fillId="0" borderId="9" xfId="0" applyFont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1" fontId="23" fillId="8" borderId="17" xfId="0" applyNumberFormat="1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49" fontId="38" fillId="8" borderId="7" xfId="0" applyNumberFormat="1" applyFont="1" applyFill="1" applyBorder="1" applyAlignment="1">
      <alignment horizontal="center" vertical="center" wrapText="1"/>
    </xf>
    <xf numFmtId="49" fontId="38" fillId="8" borderId="8" xfId="0" applyNumberFormat="1" applyFont="1" applyFill="1" applyBorder="1" applyAlignment="1">
      <alignment horizontal="center" vertical="center" wrapText="1"/>
    </xf>
    <xf numFmtId="49" fontId="24" fillId="8" borderId="6" xfId="0" applyNumberFormat="1" applyFont="1" applyFill="1" applyBorder="1" applyAlignment="1">
      <alignment horizontal="center" vertical="center"/>
    </xf>
    <xf numFmtId="49" fontId="38" fillId="8" borderId="7" xfId="0" applyNumberFormat="1" applyFont="1" applyFill="1" applyBorder="1" applyAlignment="1">
      <alignment horizontal="center" vertical="center"/>
    </xf>
    <xf numFmtId="49" fontId="38" fillId="8" borderId="8" xfId="0" applyNumberFormat="1" applyFont="1" applyFill="1" applyBorder="1" applyAlignment="1">
      <alignment horizontal="center" vertical="center"/>
    </xf>
    <xf numFmtId="49" fontId="38" fillId="8" borderId="6" xfId="0" applyNumberFormat="1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49" fontId="29" fillId="7" borderId="20" xfId="0" applyNumberFormat="1" applyFont="1" applyFill="1" applyBorder="1" applyAlignment="1">
      <alignment horizontal="center" vertical="center"/>
    </xf>
    <xf numFmtId="0" fontId="22" fillId="0" borderId="21" xfId="0" applyFont="1" applyBorder="1"/>
    <xf numFmtId="0" fontId="22" fillId="0" borderId="22" xfId="0" applyFont="1" applyBorder="1"/>
    <xf numFmtId="49" fontId="30" fillId="7" borderId="25" xfId="0" applyNumberFormat="1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36" fillId="0" borderId="17" xfId="0" applyFont="1" applyBorder="1"/>
    <xf numFmtId="0" fontId="36" fillId="0" borderId="12" xfId="0" applyFont="1" applyBorder="1"/>
    <xf numFmtId="0" fontId="23" fillId="8" borderId="10" xfId="0" applyFont="1" applyFill="1" applyBorder="1" applyAlignment="1">
      <alignment horizontal="left" vertical="center" wrapText="1"/>
    </xf>
    <xf numFmtId="0" fontId="27" fillId="7" borderId="9" xfId="0" applyFont="1" applyFill="1" applyBorder="1" applyAlignment="1">
      <alignment horizontal="center" vertical="center" wrapText="1"/>
    </xf>
    <xf numFmtId="0" fontId="27" fillId="7" borderId="1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7" fillId="7" borderId="6" xfId="0" applyFont="1" applyFill="1" applyBorder="1" applyAlignment="1">
      <alignment horizontal="center" vertical="center"/>
    </xf>
    <xf numFmtId="49" fontId="23" fillId="8" borderId="10" xfId="0" applyNumberFormat="1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right" vertical="center"/>
    </xf>
  </cellXfs>
  <cellStyles count="5">
    <cellStyle name="Moeda" xfId="2" builtinId="4"/>
    <cellStyle name="Normal" xfId="0" builtinId="0"/>
    <cellStyle name="Normal 2" xfId="1" xr:uid="{00000000-0005-0000-0000-000001000000}"/>
    <cellStyle name="Normal 3" xfId="4" xr:uid="{7F5AB645-00E4-49E3-B493-A4FABCB531E1}"/>
    <cellStyle name="Normal 65" xfId="3" xr:uid="{8620092C-87E2-4796-B0DD-D84C21EC4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2924175" cy="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1</xdr:row>
      <xdr:rowOff>0</xdr:rowOff>
    </xdr:from>
    <xdr:to>
      <xdr:col>7</xdr:col>
      <xdr:colOff>98076</xdr:colOff>
      <xdr:row>2</xdr:row>
      <xdr:rowOff>55028</xdr:rowOff>
    </xdr:to>
    <xdr:pic>
      <xdr:nvPicPr>
        <xdr:cNvPr id="4" name="Imagem 3" descr="LOGO ENGELÉTRICA CDR X5.jpg">
          <a:extLst>
            <a:ext uri="{FF2B5EF4-FFF2-40B4-BE49-F238E27FC236}">
              <a16:creationId xmlns:a16="http://schemas.microsoft.com/office/drawing/2014/main" id="{F6C8D198-7601-4644-BB93-FAC438C3C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01"/>
          <a:ext cx="4055414" cy="1195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"/>
  <sheetViews>
    <sheetView workbookViewId="0"/>
  </sheetViews>
  <sheetFormatPr defaultColWidth="14.44140625" defaultRowHeight="15" customHeight="1" x14ac:dyDescent="0.3"/>
  <cols>
    <col min="1" max="1" width="11.6640625" customWidth="1"/>
    <col min="2" max="2" width="21.5546875" customWidth="1"/>
    <col min="3" max="3" width="13.44140625" customWidth="1"/>
    <col min="4" max="4" width="21.5546875" customWidth="1"/>
    <col min="5" max="5" width="4.6640625" customWidth="1"/>
    <col min="6" max="6" width="12.88671875" customWidth="1"/>
  </cols>
  <sheetData>
    <row r="1" spans="1:6" ht="1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3">
      <c r="A2" s="4" t="s">
        <v>6</v>
      </c>
      <c r="B2" s="5" t="s">
        <v>7</v>
      </c>
      <c r="C2" s="4">
        <v>2019044301</v>
      </c>
      <c r="D2" s="4" t="s">
        <v>8</v>
      </c>
      <c r="E2" s="4" t="s">
        <v>9</v>
      </c>
      <c r="F2" s="4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1"/>
  <sheetViews>
    <sheetView workbookViewId="0">
      <selection activeCell="E3" sqref="E3"/>
    </sheetView>
  </sheetViews>
  <sheetFormatPr defaultRowHeight="14.4" x14ac:dyDescent="0.3"/>
  <cols>
    <col min="1" max="1" width="10.33203125" bestFit="1" customWidth="1"/>
    <col min="2" max="2" width="14.109375" bestFit="1" customWidth="1"/>
    <col min="3" max="3" width="10.88671875" bestFit="1" customWidth="1"/>
    <col min="4" max="4" width="52.44140625" bestFit="1" customWidth="1"/>
    <col min="5" max="6" width="8" bestFit="1" customWidth="1"/>
    <col min="7" max="7" width="19.88671875" bestFit="1" customWidth="1"/>
    <col min="8" max="8" width="18.88671875" bestFit="1" customWidth="1"/>
  </cols>
  <sheetData>
    <row r="1" spans="1:8" x14ac:dyDescent="0.3">
      <c r="A1" s="143" t="s">
        <v>695</v>
      </c>
      <c r="B1" s="143" t="s">
        <v>696</v>
      </c>
      <c r="C1" s="143" t="s">
        <v>697</v>
      </c>
      <c r="D1" s="143" t="s">
        <v>696</v>
      </c>
      <c r="E1" s="143" t="s">
        <v>698</v>
      </c>
      <c r="F1" s="143" t="s">
        <v>699</v>
      </c>
      <c r="G1" s="81" t="s">
        <v>700</v>
      </c>
      <c r="H1" s="81" t="s">
        <v>701</v>
      </c>
    </row>
    <row r="2" spans="1:8" x14ac:dyDescent="0.3">
      <c r="A2" s="144">
        <v>150</v>
      </c>
      <c r="B2" s="144" t="s">
        <v>703</v>
      </c>
      <c r="C2" s="144">
        <v>92525</v>
      </c>
      <c r="D2" s="144" t="s">
        <v>998</v>
      </c>
      <c r="E2" s="144">
        <v>1</v>
      </c>
      <c r="F2" s="144">
        <v>0</v>
      </c>
      <c r="G2" s="82">
        <v>0</v>
      </c>
      <c r="H2" s="82">
        <v>0</v>
      </c>
    </row>
    <row r="3" spans="1:8" x14ac:dyDescent="0.3">
      <c r="A3" s="144">
        <v>500</v>
      </c>
      <c r="B3" s="144" t="s">
        <v>702</v>
      </c>
      <c r="C3" s="144">
        <v>6046</v>
      </c>
      <c r="D3" s="144" t="s">
        <v>789</v>
      </c>
      <c r="E3" s="144">
        <v>0</v>
      </c>
      <c r="F3" s="144">
        <v>38.28</v>
      </c>
      <c r="G3" s="82">
        <v>0</v>
      </c>
      <c r="H3" s="82">
        <v>0</v>
      </c>
    </row>
    <row r="4" spans="1:8" x14ac:dyDescent="0.3">
      <c r="A4" s="144">
        <v>500</v>
      </c>
      <c r="B4" s="144" t="s">
        <v>702</v>
      </c>
      <c r="C4" s="144">
        <v>6071</v>
      </c>
      <c r="D4" s="144" t="s">
        <v>686</v>
      </c>
      <c r="E4" s="144">
        <v>95.72</v>
      </c>
      <c r="F4" s="144">
        <v>0</v>
      </c>
      <c r="G4" s="82">
        <v>0</v>
      </c>
      <c r="H4" s="82">
        <v>0</v>
      </c>
    </row>
    <row r="5" spans="1:8" x14ac:dyDescent="0.3">
      <c r="A5" s="144">
        <v>500</v>
      </c>
      <c r="B5" s="144" t="s">
        <v>702</v>
      </c>
      <c r="C5" s="144">
        <v>6073</v>
      </c>
      <c r="D5" s="144" t="s">
        <v>509</v>
      </c>
      <c r="E5" s="144">
        <v>124.44</v>
      </c>
      <c r="F5" s="144">
        <v>0</v>
      </c>
      <c r="G5" s="82">
        <v>0</v>
      </c>
      <c r="H5" s="82">
        <v>0</v>
      </c>
    </row>
    <row r="6" spans="1:8" x14ac:dyDescent="0.3">
      <c r="A6" s="144">
        <v>500</v>
      </c>
      <c r="B6" s="144" t="s">
        <v>702</v>
      </c>
      <c r="C6" s="144">
        <v>6074</v>
      </c>
      <c r="D6" s="144" t="s">
        <v>510</v>
      </c>
      <c r="E6" s="144">
        <v>124.44</v>
      </c>
      <c r="F6" s="144">
        <v>0</v>
      </c>
      <c r="G6" s="82">
        <v>0</v>
      </c>
      <c r="H6" s="82">
        <v>0</v>
      </c>
    </row>
    <row r="7" spans="1:8" x14ac:dyDescent="0.3">
      <c r="A7" s="144">
        <v>500</v>
      </c>
      <c r="B7" s="144" t="s">
        <v>702</v>
      </c>
      <c r="C7" s="144">
        <v>6083</v>
      </c>
      <c r="D7" s="144" t="s">
        <v>968</v>
      </c>
      <c r="E7" s="144">
        <v>95.72</v>
      </c>
      <c r="F7" s="144">
        <v>0</v>
      </c>
      <c r="G7" s="82">
        <v>0</v>
      </c>
      <c r="H7" s="82">
        <v>0</v>
      </c>
    </row>
    <row r="8" spans="1:8" x14ac:dyDescent="0.3">
      <c r="A8" s="144">
        <v>500</v>
      </c>
      <c r="B8" s="144" t="s">
        <v>702</v>
      </c>
      <c r="C8" s="144">
        <v>6137</v>
      </c>
      <c r="D8" s="144" t="s">
        <v>804</v>
      </c>
      <c r="E8" s="144">
        <v>2758.72</v>
      </c>
      <c r="F8" s="144">
        <v>0</v>
      </c>
      <c r="G8" s="82">
        <v>0</v>
      </c>
      <c r="H8" s="82">
        <v>0</v>
      </c>
    </row>
    <row r="9" spans="1:8" x14ac:dyDescent="0.3">
      <c r="A9" s="144">
        <v>500</v>
      </c>
      <c r="B9" s="144" t="s">
        <v>702</v>
      </c>
      <c r="C9" s="144">
        <v>6220</v>
      </c>
      <c r="D9" s="144" t="s">
        <v>743</v>
      </c>
      <c r="E9" s="144">
        <v>143.58000000000001</v>
      </c>
      <c r="F9" s="144">
        <v>0</v>
      </c>
      <c r="G9" s="82">
        <v>0</v>
      </c>
      <c r="H9" s="82">
        <v>0</v>
      </c>
    </row>
    <row r="10" spans="1:8" x14ac:dyDescent="0.3">
      <c r="A10" s="144">
        <v>500</v>
      </c>
      <c r="B10" s="144" t="s">
        <v>702</v>
      </c>
      <c r="C10" s="144">
        <v>6227</v>
      </c>
      <c r="D10" s="144" t="s">
        <v>875</v>
      </c>
      <c r="E10" s="144">
        <v>0</v>
      </c>
      <c r="F10" s="144">
        <v>191.44</v>
      </c>
      <c r="G10" s="82">
        <v>0</v>
      </c>
      <c r="H10" s="82">
        <v>0</v>
      </c>
    </row>
    <row r="11" spans="1:8" x14ac:dyDescent="0.3">
      <c r="A11" s="144">
        <v>500</v>
      </c>
      <c r="B11" s="144" t="s">
        <v>702</v>
      </c>
      <c r="C11" s="144">
        <v>6235</v>
      </c>
      <c r="D11" s="144" t="s">
        <v>841</v>
      </c>
      <c r="E11" s="144">
        <v>9.58</v>
      </c>
      <c r="F11" s="144">
        <v>0</v>
      </c>
      <c r="G11" s="82">
        <v>0</v>
      </c>
      <c r="H11" s="82">
        <v>0</v>
      </c>
    </row>
    <row r="12" spans="1:8" x14ac:dyDescent="0.3">
      <c r="A12" s="144">
        <v>500</v>
      </c>
      <c r="B12" s="144" t="s">
        <v>702</v>
      </c>
      <c r="C12" s="144">
        <v>6252</v>
      </c>
      <c r="D12" s="144" t="s">
        <v>721</v>
      </c>
      <c r="E12" s="144">
        <v>17.23</v>
      </c>
      <c r="F12" s="144">
        <v>0</v>
      </c>
      <c r="G12" s="82">
        <v>0</v>
      </c>
      <c r="H12" s="82">
        <v>0</v>
      </c>
    </row>
    <row r="13" spans="1:8" x14ac:dyDescent="0.3">
      <c r="A13" s="144">
        <v>500</v>
      </c>
      <c r="B13" s="144" t="s">
        <v>702</v>
      </c>
      <c r="C13" s="144">
        <v>6281</v>
      </c>
      <c r="D13" s="144" t="s">
        <v>1075</v>
      </c>
      <c r="E13" s="144">
        <v>0</v>
      </c>
      <c r="F13" s="144">
        <v>95.72</v>
      </c>
      <c r="G13" s="82">
        <v>0</v>
      </c>
      <c r="H13" s="82">
        <v>0</v>
      </c>
    </row>
    <row r="14" spans="1:8" x14ac:dyDescent="0.3">
      <c r="A14" s="144">
        <v>500</v>
      </c>
      <c r="B14" s="144" t="s">
        <v>702</v>
      </c>
      <c r="C14" s="144">
        <v>6298</v>
      </c>
      <c r="D14" s="144" t="s">
        <v>1051</v>
      </c>
      <c r="E14" s="144">
        <v>0</v>
      </c>
      <c r="F14" s="144">
        <v>19.14</v>
      </c>
      <c r="G14" s="82">
        <v>0</v>
      </c>
      <c r="H14" s="82">
        <v>0</v>
      </c>
    </row>
    <row r="15" spans="1:8" x14ac:dyDescent="0.3">
      <c r="A15" s="144">
        <v>500</v>
      </c>
      <c r="B15" s="144" t="s">
        <v>702</v>
      </c>
      <c r="C15" s="144">
        <v>6317</v>
      </c>
      <c r="D15" s="144" t="s">
        <v>1029</v>
      </c>
      <c r="E15" s="144">
        <v>287.17</v>
      </c>
      <c r="F15" s="144">
        <v>0</v>
      </c>
      <c r="G15" s="82">
        <v>0</v>
      </c>
      <c r="H15" s="82">
        <v>0</v>
      </c>
    </row>
    <row r="16" spans="1:8" x14ac:dyDescent="0.3">
      <c r="A16" s="144">
        <v>500</v>
      </c>
      <c r="B16" s="144" t="s">
        <v>702</v>
      </c>
      <c r="C16" s="144">
        <v>6325</v>
      </c>
      <c r="D16" s="144" t="s">
        <v>781</v>
      </c>
      <c r="E16" s="144">
        <v>478.61</v>
      </c>
      <c r="F16" s="144">
        <v>0</v>
      </c>
      <c r="G16" s="82">
        <v>0</v>
      </c>
      <c r="H16" s="82">
        <v>0</v>
      </c>
    </row>
    <row r="17" spans="1:8" x14ac:dyDescent="0.3">
      <c r="A17" s="144">
        <v>500</v>
      </c>
      <c r="B17" s="144" t="s">
        <v>702</v>
      </c>
      <c r="C17" s="144">
        <v>6332</v>
      </c>
      <c r="D17" s="144" t="s">
        <v>969</v>
      </c>
      <c r="E17" s="144">
        <v>1435.83</v>
      </c>
      <c r="F17" s="144">
        <v>0</v>
      </c>
      <c r="G17" s="82">
        <v>0</v>
      </c>
      <c r="H17" s="82">
        <v>0</v>
      </c>
    </row>
    <row r="18" spans="1:8" x14ac:dyDescent="0.3">
      <c r="A18" s="144">
        <v>500</v>
      </c>
      <c r="B18" s="144" t="s">
        <v>702</v>
      </c>
      <c r="C18" s="144">
        <v>6344</v>
      </c>
      <c r="D18" s="144" t="s">
        <v>908</v>
      </c>
      <c r="E18" s="144">
        <v>1359.25</v>
      </c>
      <c r="F18" s="144">
        <v>0</v>
      </c>
      <c r="G18" s="82">
        <v>0</v>
      </c>
      <c r="H18" s="82">
        <v>0</v>
      </c>
    </row>
    <row r="19" spans="1:8" x14ac:dyDescent="0.3">
      <c r="A19" s="144">
        <v>500</v>
      </c>
      <c r="B19" s="144" t="s">
        <v>702</v>
      </c>
      <c r="C19" s="144">
        <v>6346</v>
      </c>
      <c r="D19" s="144" t="s">
        <v>924</v>
      </c>
      <c r="E19" s="144">
        <v>0</v>
      </c>
      <c r="F19" s="144">
        <v>191.44</v>
      </c>
      <c r="G19" s="82">
        <v>0</v>
      </c>
      <c r="H19" s="82">
        <v>0</v>
      </c>
    </row>
    <row r="20" spans="1:8" x14ac:dyDescent="0.3">
      <c r="A20" s="144">
        <v>500</v>
      </c>
      <c r="B20" s="144" t="s">
        <v>702</v>
      </c>
      <c r="C20" s="144">
        <v>6352</v>
      </c>
      <c r="D20" s="144" t="s">
        <v>912</v>
      </c>
      <c r="E20" s="144">
        <v>0</v>
      </c>
      <c r="F20" s="144">
        <v>9.58</v>
      </c>
      <c r="G20" s="82">
        <v>0</v>
      </c>
      <c r="H20" s="82">
        <v>0</v>
      </c>
    </row>
    <row r="21" spans="1:8" x14ac:dyDescent="0.3">
      <c r="A21" s="144">
        <v>500</v>
      </c>
      <c r="B21" s="144" t="s">
        <v>702</v>
      </c>
      <c r="C21" s="144">
        <v>6355</v>
      </c>
      <c r="D21" s="144" t="s">
        <v>793</v>
      </c>
      <c r="E21" s="144">
        <v>0</v>
      </c>
      <c r="F21" s="144">
        <v>14.36</v>
      </c>
      <c r="G21" s="82">
        <v>0</v>
      </c>
      <c r="H21" s="82">
        <v>0</v>
      </c>
    </row>
    <row r="22" spans="1:8" x14ac:dyDescent="0.3">
      <c r="A22" s="144">
        <v>500</v>
      </c>
      <c r="B22" s="144" t="s">
        <v>702</v>
      </c>
      <c r="C22" s="144">
        <v>6367</v>
      </c>
      <c r="D22" s="144" t="s">
        <v>814</v>
      </c>
      <c r="E22" s="144">
        <v>0</v>
      </c>
      <c r="F22" s="144">
        <v>95.72</v>
      </c>
      <c r="G22" s="82">
        <v>0</v>
      </c>
      <c r="H22" s="82">
        <v>0</v>
      </c>
    </row>
    <row r="23" spans="1:8" x14ac:dyDescent="0.3">
      <c r="A23" s="144">
        <v>500</v>
      </c>
      <c r="B23" s="144" t="s">
        <v>702</v>
      </c>
      <c r="C23" s="144">
        <v>6373</v>
      </c>
      <c r="D23" s="144" t="s">
        <v>1077</v>
      </c>
      <c r="E23" s="144">
        <v>0</v>
      </c>
      <c r="F23" s="144">
        <v>574.33000000000004</v>
      </c>
      <c r="G23" s="82">
        <v>0</v>
      </c>
      <c r="H23" s="82">
        <v>0</v>
      </c>
    </row>
    <row r="24" spans="1:8" x14ac:dyDescent="0.3">
      <c r="A24" s="144">
        <v>500</v>
      </c>
      <c r="B24" s="144" t="s">
        <v>702</v>
      </c>
      <c r="C24" s="144">
        <v>6377</v>
      </c>
      <c r="D24" s="144" t="s">
        <v>786</v>
      </c>
      <c r="E24" s="144">
        <v>215.38</v>
      </c>
      <c r="F24" s="144">
        <v>0</v>
      </c>
      <c r="G24" s="82">
        <v>0</v>
      </c>
      <c r="H24" s="82">
        <v>0</v>
      </c>
    </row>
    <row r="25" spans="1:8" x14ac:dyDescent="0.3">
      <c r="A25" s="144">
        <v>500</v>
      </c>
      <c r="B25" s="144" t="s">
        <v>702</v>
      </c>
      <c r="C25" s="144">
        <v>6381</v>
      </c>
      <c r="D25" s="144" t="s">
        <v>1031</v>
      </c>
      <c r="E25" s="144">
        <v>95.72</v>
      </c>
      <c r="F25" s="144">
        <v>0</v>
      </c>
      <c r="G25" s="82">
        <v>0</v>
      </c>
      <c r="H25" s="82">
        <v>0</v>
      </c>
    </row>
    <row r="26" spans="1:8" x14ac:dyDescent="0.3">
      <c r="A26" s="144">
        <v>500</v>
      </c>
      <c r="B26" s="144" t="s">
        <v>702</v>
      </c>
      <c r="C26" s="144">
        <v>6389</v>
      </c>
      <c r="D26" s="144" t="s">
        <v>725</v>
      </c>
      <c r="E26" s="144">
        <v>478.61</v>
      </c>
      <c r="F26" s="144">
        <v>0</v>
      </c>
      <c r="G26" s="82">
        <v>0</v>
      </c>
      <c r="H26" s="82">
        <v>0</v>
      </c>
    </row>
    <row r="27" spans="1:8" x14ac:dyDescent="0.3">
      <c r="A27" s="144">
        <v>500</v>
      </c>
      <c r="B27" s="144" t="s">
        <v>702</v>
      </c>
      <c r="C27" s="144">
        <v>6396</v>
      </c>
      <c r="D27" s="144" t="s">
        <v>747</v>
      </c>
      <c r="E27" s="144">
        <v>1079.75</v>
      </c>
      <c r="F27" s="144">
        <v>0</v>
      </c>
      <c r="G27" s="82">
        <v>0</v>
      </c>
      <c r="H27" s="82">
        <v>0</v>
      </c>
    </row>
    <row r="28" spans="1:8" x14ac:dyDescent="0.3">
      <c r="A28" s="144">
        <v>500</v>
      </c>
      <c r="B28" s="144" t="s">
        <v>702</v>
      </c>
      <c r="C28" s="144">
        <v>6403</v>
      </c>
      <c r="D28" s="144" t="s">
        <v>1010</v>
      </c>
      <c r="E28" s="144">
        <v>47.86</v>
      </c>
      <c r="F28" s="144">
        <v>0</v>
      </c>
      <c r="G28" s="82">
        <v>0</v>
      </c>
      <c r="H28" s="82">
        <v>0</v>
      </c>
    </row>
    <row r="29" spans="1:8" x14ac:dyDescent="0.3">
      <c r="A29" s="144">
        <v>500</v>
      </c>
      <c r="B29" s="144" t="s">
        <v>702</v>
      </c>
      <c r="C29" s="144">
        <v>6427</v>
      </c>
      <c r="D29" s="144" t="s">
        <v>1038</v>
      </c>
      <c r="E29" s="144">
        <v>95.72</v>
      </c>
      <c r="F29" s="144">
        <v>0</v>
      </c>
      <c r="G29" s="82">
        <v>0</v>
      </c>
      <c r="H29" s="82">
        <v>0</v>
      </c>
    </row>
    <row r="30" spans="1:8" x14ac:dyDescent="0.3">
      <c r="A30" s="144">
        <v>500</v>
      </c>
      <c r="B30" s="144" t="s">
        <v>702</v>
      </c>
      <c r="C30" s="144">
        <v>6432</v>
      </c>
      <c r="D30" s="144" t="s">
        <v>1087</v>
      </c>
      <c r="E30" s="144">
        <v>47.86</v>
      </c>
      <c r="F30" s="144">
        <v>0</v>
      </c>
      <c r="G30" s="82">
        <v>0</v>
      </c>
      <c r="H30" s="82">
        <v>0</v>
      </c>
    </row>
    <row r="31" spans="1:8" x14ac:dyDescent="0.3">
      <c r="A31" s="144">
        <v>500</v>
      </c>
      <c r="B31" s="144" t="s">
        <v>702</v>
      </c>
      <c r="C31" s="144">
        <v>6436</v>
      </c>
      <c r="D31" s="144" t="s">
        <v>756</v>
      </c>
      <c r="E31" s="144">
        <v>87.11</v>
      </c>
      <c r="F31" s="144">
        <v>37.33</v>
      </c>
      <c r="G31" s="82">
        <v>0</v>
      </c>
      <c r="H31" s="82">
        <v>0</v>
      </c>
    </row>
    <row r="32" spans="1:8" x14ac:dyDescent="0.3">
      <c r="A32" s="144">
        <v>500</v>
      </c>
      <c r="B32" s="144" t="s">
        <v>702</v>
      </c>
      <c r="C32" s="144">
        <v>6441</v>
      </c>
      <c r="D32" s="144" t="s">
        <v>843</v>
      </c>
      <c r="E32" s="144">
        <v>47.86</v>
      </c>
      <c r="F32" s="144">
        <v>0</v>
      </c>
      <c r="G32" s="82">
        <v>0</v>
      </c>
      <c r="H32" s="82">
        <v>0</v>
      </c>
    </row>
    <row r="33" spans="1:8" x14ac:dyDescent="0.3">
      <c r="A33" s="144">
        <v>500</v>
      </c>
      <c r="B33" s="144" t="s">
        <v>702</v>
      </c>
      <c r="C33" s="144">
        <v>6442</v>
      </c>
      <c r="D33" s="144" t="s">
        <v>1094</v>
      </c>
      <c r="E33" s="144">
        <v>47.86</v>
      </c>
      <c r="F33" s="144">
        <v>0</v>
      </c>
      <c r="G33" s="82">
        <v>0</v>
      </c>
      <c r="H33" s="82">
        <v>0</v>
      </c>
    </row>
    <row r="34" spans="1:8" x14ac:dyDescent="0.3">
      <c r="A34" s="144">
        <v>500</v>
      </c>
      <c r="B34" s="144" t="s">
        <v>702</v>
      </c>
      <c r="C34" s="144">
        <v>6455</v>
      </c>
      <c r="D34" s="144" t="s">
        <v>736</v>
      </c>
      <c r="E34" s="144">
        <v>0</v>
      </c>
      <c r="F34" s="144">
        <v>38.28</v>
      </c>
      <c r="G34" s="82">
        <v>0</v>
      </c>
      <c r="H34" s="82">
        <v>0</v>
      </c>
    </row>
    <row r="35" spans="1:8" x14ac:dyDescent="0.3">
      <c r="A35" s="144">
        <v>500</v>
      </c>
      <c r="B35" s="144" t="s">
        <v>702</v>
      </c>
      <c r="C35" s="144">
        <v>6470</v>
      </c>
      <c r="D35" s="144" t="s">
        <v>1027</v>
      </c>
      <c r="E35" s="144">
        <v>0</v>
      </c>
      <c r="F35" s="144">
        <v>47.86</v>
      </c>
      <c r="G35" s="82">
        <v>0</v>
      </c>
      <c r="H35" s="82">
        <v>0</v>
      </c>
    </row>
    <row r="36" spans="1:8" x14ac:dyDescent="0.3">
      <c r="A36" s="144">
        <v>500</v>
      </c>
      <c r="B36" s="144" t="s">
        <v>702</v>
      </c>
      <c r="C36" s="144">
        <v>6502</v>
      </c>
      <c r="D36" s="144" t="s">
        <v>1046</v>
      </c>
      <c r="E36" s="144">
        <v>26.8</v>
      </c>
      <c r="F36" s="144">
        <v>11.49</v>
      </c>
      <c r="G36" s="82">
        <v>0</v>
      </c>
      <c r="H36" s="82">
        <v>0</v>
      </c>
    </row>
    <row r="37" spans="1:8" x14ac:dyDescent="0.3">
      <c r="A37" s="144">
        <v>500</v>
      </c>
      <c r="B37" s="144" t="s">
        <v>702</v>
      </c>
      <c r="C37" s="144">
        <v>6524</v>
      </c>
      <c r="D37" s="144" t="s">
        <v>893</v>
      </c>
      <c r="E37" s="144">
        <v>32.549999999999997</v>
      </c>
      <c r="F37" s="144">
        <v>14.36</v>
      </c>
      <c r="G37" s="82">
        <v>0</v>
      </c>
      <c r="H37" s="82">
        <v>0</v>
      </c>
    </row>
    <row r="38" spans="1:8" x14ac:dyDescent="0.3">
      <c r="A38" s="144">
        <v>500</v>
      </c>
      <c r="B38" s="144" t="s">
        <v>702</v>
      </c>
      <c r="C38" s="144">
        <v>6599</v>
      </c>
      <c r="D38" s="144" t="s">
        <v>758</v>
      </c>
      <c r="E38" s="144">
        <v>775.35</v>
      </c>
      <c r="F38" s="144">
        <v>332.16</v>
      </c>
      <c r="G38" s="82">
        <v>0</v>
      </c>
      <c r="H38" s="82">
        <v>0</v>
      </c>
    </row>
    <row r="39" spans="1:8" x14ac:dyDescent="0.3">
      <c r="A39" s="144">
        <v>500</v>
      </c>
      <c r="B39" s="144" t="s">
        <v>702</v>
      </c>
      <c r="C39" s="144">
        <v>6604</v>
      </c>
      <c r="D39" s="144" t="s">
        <v>825</v>
      </c>
      <c r="E39" s="144">
        <v>0</v>
      </c>
      <c r="F39" s="144">
        <v>765.78</v>
      </c>
      <c r="G39" s="82">
        <v>0</v>
      </c>
      <c r="H39" s="82">
        <v>0</v>
      </c>
    </row>
    <row r="40" spans="1:8" x14ac:dyDescent="0.3">
      <c r="A40" s="144">
        <v>500</v>
      </c>
      <c r="B40" s="144" t="s">
        <v>702</v>
      </c>
      <c r="C40" s="144">
        <v>6608</v>
      </c>
      <c r="D40" s="144" t="s">
        <v>1083</v>
      </c>
      <c r="E40" s="144">
        <v>0</v>
      </c>
      <c r="F40" s="144">
        <v>430.75</v>
      </c>
      <c r="G40" s="82">
        <v>0</v>
      </c>
      <c r="H40" s="82">
        <v>0</v>
      </c>
    </row>
    <row r="41" spans="1:8" x14ac:dyDescent="0.3">
      <c r="A41" s="144">
        <v>500</v>
      </c>
      <c r="B41" s="144" t="s">
        <v>702</v>
      </c>
      <c r="C41" s="144">
        <v>6610</v>
      </c>
      <c r="D41" s="144" t="s">
        <v>852</v>
      </c>
      <c r="E41" s="144">
        <v>938.08</v>
      </c>
      <c r="F41" s="144">
        <v>402.03</v>
      </c>
      <c r="G41" s="82">
        <v>0</v>
      </c>
      <c r="H41" s="82">
        <v>0</v>
      </c>
    </row>
    <row r="42" spans="1:8" x14ac:dyDescent="0.3">
      <c r="A42" s="144">
        <v>500</v>
      </c>
      <c r="B42" s="144" t="s">
        <v>702</v>
      </c>
      <c r="C42" s="144">
        <v>6629</v>
      </c>
      <c r="D42" s="144" t="s">
        <v>1026</v>
      </c>
      <c r="E42" s="144">
        <v>0</v>
      </c>
      <c r="F42" s="144">
        <v>287.17</v>
      </c>
      <c r="G42" s="82">
        <v>0</v>
      </c>
      <c r="H42" s="82">
        <v>0</v>
      </c>
    </row>
    <row r="43" spans="1:8" x14ac:dyDescent="0.3">
      <c r="A43" s="144">
        <v>500</v>
      </c>
      <c r="B43" s="144" t="s">
        <v>702</v>
      </c>
      <c r="C43" s="144">
        <v>6632</v>
      </c>
      <c r="D43" s="144" t="s">
        <v>932</v>
      </c>
      <c r="E43" s="144">
        <v>2680.22</v>
      </c>
      <c r="F43" s="144">
        <v>0</v>
      </c>
      <c r="G43" s="82">
        <v>0</v>
      </c>
      <c r="H43" s="82">
        <v>0</v>
      </c>
    </row>
    <row r="44" spans="1:8" x14ac:dyDescent="0.3">
      <c r="A44" s="144">
        <v>500</v>
      </c>
      <c r="B44" s="144" t="s">
        <v>702</v>
      </c>
      <c r="C44" s="144">
        <v>6645</v>
      </c>
      <c r="D44" s="144" t="s">
        <v>951</v>
      </c>
      <c r="E44" s="144">
        <v>217.28</v>
      </c>
      <c r="F44" s="144">
        <v>0</v>
      </c>
      <c r="G44" s="82">
        <v>0</v>
      </c>
      <c r="H44" s="82">
        <v>0</v>
      </c>
    </row>
    <row r="45" spans="1:8" x14ac:dyDescent="0.3">
      <c r="A45" s="144">
        <v>500</v>
      </c>
      <c r="B45" s="144" t="s">
        <v>702</v>
      </c>
      <c r="C45" s="144">
        <v>6676</v>
      </c>
      <c r="D45" s="144" t="s">
        <v>593</v>
      </c>
      <c r="E45" s="144">
        <v>313.89999999999998</v>
      </c>
      <c r="F45" s="144">
        <v>0</v>
      </c>
      <c r="G45" s="82">
        <v>0</v>
      </c>
      <c r="H45" s="82">
        <v>0</v>
      </c>
    </row>
    <row r="46" spans="1:8" x14ac:dyDescent="0.3">
      <c r="A46" s="144">
        <v>500</v>
      </c>
      <c r="B46" s="144" t="s">
        <v>702</v>
      </c>
      <c r="C46" s="144">
        <v>6681</v>
      </c>
      <c r="D46" s="144" t="s">
        <v>505</v>
      </c>
      <c r="E46" s="144">
        <v>841.23</v>
      </c>
      <c r="F46" s="144">
        <v>0</v>
      </c>
      <c r="G46" s="82">
        <v>0</v>
      </c>
      <c r="H46" s="82">
        <v>0</v>
      </c>
    </row>
    <row r="47" spans="1:8" x14ac:dyDescent="0.3">
      <c r="A47" s="144">
        <v>500</v>
      </c>
      <c r="B47" s="144" t="s">
        <v>702</v>
      </c>
      <c r="C47" s="144">
        <v>6691</v>
      </c>
      <c r="D47" s="144" t="s">
        <v>511</v>
      </c>
      <c r="E47" s="144">
        <v>31.39</v>
      </c>
      <c r="F47" s="144">
        <v>0</v>
      </c>
      <c r="G47" s="82">
        <v>0</v>
      </c>
      <c r="H47" s="82">
        <v>0</v>
      </c>
    </row>
    <row r="48" spans="1:8" x14ac:dyDescent="0.3">
      <c r="A48" s="144">
        <v>500</v>
      </c>
      <c r="B48" s="144" t="s">
        <v>702</v>
      </c>
      <c r="C48" s="144">
        <v>6697</v>
      </c>
      <c r="D48" s="144" t="s">
        <v>519</v>
      </c>
      <c r="E48" s="144">
        <v>354.71</v>
      </c>
      <c r="F48" s="144">
        <v>0</v>
      </c>
      <c r="G48" s="82">
        <v>0</v>
      </c>
      <c r="H48" s="82">
        <v>0</v>
      </c>
    </row>
    <row r="49" spans="1:8" x14ac:dyDescent="0.3">
      <c r="A49" s="144">
        <v>500</v>
      </c>
      <c r="B49" s="144" t="s">
        <v>702</v>
      </c>
      <c r="C49" s="144">
        <v>6710</v>
      </c>
      <c r="D49" s="144" t="s">
        <v>688</v>
      </c>
      <c r="E49" s="144">
        <v>458.29</v>
      </c>
      <c r="F49" s="144">
        <v>0</v>
      </c>
      <c r="G49" s="82">
        <v>0</v>
      </c>
      <c r="H49" s="82">
        <v>0</v>
      </c>
    </row>
    <row r="50" spans="1:8" x14ac:dyDescent="0.3">
      <c r="A50" s="144">
        <v>500</v>
      </c>
      <c r="B50" s="144" t="s">
        <v>702</v>
      </c>
      <c r="C50" s="144">
        <v>6714</v>
      </c>
      <c r="D50" s="144" t="s">
        <v>517</v>
      </c>
      <c r="E50" s="144">
        <v>178.93</v>
      </c>
      <c r="F50" s="144">
        <v>0</v>
      </c>
      <c r="G50" s="82">
        <v>0</v>
      </c>
      <c r="H50" s="82">
        <v>0</v>
      </c>
    </row>
    <row r="51" spans="1:8" x14ac:dyDescent="0.3">
      <c r="A51" s="144">
        <v>500</v>
      </c>
      <c r="B51" s="144" t="s">
        <v>702</v>
      </c>
      <c r="C51" s="144">
        <v>6721</v>
      </c>
      <c r="D51" s="144" t="s">
        <v>538</v>
      </c>
      <c r="E51" s="144">
        <v>87.89</v>
      </c>
      <c r="F51" s="144">
        <v>0</v>
      </c>
      <c r="G51" s="82">
        <v>0</v>
      </c>
      <c r="H51" s="82">
        <v>0</v>
      </c>
    </row>
    <row r="52" spans="1:8" x14ac:dyDescent="0.3">
      <c r="A52" s="144">
        <v>500</v>
      </c>
      <c r="B52" s="144" t="s">
        <v>702</v>
      </c>
      <c r="C52" s="144">
        <v>6724</v>
      </c>
      <c r="D52" s="144" t="s">
        <v>540</v>
      </c>
      <c r="E52" s="144">
        <v>1412.53</v>
      </c>
      <c r="F52" s="144">
        <v>0</v>
      </c>
      <c r="G52" s="82">
        <v>0</v>
      </c>
      <c r="H52" s="82">
        <v>0</v>
      </c>
    </row>
    <row r="53" spans="1:8" x14ac:dyDescent="0.3">
      <c r="A53" s="144">
        <v>500</v>
      </c>
      <c r="B53" s="144" t="s">
        <v>702</v>
      </c>
      <c r="C53" s="144">
        <v>6734</v>
      </c>
      <c r="D53" s="144" t="s">
        <v>548</v>
      </c>
      <c r="E53" s="144">
        <v>31.39</v>
      </c>
      <c r="F53" s="144">
        <v>0</v>
      </c>
      <c r="G53" s="82">
        <v>0</v>
      </c>
      <c r="H53" s="82">
        <v>0</v>
      </c>
    </row>
    <row r="54" spans="1:8" x14ac:dyDescent="0.3">
      <c r="A54" s="144">
        <v>500</v>
      </c>
      <c r="B54" s="144" t="s">
        <v>702</v>
      </c>
      <c r="C54" s="144">
        <v>6736</v>
      </c>
      <c r="D54" s="144" t="s">
        <v>601</v>
      </c>
      <c r="E54" s="144">
        <v>141.25</v>
      </c>
      <c r="F54" s="144">
        <v>0</v>
      </c>
      <c r="G54" s="82">
        <v>0</v>
      </c>
      <c r="H54" s="82">
        <v>0</v>
      </c>
    </row>
    <row r="55" spans="1:8" x14ac:dyDescent="0.3">
      <c r="A55" s="144">
        <v>500</v>
      </c>
      <c r="B55" s="144" t="s">
        <v>702</v>
      </c>
      <c r="C55" s="144">
        <v>6740</v>
      </c>
      <c r="D55" s="144" t="s">
        <v>566</v>
      </c>
      <c r="E55" s="144">
        <v>351.56</v>
      </c>
      <c r="F55" s="144">
        <v>150.66999999999999</v>
      </c>
      <c r="G55" s="82">
        <v>0</v>
      </c>
      <c r="H55" s="82">
        <v>0</v>
      </c>
    </row>
    <row r="56" spans="1:8" x14ac:dyDescent="0.3">
      <c r="A56" s="144">
        <v>500</v>
      </c>
      <c r="B56" s="144" t="s">
        <v>702</v>
      </c>
      <c r="C56" s="144">
        <v>6769</v>
      </c>
      <c r="D56" s="144" t="s">
        <v>461</v>
      </c>
      <c r="E56" s="144">
        <v>0</v>
      </c>
      <c r="F56" s="144">
        <v>3.14</v>
      </c>
      <c r="G56" s="82">
        <v>0</v>
      </c>
      <c r="H56" s="82">
        <v>0</v>
      </c>
    </row>
    <row r="57" spans="1:8" x14ac:dyDescent="0.3">
      <c r="A57" s="144">
        <v>500</v>
      </c>
      <c r="B57" s="144" t="s">
        <v>702</v>
      </c>
      <c r="C57" s="144">
        <v>6782</v>
      </c>
      <c r="D57" s="144" t="s">
        <v>487</v>
      </c>
      <c r="E57" s="144">
        <v>0</v>
      </c>
      <c r="F57" s="144">
        <v>313.89999999999998</v>
      </c>
      <c r="G57" s="82">
        <v>0</v>
      </c>
      <c r="H57" s="82">
        <v>0</v>
      </c>
    </row>
    <row r="58" spans="1:8" x14ac:dyDescent="0.3">
      <c r="A58" s="144">
        <v>500</v>
      </c>
      <c r="B58" s="144" t="s">
        <v>702</v>
      </c>
      <c r="C58" s="144">
        <v>6795</v>
      </c>
      <c r="D58" s="144" t="s">
        <v>491</v>
      </c>
      <c r="E58" s="144">
        <v>0</v>
      </c>
      <c r="F58" s="144">
        <v>91.02</v>
      </c>
      <c r="G58" s="82">
        <v>0</v>
      </c>
      <c r="H58" s="82">
        <v>0</v>
      </c>
    </row>
    <row r="59" spans="1:8" x14ac:dyDescent="0.3">
      <c r="A59" s="144">
        <v>500</v>
      </c>
      <c r="B59" s="144" t="s">
        <v>702</v>
      </c>
      <c r="C59" s="144">
        <v>6800</v>
      </c>
      <c r="D59" s="144" t="s">
        <v>494</v>
      </c>
      <c r="E59" s="144">
        <v>0</v>
      </c>
      <c r="F59" s="144">
        <v>533.62</v>
      </c>
      <c r="G59" s="82">
        <v>0</v>
      </c>
      <c r="H59" s="82">
        <v>0</v>
      </c>
    </row>
    <row r="60" spans="1:8" x14ac:dyDescent="0.3">
      <c r="A60" s="144">
        <v>500</v>
      </c>
      <c r="B60" s="144" t="s">
        <v>702</v>
      </c>
      <c r="C60" s="144">
        <v>6805</v>
      </c>
      <c r="D60" s="144" t="s">
        <v>606</v>
      </c>
      <c r="E60" s="144">
        <v>131.83000000000001</v>
      </c>
      <c r="F60" s="144">
        <v>56.5</v>
      </c>
      <c r="G60" s="82">
        <v>0</v>
      </c>
      <c r="H60" s="82">
        <v>0</v>
      </c>
    </row>
    <row r="61" spans="1:8" x14ac:dyDescent="0.3">
      <c r="A61" s="144">
        <v>500</v>
      </c>
      <c r="B61" s="144" t="s">
        <v>702</v>
      </c>
      <c r="C61" s="144">
        <v>6807</v>
      </c>
      <c r="D61" s="144" t="s">
        <v>610</v>
      </c>
      <c r="E61" s="144">
        <v>373.54</v>
      </c>
      <c r="F61" s="144">
        <v>160.08000000000001</v>
      </c>
      <c r="G61" s="82">
        <v>0</v>
      </c>
      <c r="H61" s="82">
        <v>0</v>
      </c>
    </row>
    <row r="62" spans="1:8" x14ac:dyDescent="0.3">
      <c r="A62" s="144">
        <v>500</v>
      </c>
      <c r="B62" s="144" t="s">
        <v>702</v>
      </c>
      <c r="C62" s="144">
        <v>6815</v>
      </c>
      <c r="D62" s="144" t="s">
        <v>616</v>
      </c>
      <c r="E62" s="144">
        <v>210.31</v>
      </c>
      <c r="F62" s="144">
        <v>91.02</v>
      </c>
      <c r="G62" s="82">
        <v>0</v>
      </c>
      <c r="H62" s="82">
        <v>0</v>
      </c>
    </row>
    <row r="63" spans="1:8" x14ac:dyDescent="0.3">
      <c r="A63" s="144">
        <v>500</v>
      </c>
      <c r="B63" s="144" t="s">
        <v>702</v>
      </c>
      <c r="C63" s="144">
        <v>6841</v>
      </c>
      <c r="D63" s="144" t="s">
        <v>596</v>
      </c>
      <c r="E63" s="144">
        <v>470.84</v>
      </c>
      <c r="F63" s="144">
        <v>0</v>
      </c>
      <c r="G63" s="82">
        <v>0</v>
      </c>
      <c r="H63" s="82">
        <v>0</v>
      </c>
    </row>
    <row r="64" spans="1:8" x14ac:dyDescent="0.3">
      <c r="A64" s="144">
        <v>500</v>
      </c>
      <c r="B64" s="144" t="s">
        <v>702</v>
      </c>
      <c r="C64" s="144">
        <v>6907</v>
      </c>
      <c r="D64" s="144" t="s">
        <v>991</v>
      </c>
      <c r="E64" s="144">
        <v>19.14</v>
      </c>
      <c r="F64" s="144">
        <v>7.66</v>
      </c>
      <c r="G64" s="82">
        <v>0</v>
      </c>
      <c r="H64" s="82">
        <v>0</v>
      </c>
    </row>
    <row r="65" spans="1:8" x14ac:dyDescent="0.3">
      <c r="A65" s="144">
        <v>500</v>
      </c>
      <c r="B65" s="144" t="s">
        <v>702</v>
      </c>
      <c r="C65" s="144">
        <v>6938</v>
      </c>
      <c r="D65" s="144" t="s">
        <v>1056</v>
      </c>
      <c r="E65" s="144">
        <v>70.83</v>
      </c>
      <c r="F65" s="144">
        <v>29.67</v>
      </c>
      <c r="G65" s="82">
        <v>0</v>
      </c>
      <c r="H65" s="82">
        <v>0</v>
      </c>
    </row>
    <row r="66" spans="1:8" x14ac:dyDescent="0.3">
      <c r="A66" s="144">
        <v>500</v>
      </c>
      <c r="B66" s="144" t="s">
        <v>702</v>
      </c>
      <c r="C66" s="144">
        <v>7174</v>
      </c>
      <c r="D66" s="144" t="s">
        <v>1045</v>
      </c>
      <c r="E66" s="144">
        <v>0</v>
      </c>
      <c r="F66" s="144">
        <v>95.72</v>
      </c>
      <c r="G66" s="82">
        <v>0</v>
      </c>
      <c r="H66" s="82">
        <v>0</v>
      </c>
    </row>
    <row r="67" spans="1:8" x14ac:dyDescent="0.3">
      <c r="A67" s="144">
        <v>500</v>
      </c>
      <c r="B67" s="144" t="s">
        <v>702</v>
      </c>
      <c r="C67" s="144">
        <v>7292</v>
      </c>
      <c r="D67" s="144" t="s">
        <v>885</v>
      </c>
      <c r="E67" s="144">
        <v>11.49</v>
      </c>
      <c r="F67" s="144">
        <v>0</v>
      </c>
      <c r="G67" s="82">
        <v>0</v>
      </c>
      <c r="H67" s="82">
        <v>0</v>
      </c>
    </row>
    <row r="68" spans="1:8" x14ac:dyDescent="0.3">
      <c r="A68" s="144">
        <v>500</v>
      </c>
      <c r="B68" s="144" t="s">
        <v>702</v>
      </c>
      <c r="C68" s="144">
        <v>7584</v>
      </c>
      <c r="D68" s="144" t="s">
        <v>1098</v>
      </c>
      <c r="E68" s="144">
        <v>140.72</v>
      </c>
      <c r="F68" s="144">
        <v>60.31</v>
      </c>
      <c r="G68" s="82">
        <v>0</v>
      </c>
      <c r="H68" s="82">
        <v>0</v>
      </c>
    </row>
    <row r="69" spans="1:8" x14ac:dyDescent="0.3">
      <c r="A69" s="144">
        <v>500</v>
      </c>
      <c r="B69" s="144" t="s">
        <v>702</v>
      </c>
      <c r="C69" s="144">
        <v>7592</v>
      </c>
      <c r="D69" s="144" t="s">
        <v>769</v>
      </c>
      <c r="E69" s="144">
        <v>175.17</v>
      </c>
      <c r="F69" s="144">
        <v>75.62</v>
      </c>
      <c r="G69" s="82">
        <v>0</v>
      </c>
      <c r="H69" s="82">
        <v>0</v>
      </c>
    </row>
    <row r="70" spans="1:8" x14ac:dyDescent="0.3">
      <c r="A70" s="144">
        <v>500</v>
      </c>
      <c r="B70" s="144" t="s">
        <v>702</v>
      </c>
      <c r="C70" s="144">
        <v>7953</v>
      </c>
      <c r="D70" s="144" t="s">
        <v>1048</v>
      </c>
      <c r="E70" s="144">
        <v>150.66999999999999</v>
      </c>
      <c r="F70" s="144">
        <v>0</v>
      </c>
      <c r="G70" s="82">
        <v>0</v>
      </c>
      <c r="H70" s="82">
        <v>0</v>
      </c>
    </row>
    <row r="71" spans="1:8" x14ac:dyDescent="0.3">
      <c r="A71" s="144">
        <v>500</v>
      </c>
      <c r="B71" s="144" t="s">
        <v>702</v>
      </c>
      <c r="C71" s="144">
        <v>92331</v>
      </c>
      <c r="D71" s="144" t="s">
        <v>1109</v>
      </c>
      <c r="E71" s="144">
        <v>172.64</v>
      </c>
      <c r="F71" s="144">
        <v>0</v>
      </c>
      <c r="G71" s="82">
        <v>0</v>
      </c>
      <c r="H71" s="82">
        <v>0</v>
      </c>
    </row>
    <row r="72" spans="1:8" x14ac:dyDescent="0.3">
      <c r="A72" s="144">
        <v>150</v>
      </c>
      <c r="B72" s="144" t="s">
        <v>703</v>
      </c>
      <c r="C72" s="144">
        <v>92325</v>
      </c>
      <c r="D72" s="144" t="s">
        <v>1050</v>
      </c>
      <c r="E72" s="144">
        <v>1.92</v>
      </c>
      <c r="F72" s="144">
        <v>0</v>
      </c>
      <c r="G72" s="82">
        <v>0</v>
      </c>
      <c r="H72" s="82">
        <v>0</v>
      </c>
    </row>
    <row r="73" spans="1:8" x14ac:dyDescent="0.3">
      <c r="A73" s="144">
        <v>234</v>
      </c>
      <c r="B73" s="144" t="s">
        <v>1350</v>
      </c>
      <c r="C73" s="144">
        <v>60163</v>
      </c>
      <c r="D73" s="144" t="s">
        <v>766</v>
      </c>
      <c r="E73" s="144">
        <v>1</v>
      </c>
      <c r="F73" s="144">
        <v>0</v>
      </c>
      <c r="G73" s="82">
        <v>0</v>
      </c>
      <c r="H73" s="82">
        <v>0</v>
      </c>
    </row>
    <row r="74" spans="1:8" x14ac:dyDescent="0.3">
      <c r="A74" s="144">
        <v>234</v>
      </c>
      <c r="B74" s="144" t="s">
        <v>1350</v>
      </c>
      <c r="C74" s="144">
        <v>67000</v>
      </c>
      <c r="D74" s="144" t="s">
        <v>1351</v>
      </c>
      <c r="E74" s="144">
        <v>574.33000000000004</v>
      </c>
      <c r="F74" s="144">
        <v>0</v>
      </c>
      <c r="G74" s="82">
        <v>0</v>
      </c>
      <c r="H74" s="82">
        <v>0</v>
      </c>
    </row>
    <row r="75" spans="1:8" x14ac:dyDescent="0.3">
      <c r="A75" s="144">
        <v>500</v>
      </c>
      <c r="B75" s="144" t="s">
        <v>702</v>
      </c>
      <c r="C75" s="144">
        <v>6102</v>
      </c>
      <c r="D75" s="144" t="s">
        <v>632</v>
      </c>
      <c r="E75" s="144">
        <v>116.14</v>
      </c>
      <c r="F75" s="144">
        <v>50.23</v>
      </c>
      <c r="G75" s="82">
        <v>0</v>
      </c>
      <c r="H75" s="82">
        <v>0</v>
      </c>
    </row>
    <row r="76" spans="1:8" x14ac:dyDescent="0.3">
      <c r="A76" s="144">
        <v>500</v>
      </c>
      <c r="B76" s="144" t="s">
        <v>702</v>
      </c>
      <c r="C76" s="144">
        <v>6129</v>
      </c>
      <c r="D76" s="144" t="s">
        <v>890</v>
      </c>
      <c r="E76" s="144">
        <v>2105.89</v>
      </c>
      <c r="F76" s="144">
        <v>0</v>
      </c>
      <c r="G76" s="82">
        <v>0</v>
      </c>
      <c r="H76" s="82">
        <v>0</v>
      </c>
    </row>
    <row r="77" spans="1:8" x14ac:dyDescent="0.3">
      <c r="A77" s="144">
        <v>500</v>
      </c>
      <c r="B77" s="144" t="s">
        <v>702</v>
      </c>
      <c r="C77" s="144">
        <v>6133</v>
      </c>
      <c r="D77" s="144" t="s">
        <v>880</v>
      </c>
      <c r="E77" s="144">
        <v>974.45</v>
      </c>
      <c r="F77" s="144">
        <v>0</v>
      </c>
      <c r="G77" s="82">
        <v>0</v>
      </c>
      <c r="H77" s="82">
        <v>0</v>
      </c>
    </row>
    <row r="78" spans="1:8" x14ac:dyDescent="0.3">
      <c r="A78" s="144">
        <v>500</v>
      </c>
      <c r="B78" s="144" t="s">
        <v>702</v>
      </c>
      <c r="C78" s="144">
        <v>6182</v>
      </c>
      <c r="D78" s="144" t="s">
        <v>1093</v>
      </c>
      <c r="E78" s="144">
        <v>47.86</v>
      </c>
      <c r="F78" s="144">
        <v>0</v>
      </c>
      <c r="G78" s="82">
        <v>0</v>
      </c>
      <c r="H78" s="82">
        <v>0</v>
      </c>
    </row>
    <row r="79" spans="1:8" x14ac:dyDescent="0.3">
      <c r="A79" s="144">
        <v>500</v>
      </c>
      <c r="B79" s="144" t="s">
        <v>702</v>
      </c>
      <c r="C79" s="144">
        <v>6196</v>
      </c>
      <c r="D79" s="144" t="s">
        <v>722</v>
      </c>
      <c r="E79" s="144">
        <v>1531.56</v>
      </c>
      <c r="F79" s="144">
        <v>0</v>
      </c>
      <c r="G79" s="82">
        <v>0</v>
      </c>
      <c r="H79" s="82">
        <v>0</v>
      </c>
    </row>
    <row r="80" spans="1:8" x14ac:dyDescent="0.3">
      <c r="A80" s="144">
        <v>500</v>
      </c>
      <c r="B80" s="144" t="s">
        <v>702</v>
      </c>
      <c r="C80" s="144">
        <v>6210</v>
      </c>
      <c r="D80" s="144" t="s">
        <v>939</v>
      </c>
      <c r="E80" s="144">
        <v>7.66</v>
      </c>
      <c r="F80" s="144">
        <v>0</v>
      </c>
      <c r="G80" s="82">
        <v>0</v>
      </c>
      <c r="H80" s="82">
        <v>0</v>
      </c>
    </row>
    <row r="81" spans="1:8" x14ac:dyDescent="0.3">
      <c r="A81" s="144">
        <v>500</v>
      </c>
      <c r="B81" s="144" t="s">
        <v>702</v>
      </c>
      <c r="C81" s="144">
        <v>6213</v>
      </c>
      <c r="D81" s="144" t="s">
        <v>957</v>
      </c>
      <c r="E81" s="144">
        <v>0</v>
      </c>
      <c r="F81" s="144">
        <v>119.66</v>
      </c>
      <c r="G81" s="82">
        <v>0</v>
      </c>
      <c r="H81" s="82">
        <v>0</v>
      </c>
    </row>
    <row r="82" spans="1:8" x14ac:dyDescent="0.3">
      <c r="A82" s="144">
        <v>500</v>
      </c>
      <c r="B82" s="144" t="s">
        <v>702</v>
      </c>
      <c r="C82" s="144">
        <v>6221</v>
      </c>
      <c r="D82" s="144" t="s">
        <v>1002</v>
      </c>
      <c r="E82" s="144">
        <v>339.81</v>
      </c>
      <c r="F82" s="144">
        <v>0</v>
      </c>
      <c r="G82" s="82">
        <v>0</v>
      </c>
      <c r="H82" s="82">
        <v>0</v>
      </c>
    </row>
    <row r="83" spans="1:8" x14ac:dyDescent="0.3">
      <c r="A83" s="144">
        <v>500</v>
      </c>
      <c r="B83" s="144" t="s">
        <v>702</v>
      </c>
      <c r="C83" s="144">
        <v>6225</v>
      </c>
      <c r="D83" s="144" t="s">
        <v>911</v>
      </c>
      <c r="E83" s="144">
        <v>1340.11</v>
      </c>
      <c r="F83" s="144">
        <v>0</v>
      </c>
      <c r="G83" s="82">
        <v>0</v>
      </c>
      <c r="H83" s="82">
        <v>0</v>
      </c>
    </row>
    <row r="84" spans="1:8" x14ac:dyDescent="0.3">
      <c r="A84" s="144">
        <v>500</v>
      </c>
      <c r="B84" s="144" t="s">
        <v>702</v>
      </c>
      <c r="C84" s="144">
        <v>6233</v>
      </c>
      <c r="D84" s="144" t="s">
        <v>887</v>
      </c>
      <c r="E84" s="144">
        <v>47.86</v>
      </c>
      <c r="F84" s="144">
        <v>0</v>
      </c>
      <c r="G84" s="82">
        <v>0</v>
      </c>
      <c r="H84" s="82">
        <v>0</v>
      </c>
    </row>
    <row r="85" spans="1:8" x14ac:dyDescent="0.3">
      <c r="A85" s="144">
        <v>500</v>
      </c>
      <c r="B85" s="144" t="s">
        <v>702</v>
      </c>
      <c r="C85" s="144">
        <v>6243</v>
      </c>
      <c r="D85" s="144" t="s">
        <v>1054</v>
      </c>
      <c r="E85" s="144">
        <v>287.17</v>
      </c>
      <c r="F85" s="144">
        <v>0</v>
      </c>
      <c r="G85" s="82">
        <v>0</v>
      </c>
      <c r="H85" s="82">
        <v>0</v>
      </c>
    </row>
    <row r="86" spans="1:8" x14ac:dyDescent="0.3">
      <c r="A86" s="144">
        <v>500</v>
      </c>
      <c r="B86" s="144" t="s">
        <v>702</v>
      </c>
      <c r="C86" s="144">
        <v>6247</v>
      </c>
      <c r="D86" s="144" t="s">
        <v>1052</v>
      </c>
      <c r="E86" s="144">
        <v>239.31</v>
      </c>
      <c r="F86" s="144">
        <v>0</v>
      </c>
      <c r="G86" s="82">
        <v>0</v>
      </c>
      <c r="H86" s="82">
        <v>0</v>
      </c>
    </row>
    <row r="87" spans="1:8" x14ac:dyDescent="0.3">
      <c r="A87" s="144">
        <v>500</v>
      </c>
      <c r="B87" s="144" t="s">
        <v>702</v>
      </c>
      <c r="C87" s="144">
        <v>6285</v>
      </c>
      <c r="D87" s="144" t="s">
        <v>1019</v>
      </c>
      <c r="E87" s="144">
        <v>0</v>
      </c>
      <c r="F87" s="144">
        <v>191.44</v>
      </c>
      <c r="G87" s="82">
        <v>0</v>
      </c>
      <c r="H87" s="82">
        <v>0</v>
      </c>
    </row>
    <row r="88" spans="1:8" x14ac:dyDescent="0.3">
      <c r="A88" s="144">
        <v>500</v>
      </c>
      <c r="B88" s="144" t="s">
        <v>702</v>
      </c>
      <c r="C88" s="144">
        <v>6290</v>
      </c>
      <c r="D88" s="144" t="s">
        <v>795</v>
      </c>
      <c r="E88" s="144">
        <v>0</v>
      </c>
      <c r="F88" s="144">
        <v>287.17</v>
      </c>
      <c r="G88" s="82">
        <v>0</v>
      </c>
      <c r="H88" s="82">
        <v>0</v>
      </c>
    </row>
    <row r="89" spans="1:8" x14ac:dyDescent="0.3">
      <c r="A89" s="144">
        <v>500</v>
      </c>
      <c r="B89" s="144" t="s">
        <v>702</v>
      </c>
      <c r="C89" s="144">
        <v>6336</v>
      </c>
      <c r="D89" s="144" t="s">
        <v>1101</v>
      </c>
      <c r="E89" s="144">
        <v>423.09</v>
      </c>
      <c r="F89" s="144">
        <v>180.92</v>
      </c>
      <c r="G89" s="82">
        <v>0</v>
      </c>
      <c r="H89" s="82">
        <v>0</v>
      </c>
    </row>
    <row r="90" spans="1:8" x14ac:dyDescent="0.3">
      <c r="A90" s="144">
        <v>500</v>
      </c>
      <c r="B90" s="144" t="s">
        <v>702</v>
      </c>
      <c r="C90" s="144">
        <v>6340</v>
      </c>
      <c r="D90" s="144" t="s">
        <v>1043</v>
      </c>
      <c r="E90" s="144">
        <v>657.61</v>
      </c>
      <c r="F90" s="144">
        <v>282.38</v>
      </c>
      <c r="G90" s="82">
        <v>0</v>
      </c>
      <c r="H90" s="82">
        <v>0</v>
      </c>
    </row>
    <row r="91" spans="1:8" x14ac:dyDescent="0.3">
      <c r="A91" s="144">
        <v>500</v>
      </c>
      <c r="B91" s="144" t="s">
        <v>702</v>
      </c>
      <c r="C91" s="144">
        <v>6343</v>
      </c>
      <c r="D91" s="144" t="s">
        <v>859</v>
      </c>
      <c r="E91" s="144">
        <v>95.72</v>
      </c>
      <c r="F91" s="144">
        <v>0</v>
      </c>
      <c r="G91" s="82">
        <v>0</v>
      </c>
      <c r="H91" s="82">
        <v>0</v>
      </c>
    </row>
    <row r="92" spans="1:8" x14ac:dyDescent="0.3">
      <c r="A92" s="144">
        <v>500</v>
      </c>
      <c r="B92" s="144" t="s">
        <v>702</v>
      </c>
      <c r="C92" s="144">
        <v>6345</v>
      </c>
      <c r="D92" s="144" t="s">
        <v>858</v>
      </c>
      <c r="E92" s="144">
        <v>382.89</v>
      </c>
      <c r="F92" s="144">
        <v>0</v>
      </c>
      <c r="G92" s="82">
        <v>0</v>
      </c>
      <c r="H92" s="82">
        <v>0</v>
      </c>
    </row>
    <row r="93" spans="1:8" x14ac:dyDescent="0.3">
      <c r="A93" s="144">
        <v>500</v>
      </c>
      <c r="B93" s="144" t="s">
        <v>702</v>
      </c>
      <c r="C93" s="144">
        <v>6347</v>
      </c>
      <c r="D93" s="144" t="s">
        <v>976</v>
      </c>
      <c r="E93" s="144">
        <v>0</v>
      </c>
      <c r="F93" s="144">
        <v>86.15</v>
      </c>
      <c r="G93" s="82">
        <v>0</v>
      </c>
      <c r="H93" s="82">
        <v>0</v>
      </c>
    </row>
    <row r="94" spans="1:8" x14ac:dyDescent="0.3">
      <c r="A94" s="144">
        <v>500</v>
      </c>
      <c r="B94" s="144" t="s">
        <v>702</v>
      </c>
      <c r="C94" s="144">
        <v>6379</v>
      </c>
      <c r="D94" s="144" t="s">
        <v>742</v>
      </c>
      <c r="E94" s="144">
        <v>1435.83</v>
      </c>
      <c r="F94" s="144">
        <v>0</v>
      </c>
      <c r="G94" s="82">
        <v>0</v>
      </c>
      <c r="H94" s="82">
        <v>0</v>
      </c>
    </row>
    <row r="95" spans="1:8" x14ac:dyDescent="0.3">
      <c r="A95" s="144">
        <v>500</v>
      </c>
      <c r="B95" s="144" t="s">
        <v>702</v>
      </c>
      <c r="C95" s="144">
        <v>6391</v>
      </c>
      <c r="D95" s="144" t="s">
        <v>964</v>
      </c>
      <c r="E95" s="144">
        <v>478.61</v>
      </c>
      <c r="F95" s="144">
        <v>0</v>
      </c>
      <c r="G95" s="82">
        <v>0</v>
      </c>
      <c r="H95" s="82">
        <v>0</v>
      </c>
    </row>
    <row r="96" spans="1:8" x14ac:dyDescent="0.3">
      <c r="A96" s="144">
        <v>500</v>
      </c>
      <c r="B96" s="144" t="s">
        <v>702</v>
      </c>
      <c r="C96" s="144">
        <v>6394</v>
      </c>
      <c r="D96" s="144" t="s">
        <v>783</v>
      </c>
      <c r="E96" s="144">
        <v>574.33000000000004</v>
      </c>
      <c r="F96" s="144">
        <v>0</v>
      </c>
      <c r="G96" s="82">
        <v>0</v>
      </c>
      <c r="H96" s="82">
        <v>0</v>
      </c>
    </row>
    <row r="97" spans="1:8" x14ac:dyDescent="0.3">
      <c r="A97" s="144">
        <v>500</v>
      </c>
      <c r="B97" s="144" t="s">
        <v>702</v>
      </c>
      <c r="C97" s="144">
        <v>6395</v>
      </c>
      <c r="D97" s="144" t="s">
        <v>915</v>
      </c>
      <c r="E97" s="144">
        <v>574.33000000000004</v>
      </c>
      <c r="F97" s="144">
        <v>0</v>
      </c>
      <c r="G97" s="82">
        <v>0</v>
      </c>
      <c r="H97" s="82">
        <v>0</v>
      </c>
    </row>
    <row r="98" spans="1:8" x14ac:dyDescent="0.3">
      <c r="A98" s="144">
        <v>500</v>
      </c>
      <c r="B98" s="144" t="s">
        <v>702</v>
      </c>
      <c r="C98" s="144">
        <v>6400</v>
      </c>
      <c r="D98" s="144" t="s">
        <v>966</v>
      </c>
      <c r="E98" s="144">
        <v>76.58</v>
      </c>
      <c r="F98" s="144">
        <v>0</v>
      </c>
      <c r="G98" s="82">
        <v>0</v>
      </c>
      <c r="H98" s="82">
        <v>0</v>
      </c>
    </row>
    <row r="99" spans="1:8" x14ac:dyDescent="0.3">
      <c r="A99" s="144">
        <v>500</v>
      </c>
      <c r="B99" s="144" t="s">
        <v>702</v>
      </c>
      <c r="C99" s="144">
        <v>6401</v>
      </c>
      <c r="D99" s="144" t="s">
        <v>1009</v>
      </c>
      <c r="E99" s="144">
        <v>191.44</v>
      </c>
      <c r="F99" s="144">
        <v>0</v>
      </c>
      <c r="G99" s="82">
        <v>0</v>
      </c>
      <c r="H99" s="82">
        <v>0</v>
      </c>
    </row>
    <row r="100" spans="1:8" x14ac:dyDescent="0.3">
      <c r="A100" s="144">
        <v>500</v>
      </c>
      <c r="B100" s="144" t="s">
        <v>702</v>
      </c>
      <c r="C100" s="144">
        <v>6405</v>
      </c>
      <c r="D100" s="144" t="s">
        <v>1033</v>
      </c>
      <c r="E100" s="144">
        <v>143.58000000000001</v>
      </c>
      <c r="F100" s="144">
        <v>0</v>
      </c>
      <c r="G100" s="82">
        <v>0</v>
      </c>
      <c r="H100" s="82">
        <v>0</v>
      </c>
    </row>
    <row r="101" spans="1:8" x14ac:dyDescent="0.3">
      <c r="A101" s="144">
        <v>500</v>
      </c>
      <c r="B101" s="144" t="s">
        <v>702</v>
      </c>
      <c r="C101" s="144">
        <v>6412</v>
      </c>
      <c r="D101" s="144" t="s">
        <v>837</v>
      </c>
      <c r="E101" s="144">
        <v>26.8</v>
      </c>
      <c r="F101" s="144">
        <v>0</v>
      </c>
      <c r="G101" s="82">
        <v>0</v>
      </c>
      <c r="H101" s="82">
        <v>0</v>
      </c>
    </row>
    <row r="102" spans="1:8" x14ac:dyDescent="0.3">
      <c r="A102" s="144">
        <v>500</v>
      </c>
      <c r="B102" s="144" t="s">
        <v>702</v>
      </c>
      <c r="C102" s="144">
        <v>6416</v>
      </c>
      <c r="D102" s="144" t="s">
        <v>1005</v>
      </c>
      <c r="E102" s="144">
        <v>143.58000000000001</v>
      </c>
      <c r="F102" s="144">
        <v>0</v>
      </c>
      <c r="G102" s="82">
        <v>0</v>
      </c>
      <c r="H102" s="82">
        <v>0</v>
      </c>
    </row>
    <row r="103" spans="1:8" x14ac:dyDescent="0.3">
      <c r="A103" s="144">
        <v>500</v>
      </c>
      <c r="B103" s="144" t="s">
        <v>702</v>
      </c>
      <c r="C103" s="144">
        <v>6421</v>
      </c>
      <c r="D103" s="144" t="s">
        <v>1058</v>
      </c>
      <c r="E103" s="144">
        <v>478.61</v>
      </c>
      <c r="F103" s="144">
        <v>0</v>
      </c>
      <c r="G103" s="82">
        <v>0</v>
      </c>
      <c r="H103" s="82">
        <v>0</v>
      </c>
    </row>
    <row r="104" spans="1:8" x14ac:dyDescent="0.3">
      <c r="A104" s="144">
        <v>500</v>
      </c>
      <c r="B104" s="144" t="s">
        <v>702</v>
      </c>
      <c r="C104" s="144">
        <v>6425</v>
      </c>
      <c r="D104" s="144" t="s">
        <v>1017</v>
      </c>
      <c r="E104" s="144">
        <v>430.75</v>
      </c>
      <c r="F104" s="144">
        <v>0</v>
      </c>
      <c r="G104" s="82">
        <v>0</v>
      </c>
      <c r="H104" s="82">
        <v>0</v>
      </c>
    </row>
    <row r="105" spans="1:8" x14ac:dyDescent="0.3">
      <c r="A105" s="144">
        <v>500</v>
      </c>
      <c r="B105" s="144" t="s">
        <v>702</v>
      </c>
      <c r="C105" s="144">
        <v>6431</v>
      </c>
      <c r="D105" s="144" t="s">
        <v>884</v>
      </c>
      <c r="E105" s="144">
        <v>47.86</v>
      </c>
      <c r="F105" s="144">
        <v>0</v>
      </c>
      <c r="G105" s="82">
        <v>0</v>
      </c>
      <c r="H105" s="82">
        <v>0</v>
      </c>
    </row>
    <row r="106" spans="1:8" x14ac:dyDescent="0.3">
      <c r="A106" s="144">
        <v>500</v>
      </c>
      <c r="B106" s="144" t="s">
        <v>702</v>
      </c>
      <c r="C106" s="144">
        <v>6462</v>
      </c>
      <c r="D106" s="144" t="s">
        <v>842</v>
      </c>
      <c r="E106" s="144">
        <v>57.44</v>
      </c>
      <c r="F106" s="144">
        <v>0</v>
      </c>
      <c r="G106" s="82">
        <v>0</v>
      </c>
      <c r="H106" s="82">
        <v>0</v>
      </c>
    </row>
    <row r="107" spans="1:8" x14ac:dyDescent="0.3">
      <c r="A107" s="144">
        <v>500</v>
      </c>
      <c r="B107" s="144" t="s">
        <v>702</v>
      </c>
      <c r="C107" s="144">
        <v>6469</v>
      </c>
      <c r="D107" s="144" t="s">
        <v>895</v>
      </c>
      <c r="E107" s="144">
        <v>201.02</v>
      </c>
      <c r="F107" s="144">
        <v>86.15</v>
      </c>
      <c r="G107" s="82">
        <v>0</v>
      </c>
      <c r="H107" s="82">
        <v>0</v>
      </c>
    </row>
    <row r="108" spans="1:8" x14ac:dyDescent="0.3">
      <c r="A108" s="144">
        <v>500</v>
      </c>
      <c r="B108" s="144" t="s">
        <v>702</v>
      </c>
      <c r="C108" s="144">
        <v>6472</v>
      </c>
      <c r="D108" s="144" t="s">
        <v>1013</v>
      </c>
      <c r="E108" s="144">
        <v>19.14</v>
      </c>
      <c r="F108" s="144">
        <v>0</v>
      </c>
      <c r="G108" s="82">
        <v>0</v>
      </c>
      <c r="H108" s="82">
        <v>0</v>
      </c>
    </row>
    <row r="109" spans="1:8" x14ac:dyDescent="0.3">
      <c r="A109" s="144">
        <v>500</v>
      </c>
      <c r="B109" s="144" t="s">
        <v>702</v>
      </c>
      <c r="C109" s="144">
        <v>6482</v>
      </c>
      <c r="D109" s="144" t="s">
        <v>903</v>
      </c>
      <c r="E109" s="144">
        <v>47.86</v>
      </c>
      <c r="F109" s="144">
        <v>0</v>
      </c>
      <c r="G109" s="82">
        <v>0</v>
      </c>
      <c r="H109" s="82">
        <v>0</v>
      </c>
    </row>
    <row r="110" spans="1:8" x14ac:dyDescent="0.3">
      <c r="A110" s="144">
        <v>500</v>
      </c>
      <c r="B110" s="144" t="s">
        <v>702</v>
      </c>
      <c r="C110" s="144">
        <v>6525</v>
      </c>
      <c r="D110" s="144" t="s">
        <v>772</v>
      </c>
      <c r="E110" s="144">
        <v>32.549999999999997</v>
      </c>
      <c r="F110" s="144">
        <v>14.36</v>
      </c>
      <c r="G110" s="82">
        <v>0</v>
      </c>
      <c r="H110" s="82">
        <v>0</v>
      </c>
    </row>
    <row r="111" spans="1:8" x14ac:dyDescent="0.3">
      <c r="A111" s="144">
        <v>500</v>
      </c>
      <c r="B111" s="144" t="s">
        <v>702</v>
      </c>
      <c r="C111" s="144">
        <v>6530</v>
      </c>
      <c r="D111" s="144" t="s">
        <v>990</v>
      </c>
      <c r="E111" s="144">
        <v>87.11</v>
      </c>
      <c r="F111" s="144">
        <v>37.33</v>
      </c>
      <c r="G111" s="82">
        <v>0</v>
      </c>
      <c r="H111" s="82">
        <v>0</v>
      </c>
    </row>
    <row r="112" spans="1:8" x14ac:dyDescent="0.3">
      <c r="A112" s="144">
        <v>500</v>
      </c>
      <c r="B112" s="144" t="s">
        <v>702</v>
      </c>
      <c r="C112" s="144">
        <v>6538</v>
      </c>
      <c r="D112" s="144" t="s">
        <v>787</v>
      </c>
      <c r="E112" s="144">
        <v>0</v>
      </c>
      <c r="F112" s="144">
        <v>191.44</v>
      </c>
      <c r="G112" s="82">
        <v>0</v>
      </c>
      <c r="H112" s="82">
        <v>0</v>
      </c>
    </row>
    <row r="113" spans="1:8" x14ac:dyDescent="0.3">
      <c r="A113" s="144">
        <v>500</v>
      </c>
      <c r="B113" s="144" t="s">
        <v>702</v>
      </c>
      <c r="C113" s="144">
        <v>6574</v>
      </c>
      <c r="D113" s="144" t="s">
        <v>777</v>
      </c>
      <c r="E113" s="144">
        <v>191.44</v>
      </c>
      <c r="F113" s="144">
        <v>0</v>
      </c>
      <c r="G113" s="82">
        <v>0</v>
      </c>
      <c r="H113" s="82">
        <v>0</v>
      </c>
    </row>
    <row r="114" spans="1:8" x14ac:dyDescent="0.3">
      <c r="A114" s="144">
        <v>500</v>
      </c>
      <c r="B114" s="144" t="s">
        <v>702</v>
      </c>
      <c r="C114" s="144">
        <v>6583</v>
      </c>
      <c r="D114" s="144" t="s">
        <v>779</v>
      </c>
      <c r="E114" s="144">
        <v>478.61</v>
      </c>
      <c r="F114" s="144">
        <v>0</v>
      </c>
      <c r="G114" s="82">
        <v>0</v>
      </c>
      <c r="H114" s="82">
        <v>0</v>
      </c>
    </row>
    <row r="115" spans="1:8" x14ac:dyDescent="0.3">
      <c r="A115" s="144">
        <v>500</v>
      </c>
      <c r="B115" s="144" t="s">
        <v>702</v>
      </c>
      <c r="C115" s="144">
        <v>6596</v>
      </c>
      <c r="D115" s="144" t="s">
        <v>1067</v>
      </c>
      <c r="E115" s="144">
        <v>1435.83</v>
      </c>
      <c r="F115" s="144">
        <v>0</v>
      </c>
      <c r="G115" s="82">
        <v>0</v>
      </c>
      <c r="H115" s="82">
        <v>0</v>
      </c>
    </row>
    <row r="116" spans="1:8" x14ac:dyDescent="0.3">
      <c r="A116" s="144">
        <v>500</v>
      </c>
      <c r="B116" s="144" t="s">
        <v>702</v>
      </c>
      <c r="C116" s="144">
        <v>6615</v>
      </c>
      <c r="D116" s="144" t="s">
        <v>763</v>
      </c>
      <c r="E116" s="144">
        <v>87.11</v>
      </c>
      <c r="F116" s="144">
        <v>37.33</v>
      </c>
      <c r="G116" s="82">
        <v>0</v>
      </c>
      <c r="H116" s="82">
        <v>0</v>
      </c>
    </row>
    <row r="117" spans="1:8" x14ac:dyDescent="0.3">
      <c r="A117" s="144">
        <v>500</v>
      </c>
      <c r="B117" s="144" t="s">
        <v>702</v>
      </c>
      <c r="C117" s="144">
        <v>6641</v>
      </c>
      <c r="D117" s="144" t="s">
        <v>1032</v>
      </c>
      <c r="E117" s="144">
        <v>32.549999999999997</v>
      </c>
      <c r="F117" s="144">
        <v>0</v>
      </c>
      <c r="G117" s="82">
        <v>0</v>
      </c>
      <c r="H117" s="82">
        <v>0</v>
      </c>
    </row>
    <row r="118" spans="1:8" x14ac:dyDescent="0.3">
      <c r="A118" s="144">
        <v>500</v>
      </c>
      <c r="B118" s="144" t="s">
        <v>702</v>
      </c>
      <c r="C118" s="144">
        <v>6644</v>
      </c>
      <c r="D118" s="144" t="s">
        <v>1108</v>
      </c>
      <c r="E118" s="144">
        <v>261.33</v>
      </c>
      <c r="F118" s="144">
        <v>0</v>
      </c>
      <c r="G118" s="82">
        <v>0</v>
      </c>
      <c r="H118" s="82">
        <v>0</v>
      </c>
    </row>
    <row r="119" spans="1:8" x14ac:dyDescent="0.3">
      <c r="A119" s="144">
        <v>500</v>
      </c>
      <c r="B119" s="144" t="s">
        <v>702</v>
      </c>
      <c r="C119" s="144">
        <v>6712</v>
      </c>
      <c r="D119" s="144" t="s">
        <v>516</v>
      </c>
      <c r="E119" s="144">
        <v>665.45</v>
      </c>
      <c r="F119" s="144">
        <v>0</v>
      </c>
      <c r="G119" s="82">
        <v>0</v>
      </c>
      <c r="H119" s="82">
        <v>0</v>
      </c>
    </row>
    <row r="120" spans="1:8" x14ac:dyDescent="0.3">
      <c r="A120" s="144">
        <v>500</v>
      </c>
      <c r="B120" s="144" t="s">
        <v>702</v>
      </c>
      <c r="C120" s="144">
        <v>6718</v>
      </c>
      <c r="D120" s="144" t="s">
        <v>534</v>
      </c>
      <c r="E120" s="144">
        <v>113</v>
      </c>
      <c r="F120" s="144">
        <v>0</v>
      </c>
      <c r="G120" s="82">
        <v>0</v>
      </c>
      <c r="H120" s="82">
        <v>0</v>
      </c>
    </row>
    <row r="121" spans="1:8" x14ac:dyDescent="0.3">
      <c r="A121" s="144">
        <v>500</v>
      </c>
      <c r="B121" s="144" t="s">
        <v>702</v>
      </c>
      <c r="C121" s="144">
        <v>6723</v>
      </c>
      <c r="D121" s="144" t="s">
        <v>541</v>
      </c>
      <c r="E121" s="144">
        <v>533.62</v>
      </c>
      <c r="F121" s="144">
        <v>0</v>
      </c>
      <c r="G121" s="82">
        <v>0</v>
      </c>
      <c r="H121" s="82">
        <v>0</v>
      </c>
    </row>
    <row r="122" spans="1:8" x14ac:dyDescent="0.3">
      <c r="A122" s="144">
        <v>500</v>
      </c>
      <c r="B122" s="144" t="s">
        <v>702</v>
      </c>
      <c r="C122" s="144">
        <v>6731</v>
      </c>
      <c r="D122" s="144" t="s">
        <v>599</v>
      </c>
      <c r="E122" s="144">
        <v>78.47</v>
      </c>
      <c r="F122" s="144">
        <v>0</v>
      </c>
      <c r="G122" s="82">
        <v>0</v>
      </c>
      <c r="H122" s="82">
        <v>0</v>
      </c>
    </row>
    <row r="123" spans="1:8" x14ac:dyDescent="0.3">
      <c r="A123" s="144">
        <v>500</v>
      </c>
      <c r="B123" s="144" t="s">
        <v>702</v>
      </c>
      <c r="C123" s="144">
        <v>6733</v>
      </c>
      <c r="D123" s="144" t="s">
        <v>547</v>
      </c>
      <c r="E123" s="144">
        <v>141.25</v>
      </c>
      <c r="F123" s="144">
        <v>0</v>
      </c>
      <c r="G123" s="82">
        <v>0</v>
      </c>
      <c r="H123" s="82">
        <v>0</v>
      </c>
    </row>
    <row r="124" spans="1:8" x14ac:dyDescent="0.3">
      <c r="A124" s="144">
        <v>500</v>
      </c>
      <c r="B124" s="144" t="s">
        <v>702</v>
      </c>
      <c r="C124" s="144">
        <v>6739</v>
      </c>
      <c r="D124" s="144" t="s">
        <v>565</v>
      </c>
      <c r="E124" s="144">
        <v>351.56</v>
      </c>
      <c r="F124" s="144">
        <v>150.66999999999999</v>
      </c>
      <c r="G124" s="82">
        <v>0</v>
      </c>
      <c r="H124" s="82">
        <v>0</v>
      </c>
    </row>
    <row r="125" spans="1:8" x14ac:dyDescent="0.3">
      <c r="A125" s="144">
        <v>500</v>
      </c>
      <c r="B125" s="144" t="s">
        <v>702</v>
      </c>
      <c r="C125" s="144">
        <v>6743</v>
      </c>
      <c r="D125" s="144" t="s">
        <v>570</v>
      </c>
      <c r="E125" s="144">
        <v>285.64999999999998</v>
      </c>
      <c r="F125" s="144">
        <v>122.42</v>
      </c>
      <c r="G125" s="82">
        <v>0</v>
      </c>
      <c r="H125" s="82">
        <v>0</v>
      </c>
    </row>
    <row r="126" spans="1:8" x14ac:dyDescent="0.3">
      <c r="A126" s="144">
        <v>500</v>
      </c>
      <c r="B126" s="144" t="s">
        <v>702</v>
      </c>
      <c r="C126" s="144">
        <v>6745</v>
      </c>
      <c r="D126" s="144" t="s">
        <v>568</v>
      </c>
      <c r="E126" s="144">
        <v>373.54</v>
      </c>
      <c r="F126" s="144">
        <v>160.08000000000001</v>
      </c>
      <c r="G126" s="82">
        <v>0</v>
      </c>
      <c r="H126" s="82">
        <v>0</v>
      </c>
    </row>
    <row r="127" spans="1:8" x14ac:dyDescent="0.3">
      <c r="A127" s="144">
        <v>500</v>
      </c>
      <c r="B127" s="144" t="s">
        <v>702</v>
      </c>
      <c r="C127" s="144">
        <v>6747</v>
      </c>
      <c r="D127" s="144" t="s">
        <v>574</v>
      </c>
      <c r="E127" s="144">
        <v>56.5</v>
      </c>
      <c r="F127" s="144">
        <v>25.11</v>
      </c>
      <c r="G127" s="82">
        <v>0</v>
      </c>
      <c r="H127" s="82">
        <v>0</v>
      </c>
    </row>
    <row r="128" spans="1:8" x14ac:dyDescent="0.3">
      <c r="A128" s="144">
        <v>500</v>
      </c>
      <c r="B128" s="144" t="s">
        <v>702</v>
      </c>
      <c r="C128" s="144">
        <v>6748</v>
      </c>
      <c r="D128" s="144" t="s">
        <v>567</v>
      </c>
      <c r="E128" s="144">
        <v>109.87</v>
      </c>
      <c r="F128" s="144">
        <v>47.08</v>
      </c>
      <c r="G128" s="82">
        <v>0</v>
      </c>
      <c r="H128" s="82">
        <v>0</v>
      </c>
    </row>
    <row r="129" spans="1:8" x14ac:dyDescent="0.3">
      <c r="A129" s="144">
        <v>500</v>
      </c>
      <c r="B129" s="144" t="s">
        <v>702</v>
      </c>
      <c r="C129" s="144">
        <v>6765</v>
      </c>
      <c r="D129" s="144" t="s">
        <v>463</v>
      </c>
      <c r="E129" s="144">
        <v>0</v>
      </c>
      <c r="F129" s="144">
        <v>131.83000000000001</v>
      </c>
      <c r="G129" s="82">
        <v>0</v>
      </c>
      <c r="H129" s="82">
        <v>0</v>
      </c>
    </row>
    <row r="130" spans="1:8" x14ac:dyDescent="0.3">
      <c r="A130" s="144">
        <v>500</v>
      </c>
      <c r="B130" s="144" t="s">
        <v>702</v>
      </c>
      <c r="C130" s="144">
        <v>6770</v>
      </c>
      <c r="D130" s="144" t="s">
        <v>458</v>
      </c>
      <c r="E130" s="144">
        <v>0</v>
      </c>
      <c r="F130" s="144">
        <v>6.28</v>
      </c>
      <c r="G130" s="82">
        <v>0</v>
      </c>
      <c r="H130" s="82">
        <v>0</v>
      </c>
    </row>
    <row r="131" spans="1:8" x14ac:dyDescent="0.3">
      <c r="A131" s="144">
        <v>500</v>
      </c>
      <c r="B131" s="144" t="s">
        <v>702</v>
      </c>
      <c r="C131" s="144">
        <v>6774</v>
      </c>
      <c r="D131" s="144" t="s">
        <v>497</v>
      </c>
      <c r="E131" s="144">
        <v>0</v>
      </c>
      <c r="F131" s="144">
        <v>109.87</v>
      </c>
      <c r="G131" s="82">
        <v>0</v>
      </c>
      <c r="H131" s="82">
        <v>0</v>
      </c>
    </row>
    <row r="132" spans="1:8" x14ac:dyDescent="0.3">
      <c r="A132" s="144">
        <v>500</v>
      </c>
      <c r="B132" s="144" t="s">
        <v>702</v>
      </c>
      <c r="C132" s="144">
        <v>6775</v>
      </c>
      <c r="D132" s="144" t="s">
        <v>470</v>
      </c>
      <c r="E132" s="144">
        <v>0</v>
      </c>
      <c r="F132" s="144">
        <v>156.94999999999999</v>
      </c>
      <c r="G132" s="82">
        <v>0</v>
      </c>
      <c r="H132" s="82">
        <v>0</v>
      </c>
    </row>
    <row r="133" spans="1:8" x14ac:dyDescent="0.3">
      <c r="A133" s="144">
        <v>500</v>
      </c>
      <c r="B133" s="144" t="s">
        <v>702</v>
      </c>
      <c r="C133" s="144">
        <v>6783</v>
      </c>
      <c r="D133" s="144" t="s">
        <v>484</v>
      </c>
      <c r="E133" s="144">
        <v>0</v>
      </c>
      <c r="F133" s="144">
        <v>94.17</v>
      </c>
      <c r="G133" s="82">
        <v>0</v>
      </c>
      <c r="H133" s="82">
        <v>0</v>
      </c>
    </row>
    <row r="134" spans="1:8" x14ac:dyDescent="0.3">
      <c r="A134" s="144">
        <v>500</v>
      </c>
      <c r="B134" s="144" t="s">
        <v>702</v>
      </c>
      <c r="C134" s="144">
        <v>6784</v>
      </c>
      <c r="D134" s="144" t="s">
        <v>485</v>
      </c>
      <c r="E134" s="144">
        <v>0</v>
      </c>
      <c r="F134" s="144">
        <v>94.17</v>
      </c>
      <c r="G134" s="82">
        <v>0</v>
      </c>
      <c r="H134" s="82">
        <v>0</v>
      </c>
    </row>
    <row r="135" spans="1:8" x14ac:dyDescent="0.3">
      <c r="A135" s="144">
        <v>500</v>
      </c>
      <c r="B135" s="144" t="s">
        <v>702</v>
      </c>
      <c r="C135" s="144">
        <v>6788</v>
      </c>
      <c r="D135" s="144" t="s">
        <v>475</v>
      </c>
      <c r="E135" s="144">
        <v>0</v>
      </c>
      <c r="F135" s="144">
        <v>291.92</v>
      </c>
      <c r="G135" s="82">
        <v>0</v>
      </c>
      <c r="H135" s="82">
        <v>0</v>
      </c>
    </row>
    <row r="136" spans="1:8" x14ac:dyDescent="0.3">
      <c r="A136" s="144">
        <v>500</v>
      </c>
      <c r="B136" s="144" t="s">
        <v>702</v>
      </c>
      <c r="C136" s="144">
        <v>6790</v>
      </c>
      <c r="D136" s="144" t="s">
        <v>501</v>
      </c>
      <c r="E136" s="144">
        <v>0</v>
      </c>
      <c r="F136" s="144">
        <v>247.97</v>
      </c>
      <c r="G136" s="82">
        <v>0</v>
      </c>
      <c r="H136" s="82">
        <v>0</v>
      </c>
    </row>
    <row r="137" spans="1:8" x14ac:dyDescent="0.3">
      <c r="A137" s="144">
        <v>500</v>
      </c>
      <c r="B137" s="144" t="s">
        <v>702</v>
      </c>
      <c r="C137" s="144">
        <v>6802</v>
      </c>
      <c r="D137" s="144" t="s">
        <v>495</v>
      </c>
      <c r="E137" s="144">
        <v>0</v>
      </c>
      <c r="F137" s="144">
        <v>473.98</v>
      </c>
      <c r="G137" s="82">
        <v>0</v>
      </c>
      <c r="H137" s="82">
        <v>0</v>
      </c>
    </row>
    <row r="138" spans="1:8" x14ac:dyDescent="0.3">
      <c r="A138" s="144">
        <v>500</v>
      </c>
      <c r="B138" s="144" t="s">
        <v>702</v>
      </c>
      <c r="C138" s="144">
        <v>6804</v>
      </c>
      <c r="D138" s="144" t="s">
        <v>498</v>
      </c>
      <c r="E138" s="144">
        <v>0</v>
      </c>
      <c r="F138" s="144">
        <v>627.79</v>
      </c>
      <c r="G138" s="82">
        <v>0</v>
      </c>
      <c r="H138" s="82">
        <v>0</v>
      </c>
    </row>
    <row r="139" spans="1:8" x14ac:dyDescent="0.3">
      <c r="A139" s="144">
        <v>500</v>
      </c>
      <c r="B139" s="144" t="s">
        <v>702</v>
      </c>
      <c r="C139" s="144">
        <v>6809</v>
      </c>
      <c r="D139" s="144" t="s">
        <v>687</v>
      </c>
      <c r="E139" s="144">
        <v>56.5</v>
      </c>
      <c r="F139" s="144">
        <v>21.98</v>
      </c>
      <c r="G139" s="82">
        <v>0</v>
      </c>
      <c r="H139" s="82">
        <v>0</v>
      </c>
    </row>
    <row r="140" spans="1:8" x14ac:dyDescent="0.3">
      <c r="A140" s="144">
        <v>500</v>
      </c>
      <c r="B140" s="144" t="s">
        <v>702</v>
      </c>
      <c r="C140" s="144">
        <v>6813</v>
      </c>
      <c r="D140" s="144" t="s">
        <v>614</v>
      </c>
      <c r="E140" s="144">
        <v>144.4</v>
      </c>
      <c r="F140" s="144">
        <v>59.64</v>
      </c>
      <c r="G140" s="82">
        <v>0</v>
      </c>
      <c r="H140" s="82">
        <v>0</v>
      </c>
    </row>
    <row r="141" spans="1:8" x14ac:dyDescent="0.3">
      <c r="A141" s="144">
        <v>500</v>
      </c>
      <c r="B141" s="144" t="s">
        <v>702</v>
      </c>
      <c r="C141" s="144">
        <v>6834</v>
      </c>
      <c r="D141" s="144" t="s">
        <v>504</v>
      </c>
      <c r="E141" s="144">
        <v>87.89</v>
      </c>
      <c r="F141" s="144">
        <v>0</v>
      </c>
      <c r="G141" s="82">
        <v>0</v>
      </c>
      <c r="H141" s="82">
        <v>0</v>
      </c>
    </row>
    <row r="142" spans="1:8" x14ac:dyDescent="0.3">
      <c r="A142" s="144">
        <v>500</v>
      </c>
      <c r="B142" s="144" t="s">
        <v>702</v>
      </c>
      <c r="C142" s="144">
        <v>6854</v>
      </c>
      <c r="D142" s="144" t="s">
        <v>554</v>
      </c>
      <c r="E142" s="144">
        <v>285.64999999999998</v>
      </c>
      <c r="F142" s="144">
        <v>122.42</v>
      </c>
      <c r="G142" s="82">
        <v>0</v>
      </c>
      <c r="H142" s="82">
        <v>0</v>
      </c>
    </row>
    <row r="143" spans="1:8" x14ac:dyDescent="0.3">
      <c r="A143" s="144">
        <v>500</v>
      </c>
      <c r="B143" s="144" t="s">
        <v>702</v>
      </c>
      <c r="C143" s="144">
        <v>6858</v>
      </c>
      <c r="D143" s="144" t="s">
        <v>691</v>
      </c>
      <c r="E143" s="144">
        <v>0</v>
      </c>
      <c r="F143" s="144">
        <v>34.53</v>
      </c>
      <c r="G143" s="82">
        <v>0</v>
      </c>
      <c r="H143" s="82">
        <v>0</v>
      </c>
    </row>
    <row r="144" spans="1:8" x14ac:dyDescent="0.3">
      <c r="A144" s="144">
        <v>500</v>
      </c>
      <c r="B144" s="144" t="s">
        <v>702</v>
      </c>
      <c r="C144" s="144">
        <v>6887</v>
      </c>
      <c r="D144" s="144" t="s">
        <v>874</v>
      </c>
      <c r="E144" s="144">
        <v>0</v>
      </c>
      <c r="F144" s="144">
        <v>1914.44</v>
      </c>
      <c r="G144" s="82">
        <v>0</v>
      </c>
      <c r="H144" s="82">
        <v>0</v>
      </c>
    </row>
    <row r="145" spans="1:8" x14ac:dyDescent="0.3">
      <c r="A145" s="144">
        <v>500</v>
      </c>
      <c r="B145" s="144" t="s">
        <v>702</v>
      </c>
      <c r="C145" s="144">
        <v>6917</v>
      </c>
      <c r="D145" s="144" t="s">
        <v>1042</v>
      </c>
      <c r="E145" s="144">
        <v>153.16</v>
      </c>
      <c r="F145" s="144">
        <v>65.09</v>
      </c>
      <c r="G145" s="82">
        <v>0</v>
      </c>
      <c r="H145" s="82">
        <v>0</v>
      </c>
    </row>
    <row r="146" spans="1:8" x14ac:dyDescent="0.3">
      <c r="A146" s="144">
        <v>500</v>
      </c>
      <c r="B146" s="144" t="s">
        <v>702</v>
      </c>
      <c r="C146" s="144">
        <v>6926</v>
      </c>
      <c r="D146" s="144" t="s">
        <v>992</v>
      </c>
      <c r="E146" s="144">
        <v>562.84</v>
      </c>
      <c r="F146" s="144">
        <v>241.22</v>
      </c>
      <c r="G146" s="82">
        <v>0</v>
      </c>
      <c r="H146" s="82">
        <v>0</v>
      </c>
    </row>
    <row r="147" spans="1:8" x14ac:dyDescent="0.3">
      <c r="A147" s="144">
        <v>500</v>
      </c>
      <c r="B147" s="144" t="s">
        <v>702</v>
      </c>
      <c r="C147" s="144">
        <v>6948</v>
      </c>
      <c r="D147" s="144" t="s">
        <v>1096</v>
      </c>
      <c r="E147" s="144">
        <v>1360.22</v>
      </c>
      <c r="F147" s="144">
        <v>582.95000000000005</v>
      </c>
      <c r="G147" s="82">
        <v>0</v>
      </c>
      <c r="H147" s="82">
        <v>0</v>
      </c>
    </row>
    <row r="148" spans="1:8" x14ac:dyDescent="0.3">
      <c r="A148" s="144">
        <v>500</v>
      </c>
      <c r="B148" s="144" t="s">
        <v>702</v>
      </c>
      <c r="C148" s="144">
        <v>6975</v>
      </c>
      <c r="D148" s="144" t="s">
        <v>940</v>
      </c>
      <c r="E148" s="144">
        <v>7.66</v>
      </c>
      <c r="F148" s="144">
        <v>3.83</v>
      </c>
      <c r="G148" s="82">
        <v>0</v>
      </c>
      <c r="H148" s="82">
        <v>0</v>
      </c>
    </row>
    <row r="149" spans="1:8" x14ac:dyDescent="0.3">
      <c r="A149" s="144">
        <v>500</v>
      </c>
      <c r="B149" s="144" t="s">
        <v>702</v>
      </c>
      <c r="C149" s="144">
        <v>7141</v>
      </c>
      <c r="D149" s="144" t="s">
        <v>923</v>
      </c>
      <c r="E149" s="144">
        <v>0</v>
      </c>
      <c r="F149" s="144">
        <v>287.17</v>
      </c>
      <c r="G149" s="82">
        <v>0</v>
      </c>
      <c r="H149" s="82">
        <v>0</v>
      </c>
    </row>
    <row r="150" spans="1:8" x14ac:dyDescent="0.3">
      <c r="A150" s="144">
        <v>500</v>
      </c>
      <c r="B150" s="144" t="s">
        <v>702</v>
      </c>
      <c r="C150" s="144">
        <v>7204</v>
      </c>
      <c r="D150" s="144" t="s">
        <v>1028</v>
      </c>
      <c r="E150" s="144">
        <v>0</v>
      </c>
      <c r="F150" s="144">
        <v>71.8</v>
      </c>
      <c r="G150" s="82">
        <v>0</v>
      </c>
      <c r="H150" s="82">
        <v>0</v>
      </c>
    </row>
    <row r="151" spans="1:8" x14ac:dyDescent="0.3">
      <c r="A151" s="144">
        <v>500</v>
      </c>
      <c r="B151" s="144" t="s">
        <v>702</v>
      </c>
      <c r="C151" s="144">
        <v>7295</v>
      </c>
      <c r="D151" s="144" t="s">
        <v>983</v>
      </c>
      <c r="E151" s="144">
        <v>5.75</v>
      </c>
      <c r="F151" s="144">
        <v>0</v>
      </c>
      <c r="G151" s="82">
        <v>0</v>
      </c>
      <c r="H151" s="82">
        <v>0</v>
      </c>
    </row>
    <row r="152" spans="1:8" x14ac:dyDescent="0.3">
      <c r="A152" s="144">
        <v>500</v>
      </c>
      <c r="B152" s="144" t="s">
        <v>702</v>
      </c>
      <c r="C152" s="144">
        <v>7524</v>
      </c>
      <c r="D152" s="144" t="s">
        <v>944</v>
      </c>
      <c r="E152" s="144">
        <v>175.17</v>
      </c>
      <c r="F152" s="144">
        <v>75.62</v>
      </c>
      <c r="G152" s="82">
        <v>0</v>
      </c>
      <c r="H152" s="82">
        <v>0</v>
      </c>
    </row>
    <row r="153" spans="1:8" x14ac:dyDescent="0.3">
      <c r="A153" s="144">
        <v>500</v>
      </c>
      <c r="B153" s="144" t="s">
        <v>702</v>
      </c>
      <c r="C153" s="144">
        <v>7531</v>
      </c>
      <c r="D153" s="144" t="s">
        <v>963</v>
      </c>
      <c r="E153" s="144">
        <v>439.36</v>
      </c>
      <c r="F153" s="144">
        <v>188.58</v>
      </c>
      <c r="G153" s="82">
        <v>0</v>
      </c>
      <c r="H153" s="82">
        <v>0</v>
      </c>
    </row>
    <row r="154" spans="1:8" x14ac:dyDescent="0.3">
      <c r="A154" s="144">
        <v>500</v>
      </c>
      <c r="B154" s="144" t="s">
        <v>702</v>
      </c>
      <c r="C154" s="144">
        <v>7580</v>
      </c>
      <c r="D154" s="144" t="s">
        <v>848</v>
      </c>
      <c r="E154" s="144">
        <v>702.6</v>
      </c>
      <c r="F154" s="144">
        <v>300.56</v>
      </c>
      <c r="G154" s="82">
        <v>0</v>
      </c>
      <c r="H154" s="82">
        <v>0</v>
      </c>
    </row>
    <row r="155" spans="1:8" x14ac:dyDescent="0.3">
      <c r="A155" s="144">
        <v>500</v>
      </c>
      <c r="B155" s="144" t="s">
        <v>702</v>
      </c>
      <c r="C155" s="144">
        <v>7886</v>
      </c>
      <c r="D155" s="144" t="s">
        <v>589</v>
      </c>
      <c r="E155" s="144">
        <v>62.78</v>
      </c>
      <c r="F155" s="144">
        <v>25.11</v>
      </c>
      <c r="G155" s="82">
        <v>0</v>
      </c>
      <c r="H155" s="82">
        <v>0</v>
      </c>
    </row>
    <row r="156" spans="1:8" x14ac:dyDescent="0.3">
      <c r="A156" s="144">
        <v>150</v>
      </c>
      <c r="B156" s="144" t="s">
        <v>703</v>
      </c>
      <c r="C156" s="144">
        <v>92322</v>
      </c>
      <c r="D156" s="144" t="s">
        <v>907</v>
      </c>
      <c r="E156" s="144">
        <v>3.14</v>
      </c>
      <c r="F156" s="144">
        <v>0</v>
      </c>
      <c r="G156" s="82">
        <v>0</v>
      </c>
      <c r="H156" s="82">
        <v>0</v>
      </c>
    </row>
    <row r="157" spans="1:8" x14ac:dyDescent="0.3">
      <c r="A157" s="144">
        <v>500</v>
      </c>
      <c r="B157" s="144" t="s">
        <v>702</v>
      </c>
      <c r="C157" s="144">
        <v>6056</v>
      </c>
      <c r="D157" s="144" t="s">
        <v>930</v>
      </c>
      <c r="E157" s="144">
        <v>0</v>
      </c>
      <c r="F157" s="144">
        <v>191.44</v>
      </c>
      <c r="G157" s="82">
        <v>0</v>
      </c>
      <c r="H157" s="82">
        <v>0</v>
      </c>
    </row>
    <row r="158" spans="1:8" x14ac:dyDescent="0.3">
      <c r="A158" s="144">
        <v>500</v>
      </c>
      <c r="B158" s="144" t="s">
        <v>702</v>
      </c>
      <c r="C158" s="144">
        <v>6082</v>
      </c>
      <c r="D158" s="144" t="s">
        <v>1064</v>
      </c>
      <c r="E158" s="144">
        <v>95.72</v>
      </c>
      <c r="F158" s="144">
        <v>0</v>
      </c>
      <c r="G158" s="82">
        <v>0</v>
      </c>
      <c r="H158" s="82">
        <v>0</v>
      </c>
    </row>
    <row r="159" spans="1:8" x14ac:dyDescent="0.3">
      <c r="A159" s="144">
        <v>500</v>
      </c>
      <c r="B159" s="144" t="s">
        <v>702</v>
      </c>
      <c r="C159" s="144">
        <v>6092</v>
      </c>
      <c r="D159" s="144" t="s">
        <v>970</v>
      </c>
      <c r="E159" s="144">
        <v>765.78</v>
      </c>
      <c r="F159" s="144">
        <v>0</v>
      </c>
      <c r="G159" s="82">
        <v>0</v>
      </c>
      <c r="H159" s="82">
        <v>0</v>
      </c>
    </row>
    <row r="160" spans="1:8" x14ac:dyDescent="0.3">
      <c r="A160" s="144">
        <v>500</v>
      </c>
      <c r="B160" s="144" t="s">
        <v>702</v>
      </c>
      <c r="C160" s="144">
        <v>6093</v>
      </c>
      <c r="D160" s="144" t="s">
        <v>731</v>
      </c>
      <c r="E160" s="144">
        <v>1052.94</v>
      </c>
      <c r="F160" s="144">
        <v>0</v>
      </c>
      <c r="G160" s="82">
        <v>0</v>
      </c>
      <c r="H160" s="82">
        <v>0</v>
      </c>
    </row>
    <row r="161" spans="1:8" x14ac:dyDescent="0.3">
      <c r="A161" s="144">
        <v>500</v>
      </c>
      <c r="B161" s="144" t="s">
        <v>702</v>
      </c>
      <c r="C161" s="144">
        <v>6171</v>
      </c>
      <c r="D161" s="144" t="s">
        <v>753</v>
      </c>
      <c r="E161" s="144">
        <v>47.86</v>
      </c>
      <c r="F161" s="144">
        <v>0</v>
      </c>
      <c r="G161" s="82">
        <v>0</v>
      </c>
      <c r="H161" s="82">
        <v>0</v>
      </c>
    </row>
    <row r="162" spans="1:8" x14ac:dyDescent="0.3">
      <c r="A162" s="144">
        <v>500</v>
      </c>
      <c r="B162" s="144" t="s">
        <v>702</v>
      </c>
      <c r="C162" s="144">
        <v>6226</v>
      </c>
      <c r="D162" s="144" t="s">
        <v>826</v>
      </c>
      <c r="E162" s="144">
        <v>0</v>
      </c>
      <c r="F162" s="144">
        <v>223.03</v>
      </c>
      <c r="G162" s="82">
        <v>0</v>
      </c>
      <c r="H162" s="82">
        <v>0</v>
      </c>
    </row>
    <row r="163" spans="1:8" x14ac:dyDescent="0.3">
      <c r="A163" s="144">
        <v>500</v>
      </c>
      <c r="B163" s="144" t="s">
        <v>702</v>
      </c>
      <c r="C163" s="144">
        <v>6230</v>
      </c>
      <c r="D163" s="144" t="s">
        <v>741</v>
      </c>
      <c r="E163" s="144">
        <v>0</v>
      </c>
      <c r="F163" s="144">
        <v>287.17</v>
      </c>
      <c r="G163" s="82">
        <v>0</v>
      </c>
      <c r="H163" s="82">
        <v>0</v>
      </c>
    </row>
    <row r="164" spans="1:8" x14ac:dyDescent="0.3">
      <c r="A164" s="144">
        <v>500</v>
      </c>
      <c r="B164" s="144" t="s">
        <v>702</v>
      </c>
      <c r="C164" s="144">
        <v>6244</v>
      </c>
      <c r="D164" s="144" t="s">
        <v>776</v>
      </c>
      <c r="E164" s="144">
        <v>19.14</v>
      </c>
      <c r="F164" s="144">
        <v>0</v>
      </c>
      <c r="G164" s="82">
        <v>0</v>
      </c>
      <c r="H164" s="82">
        <v>0</v>
      </c>
    </row>
    <row r="165" spans="1:8" x14ac:dyDescent="0.3">
      <c r="A165" s="144">
        <v>500</v>
      </c>
      <c r="B165" s="144" t="s">
        <v>702</v>
      </c>
      <c r="C165" s="144">
        <v>6246</v>
      </c>
      <c r="D165" s="144" t="s">
        <v>986</v>
      </c>
      <c r="E165" s="144">
        <v>47.86</v>
      </c>
      <c r="F165" s="144">
        <v>0</v>
      </c>
      <c r="G165" s="82">
        <v>0</v>
      </c>
      <c r="H165" s="82">
        <v>0</v>
      </c>
    </row>
    <row r="166" spans="1:8" x14ac:dyDescent="0.3">
      <c r="A166" s="144">
        <v>500</v>
      </c>
      <c r="B166" s="144" t="s">
        <v>702</v>
      </c>
      <c r="C166" s="144">
        <v>6249</v>
      </c>
      <c r="D166" s="144" t="s">
        <v>1081</v>
      </c>
      <c r="E166" s="144">
        <v>0</v>
      </c>
      <c r="F166" s="144">
        <v>67</v>
      </c>
      <c r="G166" s="82">
        <v>0</v>
      </c>
      <c r="H166" s="82">
        <v>0</v>
      </c>
    </row>
    <row r="167" spans="1:8" x14ac:dyDescent="0.3">
      <c r="A167" s="144">
        <v>500</v>
      </c>
      <c r="B167" s="144" t="s">
        <v>702</v>
      </c>
      <c r="C167" s="144">
        <v>6280</v>
      </c>
      <c r="D167" s="144" t="s">
        <v>1072</v>
      </c>
      <c r="E167" s="144">
        <v>0</v>
      </c>
      <c r="F167" s="144">
        <v>95.72</v>
      </c>
      <c r="G167" s="82">
        <v>0</v>
      </c>
      <c r="H167" s="82">
        <v>0</v>
      </c>
    </row>
    <row r="168" spans="1:8" x14ac:dyDescent="0.3">
      <c r="A168" s="144">
        <v>500</v>
      </c>
      <c r="B168" s="144" t="s">
        <v>702</v>
      </c>
      <c r="C168" s="144">
        <v>6284</v>
      </c>
      <c r="D168" s="144" t="s">
        <v>1057</v>
      </c>
      <c r="E168" s="144">
        <v>0</v>
      </c>
      <c r="F168" s="144">
        <v>191.44</v>
      </c>
      <c r="G168" s="82">
        <v>0</v>
      </c>
      <c r="H168" s="82">
        <v>0</v>
      </c>
    </row>
    <row r="169" spans="1:8" x14ac:dyDescent="0.3">
      <c r="A169" s="144">
        <v>500</v>
      </c>
      <c r="B169" s="144" t="s">
        <v>702</v>
      </c>
      <c r="C169" s="144">
        <v>6322</v>
      </c>
      <c r="D169" s="144" t="s">
        <v>802</v>
      </c>
      <c r="E169" s="144">
        <v>1194.6099999999999</v>
      </c>
      <c r="F169" s="144">
        <v>0</v>
      </c>
      <c r="G169" s="82">
        <v>0</v>
      </c>
      <c r="H169" s="82">
        <v>0</v>
      </c>
    </row>
    <row r="170" spans="1:8" x14ac:dyDescent="0.3">
      <c r="A170" s="144">
        <v>500</v>
      </c>
      <c r="B170" s="144" t="s">
        <v>702</v>
      </c>
      <c r="C170" s="144">
        <v>6350</v>
      </c>
      <c r="D170" s="144" t="s">
        <v>925</v>
      </c>
      <c r="E170" s="144">
        <v>0</v>
      </c>
      <c r="F170" s="144">
        <v>28.72</v>
      </c>
      <c r="G170" s="82">
        <v>0</v>
      </c>
      <c r="H170" s="82">
        <v>0</v>
      </c>
    </row>
    <row r="171" spans="1:8" x14ac:dyDescent="0.3">
      <c r="A171" s="144">
        <v>500</v>
      </c>
      <c r="B171" s="144" t="s">
        <v>702</v>
      </c>
      <c r="C171" s="144">
        <v>6354</v>
      </c>
      <c r="D171" s="144" t="s">
        <v>833</v>
      </c>
      <c r="E171" s="144">
        <v>0</v>
      </c>
      <c r="F171" s="144">
        <v>28.72</v>
      </c>
      <c r="G171" s="82">
        <v>0</v>
      </c>
      <c r="H171" s="82">
        <v>0</v>
      </c>
    </row>
    <row r="172" spans="1:8" x14ac:dyDescent="0.3">
      <c r="A172" s="144">
        <v>500</v>
      </c>
      <c r="B172" s="144" t="s">
        <v>702</v>
      </c>
      <c r="C172" s="144">
        <v>6363</v>
      </c>
      <c r="D172" s="144" t="s">
        <v>732</v>
      </c>
      <c r="E172" s="144">
        <v>0</v>
      </c>
      <c r="F172" s="144">
        <v>4.78</v>
      </c>
      <c r="G172" s="82">
        <v>0</v>
      </c>
      <c r="H172" s="82">
        <v>0</v>
      </c>
    </row>
    <row r="173" spans="1:8" x14ac:dyDescent="0.3">
      <c r="A173" s="144">
        <v>500</v>
      </c>
      <c r="B173" s="144" t="s">
        <v>702</v>
      </c>
      <c r="C173" s="144">
        <v>6364</v>
      </c>
      <c r="D173" s="144" t="s">
        <v>1073</v>
      </c>
      <c r="E173" s="144">
        <v>0</v>
      </c>
      <c r="F173" s="144">
        <v>95.72</v>
      </c>
      <c r="G173" s="82">
        <v>0</v>
      </c>
      <c r="H173" s="82">
        <v>0</v>
      </c>
    </row>
    <row r="174" spans="1:8" x14ac:dyDescent="0.3">
      <c r="A174" s="144">
        <v>500</v>
      </c>
      <c r="B174" s="144" t="s">
        <v>702</v>
      </c>
      <c r="C174" s="144">
        <v>6365</v>
      </c>
      <c r="D174" s="144" t="s">
        <v>791</v>
      </c>
      <c r="E174" s="144">
        <v>0</v>
      </c>
      <c r="F174" s="144">
        <v>95.72</v>
      </c>
      <c r="G174" s="82">
        <v>0</v>
      </c>
      <c r="H174" s="82">
        <v>0</v>
      </c>
    </row>
    <row r="175" spans="1:8" x14ac:dyDescent="0.3">
      <c r="A175" s="144">
        <v>500</v>
      </c>
      <c r="B175" s="144" t="s">
        <v>702</v>
      </c>
      <c r="C175" s="144">
        <v>6366</v>
      </c>
      <c r="D175" s="144" t="s">
        <v>723</v>
      </c>
      <c r="E175" s="144">
        <v>0</v>
      </c>
      <c r="F175" s="144">
        <v>47.86</v>
      </c>
      <c r="G175" s="82">
        <v>0</v>
      </c>
      <c r="H175" s="82">
        <v>0</v>
      </c>
    </row>
    <row r="176" spans="1:8" x14ac:dyDescent="0.3">
      <c r="A176" s="144">
        <v>500</v>
      </c>
      <c r="B176" s="144" t="s">
        <v>702</v>
      </c>
      <c r="C176" s="144">
        <v>6368</v>
      </c>
      <c r="D176" s="144" t="s">
        <v>863</v>
      </c>
      <c r="E176" s="144">
        <v>0</v>
      </c>
      <c r="F176" s="144">
        <v>191.44</v>
      </c>
      <c r="G176" s="82">
        <v>0</v>
      </c>
      <c r="H176" s="82">
        <v>0</v>
      </c>
    </row>
    <row r="177" spans="1:8" x14ac:dyDescent="0.3">
      <c r="A177" s="144">
        <v>500</v>
      </c>
      <c r="B177" s="144" t="s">
        <v>702</v>
      </c>
      <c r="C177" s="144">
        <v>6388</v>
      </c>
      <c r="D177" s="144" t="s">
        <v>782</v>
      </c>
      <c r="E177" s="144">
        <v>191.44</v>
      </c>
      <c r="F177" s="144">
        <v>0</v>
      </c>
      <c r="G177" s="82">
        <v>0</v>
      </c>
      <c r="H177" s="82">
        <v>0</v>
      </c>
    </row>
    <row r="178" spans="1:8" x14ac:dyDescent="0.3">
      <c r="A178" s="144">
        <v>500</v>
      </c>
      <c r="B178" s="144" t="s">
        <v>702</v>
      </c>
      <c r="C178" s="144">
        <v>6402</v>
      </c>
      <c r="D178" s="144" t="s">
        <v>961</v>
      </c>
      <c r="E178" s="144">
        <v>95.72</v>
      </c>
      <c r="F178" s="144">
        <v>0</v>
      </c>
      <c r="G178" s="82">
        <v>0</v>
      </c>
      <c r="H178" s="82">
        <v>0</v>
      </c>
    </row>
    <row r="179" spans="1:8" x14ac:dyDescent="0.3">
      <c r="A179" s="144">
        <v>500</v>
      </c>
      <c r="B179" s="144" t="s">
        <v>702</v>
      </c>
      <c r="C179" s="144">
        <v>6424</v>
      </c>
      <c r="D179" s="144" t="s">
        <v>913</v>
      </c>
      <c r="E179" s="144">
        <v>191.44</v>
      </c>
      <c r="F179" s="144">
        <v>0</v>
      </c>
      <c r="G179" s="82">
        <v>0</v>
      </c>
      <c r="H179" s="82">
        <v>0</v>
      </c>
    </row>
    <row r="180" spans="1:8" x14ac:dyDescent="0.3">
      <c r="A180" s="144">
        <v>500</v>
      </c>
      <c r="B180" s="144" t="s">
        <v>702</v>
      </c>
      <c r="C180" s="144">
        <v>6429</v>
      </c>
      <c r="D180" s="144" t="s">
        <v>918</v>
      </c>
      <c r="E180" s="144">
        <v>47.86</v>
      </c>
      <c r="F180" s="144">
        <v>0</v>
      </c>
      <c r="G180" s="82">
        <v>0</v>
      </c>
      <c r="H180" s="82">
        <v>0</v>
      </c>
    </row>
    <row r="181" spans="1:8" x14ac:dyDescent="0.3">
      <c r="A181" s="144">
        <v>500</v>
      </c>
      <c r="B181" s="144" t="s">
        <v>702</v>
      </c>
      <c r="C181" s="144">
        <v>6430</v>
      </c>
      <c r="D181" s="144" t="s">
        <v>962</v>
      </c>
      <c r="E181" s="144">
        <v>47.86</v>
      </c>
      <c r="F181" s="144">
        <v>0</v>
      </c>
      <c r="G181" s="82">
        <v>0</v>
      </c>
      <c r="H181" s="82">
        <v>0</v>
      </c>
    </row>
    <row r="182" spans="1:8" x14ac:dyDescent="0.3">
      <c r="A182" s="144">
        <v>500</v>
      </c>
      <c r="B182" s="144" t="s">
        <v>702</v>
      </c>
      <c r="C182" s="144">
        <v>6435</v>
      </c>
      <c r="D182" s="144" t="s">
        <v>898</v>
      </c>
      <c r="E182" s="144">
        <v>19.14</v>
      </c>
      <c r="F182" s="144">
        <v>0</v>
      </c>
      <c r="G182" s="82">
        <v>0</v>
      </c>
      <c r="H182" s="82">
        <v>0</v>
      </c>
    </row>
    <row r="183" spans="1:8" x14ac:dyDescent="0.3">
      <c r="A183" s="144">
        <v>500</v>
      </c>
      <c r="B183" s="144" t="s">
        <v>702</v>
      </c>
      <c r="C183" s="144">
        <v>6451</v>
      </c>
      <c r="D183" s="144" t="s">
        <v>950</v>
      </c>
      <c r="E183" s="144">
        <v>89.98</v>
      </c>
      <c r="F183" s="144">
        <v>0</v>
      </c>
      <c r="G183" s="82">
        <v>0</v>
      </c>
      <c r="H183" s="82">
        <v>0</v>
      </c>
    </row>
    <row r="184" spans="1:8" x14ac:dyDescent="0.3">
      <c r="A184" s="144">
        <v>500</v>
      </c>
      <c r="B184" s="144" t="s">
        <v>702</v>
      </c>
      <c r="C184" s="144">
        <v>6479</v>
      </c>
      <c r="D184" s="144" t="s">
        <v>846</v>
      </c>
      <c r="E184" s="144">
        <v>1005.08</v>
      </c>
      <c r="F184" s="144">
        <v>430.75</v>
      </c>
      <c r="G184" s="82">
        <v>0</v>
      </c>
      <c r="H184" s="82">
        <v>0</v>
      </c>
    </row>
    <row r="185" spans="1:8" x14ac:dyDescent="0.3">
      <c r="A185" s="144">
        <v>500</v>
      </c>
      <c r="B185" s="144" t="s">
        <v>702</v>
      </c>
      <c r="C185" s="144">
        <v>6498</v>
      </c>
      <c r="D185" s="144" t="s">
        <v>760</v>
      </c>
      <c r="E185" s="144">
        <v>33.5</v>
      </c>
      <c r="F185" s="144">
        <v>14.36</v>
      </c>
      <c r="G185" s="82">
        <v>0</v>
      </c>
      <c r="H185" s="82">
        <v>0</v>
      </c>
    </row>
    <row r="186" spans="1:8" x14ac:dyDescent="0.3">
      <c r="A186" s="144">
        <v>500</v>
      </c>
      <c r="B186" s="144" t="s">
        <v>702</v>
      </c>
      <c r="C186" s="144">
        <v>6516</v>
      </c>
      <c r="D186" s="144" t="s">
        <v>943</v>
      </c>
      <c r="E186" s="144">
        <v>469.03</v>
      </c>
      <c r="F186" s="144">
        <v>201.02</v>
      </c>
      <c r="G186" s="82">
        <v>0</v>
      </c>
      <c r="H186" s="82">
        <v>0</v>
      </c>
    </row>
    <row r="187" spans="1:8" x14ac:dyDescent="0.3">
      <c r="A187" s="144">
        <v>500</v>
      </c>
      <c r="B187" s="144" t="s">
        <v>702</v>
      </c>
      <c r="C187" s="144">
        <v>6522</v>
      </c>
      <c r="D187" s="144" t="s">
        <v>850</v>
      </c>
      <c r="E187" s="144">
        <v>337.9</v>
      </c>
      <c r="F187" s="144">
        <v>144.54</v>
      </c>
      <c r="G187" s="82">
        <v>0</v>
      </c>
      <c r="H187" s="82">
        <v>0</v>
      </c>
    </row>
    <row r="188" spans="1:8" x14ac:dyDescent="0.3">
      <c r="A188" s="144">
        <v>500</v>
      </c>
      <c r="B188" s="144" t="s">
        <v>702</v>
      </c>
      <c r="C188" s="144">
        <v>6537</v>
      </c>
      <c r="D188" s="144" t="s">
        <v>864</v>
      </c>
      <c r="E188" s="144">
        <v>0</v>
      </c>
      <c r="F188" s="144">
        <v>191.44</v>
      </c>
      <c r="G188" s="82">
        <v>0</v>
      </c>
      <c r="H188" s="82">
        <v>0</v>
      </c>
    </row>
    <row r="189" spans="1:8" x14ac:dyDescent="0.3">
      <c r="A189" s="144">
        <v>500</v>
      </c>
      <c r="B189" s="144" t="s">
        <v>702</v>
      </c>
      <c r="C189" s="144">
        <v>6545</v>
      </c>
      <c r="D189" s="144" t="s">
        <v>853</v>
      </c>
      <c r="E189" s="144">
        <v>13.4</v>
      </c>
      <c r="F189" s="144">
        <v>5.75</v>
      </c>
      <c r="G189" s="82">
        <v>0</v>
      </c>
      <c r="H189" s="82">
        <v>0</v>
      </c>
    </row>
    <row r="190" spans="1:8" x14ac:dyDescent="0.3">
      <c r="A190" s="144">
        <v>500</v>
      </c>
      <c r="B190" s="144" t="s">
        <v>702</v>
      </c>
      <c r="C190" s="144">
        <v>6575</v>
      </c>
      <c r="D190" s="144" t="s">
        <v>1034</v>
      </c>
      <c r="E190" s="144">
        <v>191.44</v>
      </c>
      <c r="F190" s="144">
        <v>0</v>
      </c>
      <c r="G190" s="82">
        <v>0</v>
      </c>
      <c r="H190" s="82">
        <v>0</v>
      </c>
    </row>
    <row r="191" spans="1:8" x14ac:dyDescent="0.3">
      <c r="A191" s="144">
        <v>500</v>
      </c>
      <c r="B191" s="144" t="s">
        <v>702</v>
      </c>
      <c r="C191" s="144">
        <v>6584</v>
      </c>
      <c r="D191" s="144" t="s">
        <v>1059</v>
      </c>
      <c r="E191" s="144">
        <v>478.61</v>
      </c>
      <c r="F191" s="144">
        <v>0</v>
      </c>
      <c r="G191" s="82">
        <v>0</v>
      </c>
      <c r="H191" s="82">
        <v>0</v>
      </c>
    </row>
    <row r="192" spans="1:8" x14ac:dyDescent="0.3">
      <c r="A192" s="144">
        <v>500</v>
      </c>
      <c r="B192" s="144" t="s">
        <v>702</v>
      </c>
      <c r="C192" s="144">
        <v>6586</v>
      </c>
      <c r="D192" s="144" t="s">
        <v>780</v>
      </c>
      <c r="E192" s="144">
        <v>478.61</v>
      </c>
      <c r="F192" s="144">
        <v>0</v>
      </c>
      <c r="G192" s="82">
        <v>0</v>
      </c>
      <c r="H192" s="82">
        <v>0</v>
      </c>
    </row>
    <row r="193" spans="1:6" x14ac:dyDescent="0.3">
      <c r="A193" s="144">
        <v>500</v>
      </c>
      <c r="B193" s="144" t="s">
        <v>702</v>
      </c>
      <c r="C193" s="144">
        <v>6589</v>
      </c>
      <c r="D193" s="144" t="s">
        <v>917</v>
      </c>
      <c r="E193" s="144">
        <v>191.44</v>
      </c>
      <c r="F193" s="144">
        <v>0</v>
      </c>
    </row>
    <row r="194" spans="1:6" x14ac:dyDescent="0.3">
      <c r="A194" s="144">
        <v>500</v>
      </c>
      <c r="B194" s="144" t="s">
        <v>702</v>
      </c>
      <c r="C194" s="144">
        <v>6595</v>
      </c>
      <c r="D194" s="144" t="s">
        <v>768</v>
      </c>
      <c r="E194" s="144">
        <v>1435.83</v>
      </c>
      <c r="F194" s="144">
        <v>0</v>
      </c>
    </row>
    <row r="195" spans="1:6" x14ac:dyDescent="0.3">
      <c r="A195" s="144">
        <v>500</v>
      </c>
      <c r="B195" s="144" t="s">
        <v>702</v>
      </c>
      <c r="C195" s="144">
        <v>6603</v>
      </c>
      <c r="D195" s="144" t="s">
        <v>750</v>
      </c>
      <c r="E195" s="144">
        <v>255.58</v>
      </c>
      <c r="F195" s="144">
        <v>0</v>
      </c>
    </row>
    <row r="196" spans="1:6" x14ac:dyDescent="0.3">
      <c r="A196" s="144">
        <v>500</v>
      </c>
      <c r="B196" s="144" t="s">
        <v>702</v>
      </c>
      <c r="C196" s="144">
        <v>6611</v>
      </c>
      <c r="D196" s="144" t="s">
        <v>995</v>
      </c>
      <c r="E196" s="144">
        <v>670.06</v>
      </c>
      <c r="F196" s="144">
        <v>287.17</v>
      </c>
    </row>
    <row r="197" spans="1:6" x14ac:dyDescent="0.3">
      <c r="A197" s="144">
        <v>500</v>
      </c>
      <c r="B197" s="144" t="s">
        <v>702</v>
      </c>
      <c r="C197" s="144">
        <v>6653</v>
      </c>
      <c r="D197" s="144" t="s">
        <v>816</v>
      </c>
      <c r="E197" s="144">
        <v>100.51</v>
      </c>
      <c r="F197" s="144">
        <v>43.08</v>
      </c>
    </row>
    <row r="198" spans="1:6" x14ac:dyDescent="0.3">
      <c r="A198" s="144">
        <v>500</v>
      </c>
      <c r="B198" s="144" t="s">
        <v>702</v>
      </c>
      <c r="C198" s="144">
        <v>6656</v>
      </c>
      <c r="D198" s="144" t="s">
        <v>933</v>
      </c>
      <c r="E198" s="144">
        <v>478.61</v>
      </c>
      <c r="F198" s="144">
        <v>0</v>
      </c>
    </row>
    <row r="199" spans="1:6" x14ac:dyDescent="0.3">
      <c r="A199" s="144">
        <v>500</v>
      </c>
      <c r="B199" s="144" t="s">
        <v>702</v>
      </c>
      <c r="C199" s="144">
        <v>6671</v>
      </c>
      <c r="D199" s="144" t="s">
        <v>720</v>
      </c>
      <c r="E199" s="144">
        <v>6317.67</v>
      </c>
      <c r="F199" s="144">
        <v>0</v>
      </c>
    </row>
    <row r="200" spans="1:6" x14ac:dyDescent="0.3">
      <c r="A200" s="144">
        <v>500</v>
      </c>
      <c r="B200" s="144" t="s">
        <v>702</v>
      </c>
      <c r="C200" s="144">
        <v>6679</v>
      </c>
      <c r="D200" s="144" t="s">
        <v>556</v>
      </c>
      <c r="E200" s="144">
        <v>43.94</v>
      </c>
      <c r="F200" s="144">
        <v>18.829999999999998</v>
      </c>
    </row>
    <row r="201" spans="1:6" x14ac:dyDescent="0.3">
      <c r="A201" s="144">
        <v>500</v>
      </c>
      <c r="B201" s="144" t="s">
        <v>702</v>
      </c>
      <c r="C201" s="144">
        <v>6683</v>
      </c>
      <c r="D201" s="144" t="s">
        <v>507</v>
      </c>
      <c r="E201" s="144">
        <v>150.66999999999999</v>
      </c>
      <c r="F201" s="144">
        <v>0</v>
      </c>
    </row>
    <row r="202" spans="1:6" x14ac:dyDescent="0.3">
      <c r="A202" s="144">
        <v>500</v>
      </c>
      <c r="B202" s="144" t="s">
        <v>702</v>
      </c>
      <c r="C202" s="144">
        <v>6688</v>
      </c>
      <c r="D202" s="144" t="s">
        <v>590</v>
      </c>
      <c r="E202" s="144">
        <v>448.87</v>
      </c>
      <c r="F202" s="144">
        <v>0</v>
      </c>
    </row>
    <row r="203" spans="1:6" x14ac:dyDescent="0.3">
      <c r="A203" s="144">
        <v>500</v>
      </c>
      <c r="B203" s="144" t="s">
        <v>702</v>
      </c>
      <c r="C203" s="144">
        <v>6690</v>
      </c>
      <c r="D203" s="144" t="s">
        <v>512</v>
      </c>
      <c r="E203" s="144">
        <v>125.55</v>
      </c>
      <c r="F203" s="144">
        <v>0</v>
      </c>
    </row>
    <row r="204" spans="1:6" x14ac:dyDescent="0.3">
      <c r="A204" s="144">
        <v>500</v>
      </c>
      <c r="B204" s="144" t="s">
        <v>702</v>
      </c>
      <c r="C204" s="144">
        <v>6693</v>
      </c>
      <c r="D204" s="144" t="s">
        <v>515</v>
      </c>
      <c r="E204" s="144">
        <v>109.87</v>
      </c>
      <c r="F204" s="144">
        <v>0</v>
      </c>
    </row>
    <row r="205" spans="1:6" x14ac:dyDescent="0.3">
      <c r="A205" s="144">
        <v>500</v>
      </c>
      <c r="B205" s="144" t="s">
        <v>702</v>
      </c>
      <c r="C205" s="144">
        <v>6695</v>
      </c>
      <c r="D205" s="144" t="s">
        <v>518</v>
      </c>
      <c r="E205" s="144">
        <v>784.74</v>
      </c>
      <c r="F205" s="144">
        <v>0</v>
      </c>
    </row>
    <row r="206" spans="1:6" x14ac:dyDescent="0.3">
      <c r="A206" s="144">
        <v>500</v>
      </c>
      <c r="B206" s="144" t="s">
        <v>702</v>
      </c>
      <c r="C206" s="144">
        <v>6696</v>
      </c>
      <c r="D206" s="144" t="s">
        <v>690</v>
      </c>
      <c r="E206" s="144">
        <v>62.78</v>
      </c>
      <c r="F206" s="144">
        <v>0</v>
      </c>
    </row>
    <row r="207" spans="1:6" x14ac:dyDescent="0.3">
      <c r="A207" s="144">
        <v>500</v>
      </c>
      <c r="B207" s="144" t="s">
        <v>702</v>
      </c>
      <c r="C207" s="144">
        <v>6699</v>
      </c>
      <c r="D207" s="144" t="s">
        <v>521</v>
      </c>
      <c r="E207" s="144">
        <v>354.71</v>
      </c>
      <c r="F207" s="144">
        <v>0</v>
      </c>
    </row>
    <row r="208" spans="1:6" x14ac:dyDescent="0.3">
      <c r="A208" s="144">
        <v>500</v>
      </c>
      <c r="B208" s="144" t="s">
        <v>702</v>
      </c>
      <c r="C208" s="144">
        <v>6704</v>
      </c>
      <c r="D208" s="144" t="s">
        <v>531</v>
      </c>
      <c r="E208" s="144">
        <v>627.79</v>
      </c>
      <c r="F208" s="144">
        <v>0</v>
      </c>
    </row>
    <row r="209" spans="1:6" x14ac:dyDescent="0.3">
      <c r="A209" s="144">
        <v>500</v>
      </c>
      <c r="B209" s="144" t="s">
        <v>702</v>
      </c>
      <c r="C209" s="144">
        <v>6709</v>
      </c>
      <c r="D209" s="144" t="s">
        <v>528</v>
      </c>
      <c r="E209" s="144">
        <v>401.79</v>
      </c>
      <c r="F209" s="144">
        <v>0</v>
      </c>
    </row>
    <row r="210" spans="1:6" x14ac:dyDescent="0.3">
      <c r="A210" s="144">
        <v>500</v>
      </c>
      <c r="B210" s="144" t="s">
        <v>702</v>
      </c>
      <c r="C210" s="144">
        <v>6720</v>
      </c>
      <c r="D210" s="144" t="s">
        <v>537</v>
      </c>
      <c r="E210" s="144">
        <v>301.33999999999997</v>
      </c>
      <c r="F210" s="144">
        <v>0</v>
      </c>
    </row>
    <row r="211" spans="1:6" x14ac:dyDescent="0.3">
      <c r="A211" s="144">
        <v>500</v>
      </c>
      <c r="B211" s="144" t="s">
        <v>702</v>
      </c>
      <c r="C211" s="144">
        <v>6726</v>
      </c>
      <c r="D211" s="144" t="s">
        <v>694</v>
      </c>
      <c r="E211" s="144">
        <v>662.32</v>
      </c>
      <c r="F211" s="144">
        <v>0</v>
      </c>
    </row>
    <row r="212" spans="1:6" x14ac:dyDescent="0.3">
      <c r="A212" s="144">
        <v>500</v>
      </c>
      <c r="B212" s="144" t="s">
        <v>702</v>
      </c>
      <c r="C212" s="144">
        <v>6732</v>
      </c>
      <c r="D212" s="144" t="s">
        <v>598</v>
      </c>
      <c r="E212" s="144">
        <v>78.47</v>
      </c>
      <c r="F212" s="144">
        <v>0</v>
      </c>
    </row>
    <row r="213" spans="1:6" x14ac:dyDescent="0.3">
      <c r="A213" s="144">
        <v>500</v>
      </c>
      <c r="B213" s="144" t="s">
        <v>702</v>
      </c>
      <c r="C213" s="144">
        <v>6741</v>
      </c>
      <c r="D213" s="144" t="s">
        <v>573</v>
      </c>
      <c r="E213" s="144">
        <v>3295.9</v>
      </c>
      <c r="F213" s="144">
        <v>1412.53</v>
      </c>
    </row>
    <row r="214" spans="1:6" x14ac:dyDescent="0.3">
      <c r="A214" s="144">
        <v>500</v>
      </c>
      <c r="B214" s="144" t="s">
        <v>702</v>
      </c>
      <c r="C214" s="144">
        <v>6752</v>
      </c>
      <c r="D214" s="144" t="s">
        <v>578</v>
      </c>
      <c r="E214" s="144">
        <v>3076.18</v>
      </c>
      <c r="F214" s="144">
        <v>1318.36</v>
      </c>
    </row>
    <row r="215" spans="1:6" x14ac:dyDescent="0.3">
      <c r="A215" s="144">
        <v>500</v>
      </c>
      <c r="B215" s="144" t="s">
        <v>702</v>
      </c>
      <c r="C215" s="144">
        <v>6787</v>
      </c>
      <c r="D215" s="144" t="s">
        <v>483</v>
      </c>
      <c r="E215" s="144">
        <v>0</v>
      </c>
      <c r="F215" s="144">
        <v>291.92</v>
      </c>
    </row>
    <row r="216" spans="1:6" x14ac:dyDescent="0.3">
      <c r="A216" s="144">
        <v>500</v>
      </c>
      <c r="B216" s="144" t="s">
        <v>702</v>
      </c>
      <c r="C216" s="144">
        <v>6793</v>
      </c>
      <c r="D216" s="144" t="s">
        <v>473</v>
      </c>
      <c r="E216" s="144">
        <v>0</v>
      </c>
      <c r="F216" s="144">
        <v>247.97</v>
      </c>
    </row>
    <row r="217" spans="1:6" x14ac:dyDescent="0.3">
      <c r="A217" s="144">
        <v>500</v>
      </c>
      <c r="B217" s="144" t="s">
        <v>702</v>
      </c>
      <c r="C217" s="144">
        <v>6798</v>
      </c>
      <c r="D217" s="144" t="s">
        <v>584</v>
      </c>
      <c r="E217" s="144">
        <v>0</v>
      </c>
      <c r="F217" s="144">
        <v>113</v>
      </c>
    </row>
    <row r="218" spans="1:6" x14ac:dyDescent="0.3">
      <c r="A218" s="144">
        <v>500</v>
      </c>
      <c r="B218" s="144" t="s">
        <v>702</v>
      </c>
      <c r="C218" s="144">
        <v>6821</v>
      </c>
      <c r="D218" s="144" t="s">
        <v>625</v>
      </c>
      <c r="E218" s="144">
        <v>329.59</v>
      </c>
      <c r="F218" s="144">
        <v>141.25</v>
      </c>
    </row>
    <row r="219" spans="1:6" x14ac:dyDescent="0.3">
      <c r="A219" s="144">
        <v>500</v>
      </c>
      <c r="B219" s="144" t="s">
        <v>702</v>
      </c>
      <c r="C219" s="144">
        <v>6823</v>
      </c>
      <c r="D219" s="144" t="s">
        <v>626</v>
      </c>
      <c r="E219" s="144">
        <v>116.14</v>
      </c>
      <c r="F219" s="144">
        <v>50.23</v>
      </c>
    </row>
    <row r="220" spans="1:6" x14ac:dyDescent="0.3">
      <c r="A220" s="144">
        <v>500</v>
      </c>
      <c r="B220" s="144" t="s">
        <v>702</v>
      </c>
      <c r="C220" s="144">
        <v>6852</v>
      </c>
      <c r="D220" s="144" t="s">
        <v>563</v>
      </c>
      <c r="E220" s="144">
        <v>3076.18</v>
      </c>
      <c r="F220" s="144">
        <v>1318.36</v>
      </c>
    </row>
    <row r="221" spans="1:6" x14ac:dyDescent="0.3">
      <c r="A221" s="144">
        <v>500</v>
      </c>
      <c r="B221" s="144" t="s">
        <v>702</v>
      </c>
      <c r="C221" s="144">
        <v>6877</v>
      </c>
      <c r="D221" s="144" t="s">
        <v>984</v>
      </c>
      <c r="E221" s="144">
        <v>2.2000000000000002</v>
      </c>
      <c r="F221" s="144">
        <v>0</v>
      </c>
    </row>
    <row r="222" spans="1:6" x14ac:dyDescent="0.3">
      <c r="A222" s="144">
        <v>500</v>
      </c>
      <c r="B222" s="144" t="s">
        <v>702</v>
      </c>
      <c r="C222" s="144">
        <v>6893</v>
      </c>
      <c r="D222" s="144" t="s">
        <v>901</v>
      </c>
      <c r="E222" s="144">
        <v>132.09</v>
      </c>
      <c r="F222" s="144">
        <v>56.47</v>
      </c>
    </row>
    <row r="223" spans="1:6" x14ac:dyDescent="0.3">
      <c r="A223" s="144">
        <v>500</v>
      </c>
      <c r="B223" s="144" t="s">
        <v>702</v>
      </c>
      <c r="C223" s="144">
        <v>6906</v>
      </c>
      <c r="D223" s="144" t="s">
        <v>941</v>
      </c>
      <c r="E223" s="144">
        <v>37.33</v>
      </c>
      <c r="F223" s="144">
        <v>15.31</v>
      </c>
    </row>
    <row r="224" spans="1:6" x14ac:dyDescent="0.3">
      <c r="A224" s="144">
        <v>500</v>
      </c>
      <c r="B224" s="144" t="s">
        <v>702</v>
      </c>
      <c r="C224" s="144">
        <v>6943</v>
      </c>
      <c r="D224" s="144" t="s">
        <v>946</v>
      </c>
      <c r="E224" s="144">
        <v>775.35</v>
      </c>
      <c r="F224" s="144">
        <v>332.16</v>
      </c>
    </row>
    <row r="225" spans="1:6" x14ac:dyDescent="0.3">
      <c r="A225" s="144">
        <v>500</v>
      </c>
      <c r="B225" s="144" t="s">
        <v>702</v>
      </c>
      <c r="C225" s="144">
        <v>6949</v>
      </c>
      <c r="D225" s="144" t="s">
        <v>810</v>
      </c>
      <c r="E225" s="144">
        <v>1782.35</v>
      </c>
      <c r="F225" s="144">
        <v>763.86</v>
      </c>
    </row>
    <row r="226" spans="1:6" x14ac:dyDescent="0.3">
      <c r="A226" s="144">
        <v>500</v>
      </c>
      <c r="B226" s="144" t="s">
        <v>702</v>
      </c>
      <c r="C226" s="144">
        <v>7046</v>
      </c>
      <c r="D226" s="144" t="s">
        <v>879</v>
      </c>
      <c r="E226" s="144">
        <v>0</v>
      </c>
      <c r="F226" s="144">
        <v>287.17</v>
      </c>
    </row>
    <row r="227" spans="1:6" x14ac:dyDescent="0.3">
      <c r="A227" s="144">
        <v>500</v>
      </c>
      <c r="B227" s="144" t="s">
        <v>702</v>
      </c>
      <c r="C227" s="144">
        <v>7338</v>
      </c>
      <c r="D227" s="144" t="s">
        <v>889</v>
      </c>
      <c r="E227" s="144">
        <v>318.75</v>
      </c>
      <c r="F227" s="144">
        <v>0</v>
      </c>
    </row>
    <row r="228" spans="1:6" x14ac:dyDescent="0.3">
      <c r="A228" s="144">
        <v>500</v>
      </c>
      <c r="B228" s="144" t="s">
        <v>702</v>
      </c>
      <c r="C228" s="144">
        <v>7394</v>
      </c>
      <c r="D228" s="144" t="s">
        <v>916</v>
      </c>
      <c r="E228" s="144">
        <v>1145.8</v>
      </c>
      <c r="F228" s="144">
        <v>0</v>
      </c>
    </row>
    <row r="229" spans="1:6" x14ac:dyDescent="0.3">
      <c r="A229" s="144">
        <v>500</v>
      </c>
      <c r="B229" s="144" t="s">
        <v>702</v>
      </c>
      <c r="C229" s="144">
        <v>7396</v>
      </c>
      <c r="D229" s="144" t="s">
        <v>726</v>
      </c>
      <c r="E229" s="144">
        <v>717.92</v>
      </c>
      <c r="F229" s="144">
        <v>0</v>
      </c>
    </row>
    <row r="230" spans="1:6" x14ac:dyDescent="0.3">
      <c r="A230" s="144">
        <v>500</v>
      </c>
      <c r="B230" s="144" t="s">
        <v>702</v>
      </c>
      <c r="C230" s="144">
        <v>7635</v>
      </c>
      <c r="D230" s="144" t="s">
        <v>761</v>
      </c>
      <c r="E230" s="144">
        <v>0</v>
      </c>
      <c r="F230" s="144">
        <v>67</v>
      </c>
    </row>
    <row r="231" spans="1:6" x14ac:dyDescent="0.3">
      <c r="A231" s="144">
        <v>500</v>
      </c>
      <c r="B231" s="144" t="s">
        <v>702</v>
      </c>
      <c r="C231" s="144">
        <v>91024</v>
      </c>
      <c r="D231" s="144" t="s">
        <v>997</v>
      </c>
      <c r="E231" s="144">
        <v>12.44</v>
      </c>
      <c r="F231" s="144">
        <v>0</v>
      </c>
    </row>
    <row r="232" spans="1:6" x14ac:dyDescent="0.3">
      <c r="A232" s="144">
        <v>500</v>
      </c>
      <c r="B232" s="144" t="s">
        <v>702</v>
      </c>
      <c r="C232" s="144">
        <v>92330</v>
      </c>
      <c r="D232" s="144" t="s">
        <v>952</v>
      </c>
      <c r="E232" s="144">
        <v>408.07</v>
      </c>
      <c r="F232" s="144">
        <v>0</v>
      </c>
    </row>
    <row r="233" spans="1:6" x14ac:dyDescent="0.3">
      <c r="A233" s="144">
        <v>112</v>
      </c>
      <c r="B233" s="144" t="s">
        <v>1352</v>
      </c>
      <c r="C233" s="144">
        <v>4595</v>
      </c>
      <c r="D233" s="144" t="s">
        <v>765</v>
      </c>
      <c r="E233" s="144">
        <v>1</v>
      </c>
      <c r="F233" s="144">
        <v>0</v>
      </c>
    </row>
    <row r="234" spans="1:6" x14ac:dyDescent="0.3">
      <c r="A234" s="144">
        <v>124</v>
      </c>
      <c r="B234" s="144" t="s">
        <v>1353</v>
      </c>
      <c r="C234" s="144">
        <v>92328</v>
      </c>
      <c r="D234" s="144" t="s">
        <v>1110</v>
      </c>
      <c r="E234" s="144">
        <v>219.72</v>
      </c>
      <c r="F234" s="144">
        <v>0</v>
      </c>
    </row>
    <row r="235" spans="1:6" x14ac:dyDescent="0.3">
      <c r="A235" s="144">
        <v>150</v>
      </c>
      <c r="B235" s="144" t="s">
        <v>703</v>
      </c>
      <c r="C235" s="144">
        <v>92323</v>
      </c>
      <c r="D235" s="144" t="s">
        <v>905</v>
      </c>
      <c r="E235" s="144">
        <v>269.95</v>
      </c>
      <c r="F235" s="144">
        <v>0</v>
      </c>
    </row>
    <row r="236" spans="1:6" x14ac:dyDescent="0.3">
      <c r="A236" s="144">
        <v>150</v>
      </c>
      <c r="B236" s="144" t="s">
        <v>703</v>
      </c>
      <c r="C236" s="144">
        <v>92327</v>
      </c>
      <c r="D236" s="144" t="s">
        <v>953</v>
      </c>
      <c r="E236" s="144">
        <v>235.47</v>
      </c>
      <c r="F236" s="144">
        <v>0</v>
      </c>
    </row>
    <row r="237" spans="1:6" x14ac:dyDescent="0.3">
      <c r="A237" s="144">
        <v>500</v>
      </c>
      <c r="B237" s="144" t="s">
        <v>702</v>
      </c>
      <c r="C237" s="144">
        <v>6042</v>
      </c>
      <c r="D237" s="144" t="s">
        <v>876</v>
      </c>
      <c r="E237" s="144">
        <v>0</v>
      </c>
      <c r="F237" s="144">
        <v>28.72</v>
      </c>
    </row>
    <row r="238" spans="1:6" x14ac:dyDescent="0.3">
      <c r="A238" s="144">
        <v>500</v>
      </c>
      <c r="B238" s="144" t="s">
        <v>702</v>
      </c>
      <c r="C238" s="144">
        <v>6047</v>
      </c>
      <c r="D238" s="144" t="s">
        <v>790</v>
      </c>
      <c r="E238" s="144">
        <v>0</v>
      </c>
      <c r="F238" s="144">
        <v>38.28</v>
      </c>
    </row>
    <row r="239" spans="1:6" x14ac:dyDescent="0.3">
      <c r="A239" s="144">
        <v>500</v>
      </c>
      <c r="B239" s="144" t="s">
        <v>702</v>
      </c>
      <c r="C239" s="144">
        <v>6216</v>
      </c>
      <c r="D239" s="144" t="s">
        <v>920</v>
      </c>
      <c r="E239" s="144">
        <v>114.86</v>
      </c>
      <c r="F239" s="144">
        <v>0</v>
      </c>
    </row>
    <row r="240" spans="1:6" x14ac:dyDescent="0.3">
      <c r="A240" s="144">
        <v>500</v>
      </c>
      <c r="B240" s="144" t="s">
        <v>702</v>
      </c>
      <c r="C240" s="144">
        <v>6224</v>
      </c>
      <c r="D240" s="144" t="s">
        <v>999</v>
      </c>
      <c r="E240" s="144">
        <v>143.58000000000001</v>
      </c>
      <c r="F240" s="144">
        <v>0</v>
      </c>
    </row>
    <row r="241" spans="1:6" x14ac:dyDescent="0.3">
      <c r="A241" s="144">
        <v>500</v>
      </c>
      <c r="B241" s="144" t="s">
        <v>702</v>
      </c>
      <c r="C241" s="144">
        <v>6228</v>
      </c>
      <c r="D241" s="144" t="s">
        <v>827</v>
      </c>
      <c r="E241" s="144">
        <v>0</v>
      </c>
      <c r="F241" s="144">
        <v>95.72</v>
      </c>
    </row>
    <row r="242" spans="1:6" x14ac:dyDescent="0.3">
      <c r="A242" s="144">
        <v>500</v>
      </c>
      <c r="B242" s="144" t="s">
        <v>702</v>
      </c>
      <c r="C242" s="144">
        <v>6239</v>
      </c>
      <c r="D242" s="144" t="s">
        <v>1015</v>
      </c>
      <c r="E242" s="144">
        <v>239.31</v>
      </c>
      <c r="F242" s="144">
        <v>0</v>
      </c>
    </row>
    <row r="243" spans="1:6" x14ac:dyDescent="0.3">
      <c r="A243" s="144">
        <v>500</v>
      </c>
      <c r="B243" s="144" t="s">
        <v>702</v>
      </c>
      <c r="C243" s="144">
        <v>6250</v>
      </c>
      <c r="D243" s="144" t="s">
        <v>1055</v>
      </c>
      <c r="E243" s="144">
        <v>47.86</v>
      </c>
      <c r="F243" s="144">
        <v>0</v>
      </c>
    </row>
    <row r="244" spans="1:6" x14ac:dyDescent="0.3">
      <c r="A244" s="144">
        <v>500</v>
      </c>
      <c r="B244" s="144" t="s">
        <v>702</v>
      </c>
      <c r="C244" s="144">
        <v>6286</v>
      </c>
      <c r="D244" s="144" t="s">
        <v>1068</v>
      </c>
      <c r="E244" s="144">
        <v>0</v>
      </c>
      <c r="F244" s="144">
        <v>191.44</v>
      </c>
    </row>
    <row r="245" spans="1:6" x14ac:dyDescent="0.3">
      <c r="A245" s="144">
        <v>500</v>
      </c>
      <c r="B245" s="144" t="s">
        <v>702</v>
      </c>
      <c r="C245" s="144">
        <v>6289</v>
      </c>
      <c r="D245" s="144" t="s">
        <v>928</v>
      </c>
      <c r="E245" s="144">
        <v>0</v>
      </c>
      <c r="F245" s="144">
        <v>430.75</v>
      </c>
    </row>
    <row r="246" spans="1:6" x14ac:dyDescent="0.3">
      <c r="A246" s="144">
        <v>500</v>
      </c>
      <c r="B246" s="144" t="s">
        <v>702</v>
      </c>
      <c r="C246" s="144">
        <v>6294</v>
      </c>
      <c r="D246" s="144" t="s">
        <v>1000</v>
      </c>
      <c r="E246" s="144">
        <v>47.86</v>
      </c>
      <c r="F246" s="144">
        <v>0</v>
      </c>
    </row>
    <row r="247" spans="1:6" x14ac:dyDescent="0.3">
      <c r="A247" s="144">
        <v>500</v>
      </c>
      <c r="B247" s="144" t="s">
        <v>702</v>
      </c>
      <c r="C247" s="144">
        <v>6333</v>
      </c>
      <c r="D247" s="144" t="s">
        <v>871</v>
      </c>
      <c r="E247" s="144">
        <v>4.78</v>
      </c>
      <c r="F247" s="144">
        <v>0</v>
      </c>
    </row>
    <row r="248" spans="1:6" x14ac:dyDescent="0.3">
      <c r="A248" s="144">
        <v>500</v>
      </c>
      <c r="B248" s="144" t="s">
        <v>702</v>
      </c>
      <c r="C248" s="144">
        <v>6338</v>
      </c>
      <c r="D248" s="144" t="s">
        <v>1004</v>
      </c>
      <c r="E248" s="144">
        <v>282.38</v>
      </c>
      <c r="F248" s="144">
        <v>120.61</v>
      </c>
    </row>
    <row r="249" spans="1:6" x14ac:dyDescent="0.3">
      <c r="A249" s="144">
        <v>500</v>
      </c>
      <c r="B249" s="144" t="s">
        <v>702</v>
      </c>
      <c r="C249" s="144">
        <v>6348</v>
      </c>
      <c r="D249" s="144" t="s">
        <v>831</v>
      </c>
      <c r="E249" s="144">
        <v>0</v>
      </c>
      <c r="F249" s="144">
        <v>287.17</v>
      </c>
    </row>
    <row r="250" spans="1:6" x14ac:dyDescent="0.3">
      <c r="A250" s="144">
        <v>500</v>
      </c>
      <c r="B250" s="144" t="s">
        <v>702</v>
      </c>
      <c r="C250" s="144">
        <v>6357</v>
      </c>
      <c r="D250" s="144" t="s">
        <v>738</v>
      </c>
      <c r="E250" s="144">
        <v>0</v>
      </c>
      <c r="F250" s="144">
        <v>4.78</v>
      </c>
    </row>
    <row r="251" spans="1:6" x14ac:dyDescent="0.3">
      <c r="A251" s="144">
        <v>500</v>
      </c>
      <c r="B251" s="144" t="s">
        <v>702</v>
      </c>
      <c r="C251" s="144">
        <v>6359</v>
      </c>
      <c r="D251" s="144" t="s">
        <v>926</v>
      </c>
      <c r="E251" s="144">
        <v>0</v>
      </c>
      <c r="F251" s="144">
        <v>19.14</v>
      </c>
    </row>
    <row r="252" spans="1:6" x14ac:dyDescent="0.3">
      <c r="A252" s="144">
        <v>500</v>
      </c>
      <c r="B252" s="144" t="s">
        <v>702</v>
      </c>
      <c r="C252" s="144">
        <v>6375</v>
      </c>
      <c r="D252" s="144" t="s">
        <v>1078</v>
      </c>
      <c r="E252" s="144">
        <v>0</v>
      </c>
      <c r="F252" s="144">
        <v>47.86</v>
      </c>
    </row>
    <row r="253" spans="1:6" x14ac:dyDescent="0.3">
      <c r="A253" s="144">
        <v>500</v>
      </c>
      <c r="B253" s="144" t="s">
        <v>702</v>
      </c>
      <c r="C253" s="144">
        <v>6378</v>
      </c>
      <c r="D253" s="144" t="s">
        <v>958</v>
      </c>
      <c r="E253" s="144">
        <v>143.58000000000001</v>
      </c>
      <c r="F253" s="144">
        <v>0</v>
      </c>
    </row>
    <row r="254" spans="1:6" x14ac:dyDescent="0.3">
      <c r="A254" s="144">
        <v>500</v>
      </c>
      <c r="B254" s="144" t="s">
        <v>702</v>
      </c>
      <c r="C254" s="144">
        <v>6384</v>
      </c>
      <c r="D254" s="144" t="s">
        <v>746</v>
      </c>
      <c r="E254" s="144">
        <v>2680.22</v>
      </c>
      <c r="F254" s="144">
        <v>0</v>
      </c>
    </row>
    <row r="255" spans="1:6" x14ac:dyDescent="0.3">
      <c r="A255" s="144">
        <v>500</v>
      </c>
      <c r="B255" s="144" t="s">
        <v>702</v>
      </c>
      <c r="C255" s="144">
        <v>6386</v>
      </c>
      <c r="D255" s="144" t="s">
        <v>1008</v>
      </c>
      <c r="E255" s="144">
        <v>1148.67</v>
      </c>
      <c r="F255" s="144">
        <v>0</v>
      </c>
    </row>
    <row r="256" spans="1:6" x14ac:dyDescent="0.3">
      <c r="A256" s="144">
        <v>500</v>
      </c>
      <c r="B256" s="144" t="s">
        <v>702</v>
      </c>
      <c r="C256" s="144">
        <v>6387</v>
      </c>
      <c r="D256" s="144" t="s">
        <v>866</v>
      </c>
      <c r="E256" s="144">
        <v>191.44</v>
      </c>
      <c r="F256" s="144">
        <v>0</v>
      </c>
    </row>
    <row r="257" spans="1:6" x14ac:dyDescent="0.3">
      <c r="A257" s="144">
        <v>500</v>
      </c>
      <c r="B257" s="144" t="s">
        <v>702</v>
      </c>
      <c r="C257" s="144">
        <v>6390</v>
      </c>
      <c r="D257" s="144" t="s">
        <v>870</v>
      </c>
      <c r="E257" s="144">
        <v>1052.94</v>
      </c>
      <c r="F257" s="144">
        <v>0</v>
      </c>
    </row>
    <row r="258" spans="1:6" x14ac:dyDescent="0.3">
      <c r="A258" s="144">
        <v>500</v>
      </c>
      <c r="B258" s="144" t="s">
        <v>702</v>
      </c>
      <c r="C258" s="144">
        <v>6392</v>
      </c>
      <c r="D258" s="144" t="s">
        <v>965</v>
      </c>
      <c r="E258" s="144">
        <v>478.61</v>
      </c>
      <c r="F258" s="144">
        <v>0</v>
      </c>
    </row>
    <row r="259" spans="1:6" x14ac:dyDescent="0.3">
      <c r="A259" s="144">
        <v>500</v>
      </c>
      <c r="B259" s="144" t="s">
        <v>702</v>
      </c>
      <c r="C259" s="144">
        <v>6393</v>
      </c>
      <c r="D259" s="144" t="s">
        <v>822</v>
      </c>
      <c r="E259" s="144">
        <v>229.73</v>
      </c>
      <c r="F259" s="144">
        <v>0</v>
      </c>
    </row>
    <row r="260" spans="1:6" x14ac:dyDescent="0.3">
      <c r="A260" s="144">
        <v>500</v>
      </c>
      <c r="B260" s="144" t="s">
        <v>702</v>
      </c>
      <c r="C260" s="144">
        <v>6408</v>
      </c>
      <c r="D260" s="144" t="s">
        <v>1036</v>
      </c>
      <c r="E260" s="144">
        <v>38.28</v>
      </c>
      <c r="F260" s="144">
        <v>0</v>
      </c>
    </row>
    <row r="261" spans="1:6" x14ac:dyDescent="0.3">
      <c r="A261" s="144">
        <v>500</v>
      </c>
      <c r="B261" s="144" t="s">
        <v>702</v>
      </c>
      <c r="C261" s="144">
        <v>6409</v>
      </c>
      <c r="D261" s="144" t="s">
        <v>1090</v>
      </c>
      <c r="E261" s="144">
        <v>19.14</v>
      </c>
      <c r="F261" s="144">
        <v>0</v>
      </c>
    </row>
    <row r="262" spans="1:6" x14ac:dyDescent="0.3">
      <c r="A262" s="144">
        <v>500</v>
      </c>
      <c r="B262" s="144" t="s">
        <v>702</v>
      </c>
      <c r="C262" s="144">
        <v>6415</v>
      </c>
      <c r="D262" s="144" t="s">
        <v>982</v>
      </c>
      <c r="E262" s="144">
        <v>124.44</v>
      </c>
      <c r="F262" s="144">
        <v>0</v>
      </c>
    </row>
    <row r="263" spans="1:6" x14ac:dyDescent="0.3">
      <c r="A263" s="144">
        <v>500</v>
      </c>
      <c r="B263" s="144" t="s">
        <v>702</v>
      </c>
      <c r="C263" s="144">
        <v>6417</v>
      </c>
      <c r="D263" s="144" t="s">
        <v>1037</v>
      </c>
      <c r="E263" s="144">
        <v>71.8</v>
      </c>
      <c r="F263" s="144">
        <v>0</v>
      </c>
    </row>
    <row r="264" spans="1:6" x14ac:dyDescent="0.3">
      <c r="A264" s="144">
        <v>500</v>
      </c>
      <c r="B264" s="144" t="s">
        <v>702</v>
      </c>
      <c r="C264" s="144">
        <v>6418</v>
      </c>
      <c r="D264" s="144" t="s">
        <v>803</v>
      </c>
      <c r="E264" s="144">
        <v>14.36</v>
      </c>
      <c r="F264" s="144">
        <v>0</v>
      </c>
    </row>
    <row r="265" spans="1:6" x14ac:dyDescent="0.3">
      <c r="A265" s="144">
        <v>500</v>
      </c>
      <c r="B265" s="144" t="s">
        <v>702</v>
      </c>
      <c r="C265" s="144">
        <v>6419</v>
      </c>
      <c r="D265" s="144" t="s">
        <v>514</v>
      </c>
      <c r="E265" s="144">
        <v>62.78</v>
      </c>
      <c r="F265" s="144">
        <v>0</v>
      </c>
    </row>
    <row r="266" spans="1:6" x14ac:dyDescent="0.3">
      <c r="A266" s="144">
        <v>500</v>
      </c>
      <c r="B266" s="144" t="s">
        <v>702</v>
      </c>
      <c r="C266" s="144">
        <v>6420</v>
      </c>
      <c r="D266" s="144" t="s">
        <v>919</v>
      </c>
      <c r="E266" s="144">
        <v>47.86</v>
      </c>
      <c r="F266" s="144">
        <v>0</v>
      </c>
    </row>
    <row r="267" spans="1:6" x14ac:dyDescent="0.3">
      <c r="A267" s="144">
        <v>500</v>
      </c>
      <c r="B267" s="144" t="s">
        <v>702</v>
      </c>
      <c r="C267" s="144">
        <v>6426</v>
      </c>
      <c r="D267" s="144" t="s">
        <v>869</v>
      </c>
      <c r="E267" s="144">
        <v>382.89</v>
      </c>
      <c r="F267" s="144">
        <v>0</v>
      </c>
    </row>
    <row r="268" spans="1:6" x14ac:dyDescent="0.3">
      <c r="A268" s="144">
        <v>500</v>
      </c>
      <c r="B268" s="144" t="s">
        <v>702</v>
      </c>
      <c r="C268" s="144">
        <v>6433</v>
      </c>
      <c r="D268" s="144" t="s">
        <v>896</v>
      </c>
      <c r="E268" s="144">
        <v>938.08</v>
      </c>
      <c r="F268" s="144">
        <v>402.03</v>
      </c>
    </row>
    <row r="269" spans="1:6" x14ac:dyDescent="0.3">
      <c r="A269" s="144">
        <v>500</v>
      </c>
      <c r="B269" s="144" t="s">
        <v>702</v>
      </c>
      <c r="C269" s="144">
        <v>6438</v>
      </c>
      <c r="D269" s="144" t="s">
        <v>1092</v>
      </c>
      <c r="E269" s="144">
        <v>47.86</v>
      </c>
      <c r="F269" s="144">
        <v>0</v>
      </c>
    </row>
    <row r="270" spans="1:6" x14ac:dyDescent="0.3">
      <c r="A270" s="144">
        <v>500</v>
      </c>
      <c r="B270" s="144" t="s">
        <v>702</v>
      </c>
      <c r="C270" s="144">
        <v>6450</v>
      </c>
      <c r="D270" s="144" t="s">
        <v>996</v>
      </c>
      <c r="E270" s="144">
        <v>574.33000000000004</v>
      </c>
      <c r="F270" s="144">
        <v>0</v>
      </c>
    </row>
    <row r="271" spans="1:6" x14ac:dyDescent="0.3">
      <c r="A271" s="144">
        <v>500</v>
      </c>
      <c r="B271" s="144" t="s">
        <v>702</v>
      </c>
      <c r="C271" s="144">
        <v>6453</v>
      </c>
      <c r="D271" s="144" t="s">
        <v>904</v>
      </c>
      <c r="E271" s="144">
        <v>95.72</v>
      </c>
      <c r="F271" s="144">
        <v>0</v>
      </c>
    </row>
    <row r="272" spans="1:6" x14ac:dyDescent="0.3">
      <c r="A272" s="144">
        <v>500</v>
      </c>
      <c r="B272" s="144" t="s">
        <v>702</v>
      </c>
      <c r="C272" s="144">
        <v>6454</v>
      </c>
      <c r="D272" s="144" t="s">
        <v>1047</v>
      </c>
      <c r="E272" s="144">
        <v>71.8</v>
      </c>
      <c r="F272" s="144">
        <v>0</v>
      </c>
    </row>
    <row r="273" spans="1:6" x14ac:dyDescent="0.3">
      <c r="A273" s="144">
        <v>500</v>
      </c>
      <c r="B273" s="144" t="s">
        <v>702</v>
      </c>
      <c r="C273" s="144">
        <v>6456</v>
      </c>
      <c r="D273" s="144" t="s">
        <v>974</v>
      </c>
      <c r="E273" s="144">
        <v>0</v>
      </c>
      <c r="F273" s="144">
        <v>19.14</v>
      </c>
    </row>
    <row r="274" spans="1:6" x14ac:dyDescent="0.3">
      <c r="A274" s="144">
        <v>500</v>
      </c>
      <c r="B274" s="144" t="s">
        <v>702</v>
      </c>
      <c r="C274" s="144">
        <v>6468</v>
      </c>
      <c r="D274" s="144" t="s">
        <v>1070</v>
      </c>
      <c r="E274" s="144">
        <v>0</v>
      </c>
      <c r="F274" s="144">
        <v>1531.56</v>
      </c>
    </row>
    <row r="275" spans="1:6" x14ac:dyDescent="0.3">
      <c r="A275" s="144">
        <v>500</v>
      </c>
      <c r="B275" s="144" t="s">
        <v>702</v>
      </c>
      <c r="C275" s="144">
        <v>6473</v>
      </c>
      <c r="D275" s="144" t="s">
        <v>921</v>
      </c>
      <c r="E275" s="144">
        <v>4.78</v>
      </c>
      <c r="F275" s="144">
        <v>0</v>
      </c>
    </row>
    <row r="276" spans="1:6" x14ac:dyDescent="0.3">
      <c r="A276" s="144">
        <v>500</v>
      </c>
      <c r="B276" s="144" t="s">
        <v>702</v>
      </c>
      <c r="C276" s="144">
        <v>6478</v>
      </c>
      <c r="D276" s="144" t="s">
        <v>851</v>
      </c>
      <c r="E276" s="144">
        <v>74.66</v>
      </c>
      <c r="F276" s="144">
        <v>32.549999999999997</v>
      </c>
    </row>
    <row r="277" spans="1:6" x14ac:dyDescent="0.3">
      <c r="A277" s="144">
        <v>500</v>
      </c>
      <c r="B277" s="144" t="s">
        <v>702</v>
      </c>
      <c r="C277" s="144">
        <v>6483</v>
      </c>
      <c r="D277" s="144" t="s">
        <v>854</v>
      </c>
      <c r="E277" s="144">
        <v>382.89</v>
      </c>
      <c r="F277" s="144">
        <v>0</v>
      </c>
    </row>
    <row r="278" spans="1:6" x14ac:dyDescent="0.3">
      <c r="A278" s="144">
        <v>500</v>
      </c>
      <c r="B278" s="144" t="s">
        <v>702</v>
      </c>
      <c r="C278" s="144">
        <v>6513</v>
      </c>
      <c r="D278" s="144" t="s">
        <v>770</v>
      </c>
      <c r="E278" s="144">
        <v>293.86</v>
      </c>
      <c r="F278" s="144">
        <v>125.39</v>
      </c>
    </row>
    <row r="279" spans="1:6" x14ac:dyDescent="0.3">
      <c r="A279" s="144">
        <v>500</v>
      </c>
      <c r="B279" s="144" t="s">
        <v>702</v>
      </c>
      <c r="C279" s="144">
        <v>6521</v>
      </c>
      <c r="D279" s="144" t="s">
        <v>994</v>
      </c>
      <c r="E279" s="144">
        <v>337.9</v>
      </c>
      <c r="F279" s="144">
        <v>144.54</v>
      </c>
    </row>
    <row r="280" spans="1:6" x14ac:dyDescent="0.3">
      <c r="A280" s="144">
        <v>500</v>
      </c>
      <c r="B280" s="144" t="s">
        <v>702</v>
      </c>
      <c r="C280" s="144">
        <v>6532</v>
      </c>
      <c r="D280" s="144" t="s">
        <v>824</v>
      </c>
      <c r="E280" s="144">
        <v>0</v>
      </c>
      <c r="F280" s="144">
        <v>287.17</v>
      </c>
    </row>
    <row r="281" spans="1:6" x14ac:dyDescent="0.3">
      <c r="A281" s="144">
        <v>500</v>
      </c>
      <c r="B281" s="144" t="s">
        <v>702</v>
      </c>
      <c r="C281" s="144">
        <v>6549</v>
      </c>
      <c r="D281" s="144" t="s">
        <v>934</v>
      </c>
      <c r="E281" s="144">
        <v>414.48</v>
      </c>
      <c r="F281" s="144">
        <v>0</v>
      </c>
    </row>
    <row r="282" spans="1:6" x14ac:dyDescent="0.3">
      <c r="A282" s="144">
        <v>500</v>
      </c>
      <c r="B282" s="144" t="s">
        <v>702</v>
      </c>
      <c r="C282" s="144">
        <v>6563</v>
      </c>
      <c r="D282" s="144" t="s">
        <v>1062</v>
      </c>
      <c r="E282" s="144">
        <v>47.86</v>
      </c>
      <c r="F282" s="144">
        <v>0</v>
      </c>
    </row>
    <row r="283" spans="1:6" x14ac:dyDescent="0.3">
      <c r="A283" s="144">
        <v>500</v>
      </c>
      <c r="B283" s="144" t="s">
        <v>702</v>
      </c>
      <c r="C283" s="144">
        <v>6582</v>
      </c>
      <c r="D283" s="144" t="s">
        <v>1007</v>
      </c>
      <c r="E283" s="144">
        <v>478.61</v>
      </c>
      <c r="F283" s="144">
        <v>0</v>
      </c>
    </row>
    <row r="284" spans="1:6" x14ac:dyDescent="0.3">
      <c r="A284" s="144">
        <v>500</v>
      </c>
      <c r="B284" s="144" t="s">
        <v>702</v>
      </c>
      <c r="C284" s="144">
        <v>6661</v>
      </c>
      <c r="D284" s="144" t="s">
        <v>1065</v>
      </c>
      <c r="E284" s="144">
        <v>5743.33</v>
      </c>
      <c r="F284" s="144">
        <v>0</v>
      </c>
    </row>
    <row r="285" spans="1:6" x14ac:dyDescent="0.3">
      <c r="A285" s="144">
        <v>500</v>
      </c>
      <c r="B285" s="144" t="s">
        <v>702</v>
      </c>
      <c r="C285" s="144">
        <v>6692</v>
      </c>
      <c r="D285" s="144" t="s">
        <v>513</v>
      </c>
      <c r="E285" s="144">
        <v>627.79</v>
      </c>
      <c r="F285" s="144">
        <v>0</v>
      </c>
    </row>
    <row r="286" spans="1:6" x14ac:dyDescent="0.3">
      <c r="A286" s="144">
        <v>500</v>
      </c>
      <c r="B286" s="144" t="s">
        <v>702</v>
      </c>
      <c r="C286" s="144">
        <v>6729</v>
      </c>
      <c r="D286" s="144" t="s">
        <v>597</v>
      </c>
      <c r="E286" s="144">
        <v>141.25</v>
      </c>
      <c r="F286" s="144">
        <v>0</v>
      </c>
    </row>
    <row r="287" spans="1:6" x14ac:dyDescent="0.3">
      <c r="A287" s="144">
        <v>500</v>
      </c>
      <c r="B287" s="144" t="s">
        <v>702</v>
      </c>
      <c r="C287" s="144">
        <v>6761</v>
      </c>
      <c r="D287" s="144" t="s">
        <v>499</v>
      </c>
      <c r="E287" s="144">
        <v>0</v>
      </c>
      <c r="F287" s="144">
        <v>599.54</v>
      </c>
    </row>
    <row r="288" spans="1:6" x14ac:dyDescent="0.3">
      <c r="A288" s="144">
        <v>500</v>
      </c>
      <c r="B288" s="144" t="s">
        <v>702</v>
      </c>
      <c r="C288" s="144">
        <v>6762</v>
      </c>
      <c r="D288" s="144" t="s">
        <v>500</v>
      </c>
      <c r="E288" s="144">
        <v>0</v>
      </c>
      <c r="F288" s="144">
        <v>941.69</v>
      </c>
    </row>
    <row r="289" spans="1:6" x14ac:dyDescent="0.3">
      <c r="A289" s="144">
        <v>500</v>
      </c>
      <c r="B289" s="144" t="s">
        <v>702</v>
      </c>
      <c r="C289" s="144">
        <v>6785</v>
      </c>
      <c r="D289" s="144" t="s">
        <v>481</v>
      </c>
      <c r="E289" s="144">
        <v>0</v>
      </c>
      <c r="F289" s="144">
        <v>470.84</v>
      </c>
    </row>
    <row r="290" spans="1:6" x14ac:dyDescent="0.3">
      <c r="A290" s="144">
        <v>500</v>
      </c>
      <c r="B290" s="144" t="s">
        <v>702</v>
      </c>
      <c r="C290" s="144">
        <v>6792</v>
      </c>
      <c r="D290" s="144" t="s">
        <v>474</v>
      </c>
      <c r="E290" s="144">
        <v>0</v>
      </c>
      <c r="F290" s="144">
        <v>326.45</v>
      </c>
    </row>
    <row r="291" spans="1:6" x14ac:dyDescent="0.3">
      <c r="A291" s="144">
        <v>500</v>
      </c>
      <c r="B291" s="144" t="s">
        <v>702</v>
      </c>
      <c r="C291" s="144">
        <v>6819</v>
      </c>
      <c r="D291" s="144" t="s">
        <v>624</v>
      </c>
      <c r="E291" s="144">
        <v>100.45</v>
      </c>
      <c r="F291" s="144">
        <v>40.81</v>
      </c>
    </row>
    <row r="292" spans="1:6" x14ac:dyDescent="0.3">
      <c r="A292" s="144">
        <v>500</v>
      </c>
      <c r="B292" s="144" t="s">
        <v>702</v>
      </c>
      <c r="C292" s="144">
        <v>6839</v>
      </c>
      <c r="D292" s="144" t="s">
        <v>619</v>
      </c>
      <c r="E292" s="144">
        <v>637.21</v>
      </c>
      <c r="F292" s="144">
        <v>273.08999999999997</v>
      </c>
    </row>
    <row r="293" spans="1:6" x14ac:dyDescent="0.3">
      <c r="A293" s="144">
        <v>500</v>
      </c>
      <c r="B293" s="144" t="s">
        <v>702</v>
      </c>
      <c r="C293" s="144">
        <v>6840</v>
      </c>
      <c r="D293" s="144" t="s">
        <v>620</v>
      </c>
      <c r="E293" s="144">
        <v>665.45</v>
      </c>
      <c r="F293" s="144">
        <v>285.64999999999998</v>
      </c>
    </row>
    <row r="294" spans="1:6" x14ac:dyDescent="0.3">
      <c r="A294" s="144">
        <v>500</v>
      </c>
      <c r="B294" s="144" t="s">
        <v>702</v>
      </c>
      <c r="C294" s="144">
        <v>6847</v>
      </c>
      <c r="D294" s="144" t="s">
        <v>488</v>
      </c>
      <c r="E294" s="144">
        <v>0</v>
      </c>
      <c r="F294" s="144">
        <v>156.94999999999999</v>
      </c>
    </row>
    <row r="295" spans="1:6" x14ac:dyDescent="0.3">
      <c r="A295" s="144">
        <v>500</v>
      </c>
      <c r="B295" s="144" t="s">
        <v>702</v>
      </c>
      <c r="C295" s="144">
        <v>6849</v>
      </c>
      <c r="D295" s="144" t="s">
        <v>559</v>
      </c>
      <c r="E295" s="144">
        <v>1318.36</v>
      </c>
      <c r="F295" s="144">
        <v>565.01</v>
      </c>
    </row>
    <row r="296" spans="1:6" x14ac:dyDescent="0.3">
      <c r="A296" s="144">
        <v>500</v>
      </c>
      <c r="B296" s="144" t="s">
        <v>702</v>
      </c>
      <c r="C296" s="144">
        <v>6856</v>
      </c>
      <c r="D296" s="144" t="s">
        <v>560</v>
      </c>
      <c r="E296" s="144">
        <v>1318.36</v>
      </c>
      <c r="F296" s="144">
        <v>565.01</v>
      </c>
    </row>
    <row r="297" spans="1:6" x14ac:dyDescent="0.3">
      <c r="A297" s="144">
        <v>500</v>
      </c>
      <c r="B297" s="144" t="s">
        <v>702</v>
      </c>
      <c r="C297" s="144">
        <v>6883</v>
      </c>
      <c r="D297" s="144" t="s">
        <v>938</v>
      </c>
      <c r="E297" s="144">
        <v>36.369999999999997</v>
      </c>
      <c r="F297" s="144">
        <v>0</v>
      </c>
    </row>
    <row r="298" spans="1:6" x14ac:dyDescent="0.3">
      <c r="A298" s="144">
        <v>500</v>
      </c>
      <c r="B298" s="144" t="s">
        <v>702</v>
      </c>
      <c r="C298" s="144">
        <v>6941</v>
      </c>
      <c r="D298" s="144" t="s">
        <v>1044</v>
      </c>
      <c r="E298" s="144">
        <v>402.03</v>
      </c>
      <c r="F298" s="144">
        <v>172.3</v>
      </c>
    </row>
    <row r="299" spans="1:6" x14ac:dyDescent="0.3">
      <c r="A299" s="144">
        <v>500</v>
      </c>
      <c r="B299" s="144" t="s">
        <v>702</v>
      </c>
      <c r="C299" s="144">
        <v>6973</v>
      </c>
      <c r="D299" s="144" t="s">
        <v>740</v>
      </c>
      <c r="E299" s="144">
        <v>0</v>
      </c>
      <c r="F299" s="144">
        <v>47.86</v>
      </c>
    </row>
    <row r="300" spans="1:6" x14ac:dyDescent="0.3">
      <c r="A300" s="144">
        <v>500</v>
      </c>
      <c r="B300" s="144" t="s">
        <v>702</v>
      </c>
      <c r="C300" s="144">
        <v>7037</v>
      </c>
      <c r="D300" s="144" t="s">
        <v>1030</v>
      </c>
      <c r="E300" s="144">
        <v>95.72</v>
      </c>
      <c r="F300" s="144">
        <v>0</v>
      </c>
    </row>
    <row r="301" spans="1:6" x14ac:dyDescent="0.3">
      <c r="A301" s="144">
        <v>500</v>
      </c>
      <c r="B301" s="144" t="s">
        <v>702</v>
      </c>
      <c r="C301" s="144">
        <v>7178</v>
      </c>
      <c r="D301" s="144" t="s">
        <v>975</v>
      </c>
      <c r="E301" s="144">
        <v>0</v>
      </c>
      <c r="F301" s="144">
        <v>5.75</v>
      </c>
    </row>
    <row r="302" spans="1:6" x14ac:dyDescent="0.3">
      <c r="A302" s="144">
        <v>500</v>
      </c>
      <c r="B302" s="144" t="s">
        <v>702</v>
      </c>
      <c r="C302" s="144">
        <v>7189</v>
      </c>
      <c r="D302" s="144" t="s">
        <v>877</v>
      </c>
      <c r="E302" s="144">
        <v>0</v>
      </c>
      <c r="F302" s="144">
        <v>191.44</v>
      </c>
    </row>
    <row r="303" spans="1:6" x14ac:dyDescent="0.3">
      <c r="A303" s="144">
        <v>500</v>
      </c>
      <c r="B303" s="144" t="s">
        <v>702</v>
      </c>
      <c r="C303" s="144">
        <v>7418</v>
      </c>
      <c r="D303" s="144" t="s">
        <v>1012</v>
      </c>
      <c r="E303" s="144">
        <v>18.190000000000001</v>
      </c>
      <c r="F303" s="144">
        <v>0</v>
      </c>
    </row>
    <row r="304" spans="1:6" x14ac:dyDescent="0.3">
      <c r="A304" s="144">
        <v>500</v>
      </c>
      <c r="B304" s="144" t="s">
        <v>702</v>
      </c>
      <c r="C304" s="144">
        <v>10521</v>
      </c>
      <c r="D304" s="144" t="s">
        <v>813</v>
      </c>
      <c r="E304" s="144">
        <v>32.549999999999997</v>
      </c>
      <c r="F304" s="144">
        <v>0</v>
      </c>
    </row>
    <row r="305" spans="1:6" x14ac:dyDescent="0.3">
      <c r="A305" s="144">
        <v>500</v>
      </c>
      <c r="B305" s="144" t="s">
        <v>702</v>
      </c>
      <c r="C305" s="144">
        <v>10996</v>
      </c>
      <c r="D305" s="144" t="s">
        <v>607</v>
      </c>
      <c r="E305" s="144">
        <v>100.45</v>
      </c>
      <c r="F305" s="144">
        <v>40.81</v>
      </c>
    </row>
    <row r="306" spans="1:6" x14ac:dyDescent="0.3">
      <c r="A306" s="144">
        <v>150</v>
      </c>
      <c r="B306" s="144" t="s">
        <v>703</v>
      </c>
      <c r="C306" s="144">
        <v>92321</v>
      </c>
      <c r="D306" s="144" t="s">
        <v>818</v>
      </c>
      <c r="E306" s="144">
        <v>194.61</v>
      </c>
      <c r="F306" s="144">
        <v>0</v>
      </c>
    </row>
    <row r="307" spans="1:6" x14ac:dyDescent="0.3">
      <c r="A307" s="144">
        <v>500</v>
      </c>
      <c r="B307" s="144" t="s">
        <v>702</v>
      </c>
      <c r="C307" s="144">
        <v>6128</v>
      </c>
      <c r="D307" s="144" t="s">
        <v>935</v>
      </c>
      <c r="E307" s="144">
        <v>1544</v>
      </c>
      <c r="F307" s="144">
        <v>0</v>
      </c>
    </row>
    <row r="308" spans="1:6" x14ac:dyDescent="0.3">
      <c r="A308" s="144">
        <v>500</v>
      </c>
      <c r="B308" s="144" t="s">
        <v>702</v>
      </c>
      <c r="C308" s="144">
        <v>6181</v>
      </c>
      <c r="D308" s="144" t="s">
        <v>988</v>
      </c>
      <c r="E308" s="144">
        <v>69.88</v>
      </c>
      <c r="F308" s="144">
        <v>0</v>
      </c>
    </row>
    <row r="309" spans="1:6" x14ac:dyDescent="0.3">
      <c r="A309" s="144">
        <v>500</v>
      </c>
      <c r="B309" s="144" t="s">
        <v>702</v>
      </c>
      <c r="C309" s="144">
        <v>6217</v>
      </c>
      <c r="D309" s="144" t="s">
        <v>1082</v>
      </c>
      <c r="E309" s="144">
        <v>0</v>
      </c>
      <c r="F309" s="144">
        <v>105.3</v>
      </c>
    </row>
    <row r="310" spans="1:6" x14ac:dyDescent="0.3">
      <c r="A310" s="144">
        <v>500</v>
      </c>
      <c r="B310" s="144" t="s">
        <v>702</v>
      </c>
      <c r="C310" s="144">
        <v>6240</v>
      </c>
      <c r="D310" s="144" t="s">
        <v>1063</v>
      </c>
      <c r="E310" s="144">
        <v>191.44</v>
      </c>
      <c r="F310" s="144">
        <v>0</v>
      </c>
    </row>
    <row r="311" spans="1:6" x14ac:dyDescent="0.3">
      <c r="A311" s="144">
        <v>500</v>
      </c>
      <c r="B311" s="144" t="s">
        <v>702</v>
      </c>
      <c r="C311" s="144">
        <v>6309</v>
      </c>
      <c r="D311" s="144" t="s">
        <v>1088</v>
      </c>
      <c r="E311" s="144">
        <v>95.72</v>
      </c>
      <c r="F311" s="144">
        <v>0</v>
      </c>
    </row>
    <row r="312" spans="1:6" x14ac:dyDescent="0.3">
      <c r="A312" s="144">
        <v>500</v>
      </c>
      <c r="B312" s="144" t="s">
        <v>702</v>
      </c>
      <c r="C312" s="144">
        <v>6318</v>
      </c>
      <c r="D312" s="144" t="s">
        <v>767</v>
      </c>
      <c r="E312" s="144">
        <v>95.72</v>
      </c>
      <c r="F312" s="144">
        <v>0</v>
      </c>
    </row>
    <row r="313" spans="1:6" x14ac:dyDescent="0.3">
      <c r="A313" s="144">
        <v>500</v>
      </c>
      <c r="B313" s="144" t="s">
        <v>702</v>
      </c>
      <c r="C313" s="144">
        <v>6330</v>
      </c>
      <c r="D313" s="144" t="s">
        <v>728</v>
      </c>
      <c r="E313" s="144">
        <v>2393.06</v>
      </c>
      <c r="F313" s="144">
        <v>0</v>
      </c>
    </row>
    <row r="314" spans="1:6" x14ac:dyDescent="0.3">
      <c r="A314" s="144">
        <v>500</v>
      </c>
      <c r="B314" s="144" t="s">
        <v>702</v>
      </c>
      <c r="C314" s="144">
        <v>6335</v>
      </c>
      <c r="D314" s="144" t="s">
        <v>1040</v>
      </c>
      <c r="E314" s="144">
        <v>47.86</v>
      </c>
      <c r="F314" s="144">
        <v>0</v>
      </c>
    </row>
    <row r="315" spans="1:6" x14ac:dyDescent="0.3">
      <c r="A315" s="144">
        <v>500</v>
      </c>
      <c r="B315" s="144" t="s">
        <v>702</v>
      </c>
      <c r="C315" s="144">
        <v>6339</v>
      </c>
      <c r="D315" s="144" t="s">
        <v>910</v>
      </c>
      <c r="E315" s="144">
        <v>478.61</v>
      </c>
      <c r="F315" s="144">
        <v>204.84</v>
      </c>
    </row>
    <row r="316" spans="1:6" x14ac:dyDescent="0.3">
      <c r="A316" s="144">
        <v>500</v>
      </c>
      <c r="B316" s="144" t="s">
        <v>702</v>
      </c>
      <c r="C316" s="144">
        <v>6356</v>
      </c>
      <c r="D316" s="144" t="s">
        <v>469</v>
      </c>
      <c r="E316" s="144">
        <v>0</v>
      </c>
      <c r="F316" s="144">
        <v>18.829999999999998</v>
      </c>
    </row>
    <row r="317" spans="1:6" x14ac:dyDescent="0.3">
      <c r="A317" s="144">
        <v>500</v>
      </c>
      <c r="B317" s="144" t="s">
        <v>702</v>
      </c>
      <c r="C317" s="144">
        <v>6358</v>
      </c>
      <c r="D317" s="144" t="s">
        <v>1074</v>
      </c>
      <c r="E317" s="144">
        <v>0</v>
      </c>
      <c r="F317" s="144">
        <v>95.72</v>
      </c>
    </row>
    <row r="318" spans="1:6" x14ac:dyDescent="0.3">
      <c r="A318" s="144">
        <v>500</v>
      </c>
      <c r="B318" s="144" t="s">
        <v>702</v>
      </c>
      <c r="C318" s="144">
        <v>6376</v>
      </c>
      <c r="D318" s="144" t="s">
        <v>878</v>
      </c>
      <c r="E318" s="144">
        <v>0</v>
      </c>
      <c r="F318" s="144">
        <v>191.44</v>
      </c>
    </row>
    <row r="319" spans="1:6" x14ac:dyDescent="0.3">
      <c r="A319" s="144">
        <v>500</v>
      </c>
      <c r="B319" s="144" t="s">
        <v>702</v>
      </c>
      <c r="C319" s="144">
        <v>6397</v>
      </c>
      <c r="D319" s="144" t="s">
        <v>886</v>
      </c>
      <c r="E319" s="144">
        <v>1137.17</v>
      </c>
      <c r="F319" s="144">
        <v>0</v>
      </c>
    </row>
    <row r="320" spans="1:6" x14ac:dyDescent="0.3">
      <c r="A320" s="144">
        <v>500</v>
      </c>
      <c r="B320" s="144" t="s">
        <v>702</v>
      </c>
      <c r="C320" s="144">
        <v>6414</v>
      </c>
      <c r="D320" s="144" t="s">
        <v>960</v>
      </c>
      <c r="E320" s="144">
        <v>201.02</v>
      </c>
      <c r="F320" s="144">
        <v>0</v>
      </c>
    </row>
    <row r="321" spans="1:6" x14ac:dyDescent="0.3">
      <c r="A321" s="144">
        <v>500</v>
      </c>
      <c r="B321" s="144" t="s">
        <v>702</v>
      </c>
      <c r="C321" s="144">
        <v>6428</v>
      </c>
      <c r="D321" s="144" t="s">
        <v>724</v>
      </c>
      <c r="E321" s="144">
        <v>9.58</v>
      </c>
      <c r="F321" s="144">
        <v>0</v>
      </c>
    </row>
    <row r="322" spans="1:6" x14ac:dyDescent="0.3">
      <c r="A322" s="144">
        <v>500</v>
      </c>
      <c r="B322" s="144" t="s">
        <v>702</v>
      </c>
      <c r="C322" s="144">
        <v>6437</v>
      </c>
      <c r="D322" s="144" t="s">
        <v>845</v>
      </c>
      <c r="E322" s="144">
        <v>87.11</v>
      </c>
      <c r="F322" s="144">
        <v>37.33</v>
      </c>
    </row>
    <row r="323" spans="1:6" x14ac:dyDescent="0.3">
      <c r="A323" s="144">
        <v>500</v>
      </c>
      <c r="B323" s="144" t="s">
        <v>702</v>
      </c>
      <c r="C323" s="144">
        <v>6446</v>
      </c>
      <c r="D323" s="144" t="s">
        <v>985</v>
      </c>
      <c r="E323" s="144">
        <v>765.78</v>
      </c>
      <c r="F323" s="144">
        <v>0</v>
      </c>
    </row>
    <row r="324" spans="1:6" x14ac:dyDescent="0.3">
      <c r="A324" s="144">
        <v>500</v>
      </c>
      <c r="B324" s="144" t="s">
        <v>702</v>
      </c>
      <c r="C324" s="144">
        <v>6447</v>
      </c>
      <c r="D324" s="144" t="s">
        <v>752</v>
      </c>
      <c r="E324" s="144">
        <v>47.86</v>
      </c>
      <c r="F324" s="144">
        <v>0</v>
      </c>
    </row>
    <row r="325" spans="1:6" x14ac:dyDescent="0.3">
      <c r="A325" s="144">
        <v>500</v>
      </c>
      <c r="B325" s="144" t="s">
        <v>702</v>
      </c>
      <c r="C325" s="144">
        <v>6475</v>
      </c>
      <c r="D325" s="144" t="s">
        <v>883</v>
      </c>
      <c r="E325" s="144">
        <v>2680.22</v>
      </c>
      <c r="F325" s="144">
        <v>0</v>
      </c>
    </row>
    <row r="326" spans="1:6" x14ac:dyDescent="0.3">
      <c r="A326" s="144">
        <v>500</v>
      </c>
      <c r="B326" s="144" t="s">
        <v>702</v>
      </c>
      <c r="C326" s="144">
        <v>6500</v>
      </c>
      <c r="D326" s="144" t="s">
        <v>820</v>
      </c>
      <c r="E326" s="144">
        <v>0</v>
      </c>
      <c r="F326" s="144">
        <v>957.22</v>
      </c>
    </row>
    <row r="327" spans="1:6" x14ac:dyDescent="0.3">
      <c r="A327" s="144">
        <v>500</v>
      </c>
      <c r="B327" s="144" t="s">
        <v>702</v>
      </c>
      <c r="C327" s="144">
        <v>6503</v>
      </c>
      <c r="D327" s="144" t="s">
        <v>1105</v>
      </c>
      <c r="E327" s="144">
        <v>33.5</v>
      </c>
      <c r="F327" s="144">
        <v>14.36</v>
      </c>
    </row>
    <row r="328" spans="1:6" x14ac:dyDescent="0.3">
      <c r="A328" s="144">
        <v>500</v>
      </c>
      <c r="B328" s="144" t="s">
        <v>702</v>
      </c>
      <c r="C328" s="144">
        <v>6519</v>
      </c>
      <c r="D328" s="144" t="s">
        <v>942</v>
      </c>
      <c r="E328" s="144">
        <v>45.95</v>
      </c>
      <c r="F328" s="144">
        <v>20.11</v>
      </c>
    </row>
    <row r="329" spans="1:6" x14ac:dyDescent="0.3">
      <c r="A329" s="144">
        <v>500</v>
      </c>
      <c r="B329" s="144" t="s">
        <v>702</v>
      </c>
      <c r="C329" s="144">
        <v>6520</v>
      </c>
      <c r="D329" s="144" t="s">
        <v>849</v>
      </c>
      <c r="E329" s="144">
        <v>114.86</v>
      </c>
      <c r="F329" s="144">
        <v>49.78</v>
      </c>
    </row>
    <row r="330" spans="1:6" x14ac:dyDescent="0.3">
      <c r="A330" s="144">
        <v>500</v>
      </c>
      <c r="B330" s="144" t="s">
        <v>702</v>
      </c>
      <c r="C330" s="144">
        <v>6580</v>
      </c>
      <c r="D330" s="144" t="s">
        <v>1006</v>
      </c>
      <c r="E330" s="144">
        <v>478.61</v>
      </c>
      <c r="F330" s="144">
        <v>0</v>
      </c>
    </row>
    <row r="331" spans="1:6" x14ac:dyDescent="0.3">
      <c r="A331" s="144">
        <v>500</v>
      </c>
      <c r="B331" s="144" t="s">
        <v>702</v>
      </c>
      <c r="C331" s="144">
        <v>6609</v>
      </c>
      <c r="D331" s="144" t="s">
        <v>902</v>
      </c>
      <c r="E331" s="144">
        <v>13.4</v>
      </c>
      <c r="F331" s="144">
        <v>5.75</v>
      </c>
    </row>
    <row r="332" spans="1:6" x14ac:dyDescent="0.3">
      <c r="A332" s="144">
        <v>500</v>
      </c>
      <c r="B332" s="144" t="s">
        <v>702</v>
      </c>
      <c r="C332" s="144">
        <v>6633</v>
      </c>
      <c r="D332" s="144" t="s">
        <v>797</v>
      </c>
      <c r="E332" s="144">
        <v>2201.61</v>
      </c>
      <c r="F332" s="144">
        <v>0</v>
      </c>
    </row>
    <row r="333" spans="1:6" x14ac:dyDescent="0.3">
      <c r="A333" s="144">
        <v>500</v>
      </c>
      <c r="B333" s="144" t="s">
        <v>702</v>
      </c>
      <c r="C333" s="144">
        <v>6657</v>
      </c>
      <c r="D333" s="144" t="s">
        <v>862</v>
      </c>
      <c r="E333" s="144">
        <v>287.17</v>
      </c>
      <c r="F333" s="144">
        <v>0</v>
      </c>
    </row>
    <row r="334" spans="1:6" x14ac:dyDescent="0.3">
      <c r="A334" s="144">
        <v>500</v>
      </c>
      <c r="B334" s="144" t="s">
        <v>702</v>
      </c>
      <c r="C334" s="144">
        <v>6687</v>
      </c>
      <c r="D334" s="144" t="s">
        <v>591</v>
      </c>
      <c r="E334" s="144">
        <v>226.01</v>
      </c>
      <c r="F334" s="144">
        <v>0</v>
      </c>
    </row>
    <row r="335" spans="1:6" x14ac:dyDescent="0.3">
      <c r="A335" s="144">
        <v>500</v>
      </c>
      <c r="B335" s="144" t="s">
        <v>702</v>
      </c>
      <c r="C335" s="144">
        <v>6700</v>
      </c>
      <c r="D335" s="144" t="s">
        <v>524</v>
      </c>
      <c r="E335" s="144">
        <v>891.46</v>
      </c>
      <c r="F335" s="144">
        <v>0</v>
      </c>
    </row>
    <row r="336" spans="1:6" x14ac:dyDescent="0.3">
      <c r="A336" s="144">
        <v>500</v>
      </c>
      <c r="B336" s="144" t="s">
        <v>702</v>
      </c>
      <c r="C336" s="144">
        <v>6701</v>
      </c>
      <c r="D336" s="144" t="s">
        <v>525</v>
      </c>
      <c r="E336" s="144">
        <v>891.46</v>
      </c>
      <c r="F336" s="144">
        <v>0</v>
      </c>
    </row>
    <row r="337" spans="1:6" x14ac:dyDescent="0.3">
      <c r="A337" s="144">
        <v>500</v>
      </c>
      <c r="B337" s="144" t="s">
        <v>702</v>
      </c>
      <c r="C337" s="144">
        <v>6705</v>
      </c>
      <c r="D337" s="144" t="s">
        <v>532</v>
      </c>
      <c r="E337" s="144">
        <v>627.79</v>
      </c>
      <c r="F337" s="144">
        <v>0</v>
      </c>
    </row>
    <row r="338" spans="1:6" x14ac:dyDescent="0.3">
      <c r="A338" s="144">
        <v>500</v>
      </c>
      <c r="B338" s="144" t="s">
        <v>702</v>
      </c>
      <c r="C338" s="144">
        <v>6716</v>
      </c>
      <c r="D338" s="144" t="s">
        <v>535</v>
      </c>
      <c r="E338" s="144">
        <v>125.55</v>
      </c>
      <c r="F338" s="144">
        <v>0</v>
      </c>
    </row>
    <row r="339" spans="1:6" x14ac:dyDescent="0.3">
      <c r="A339" s="144">
        <v>500</v>
      </c>
      <c r="B339" s="144" t="s">
        <v>702</v>
      </c>
      <c r="C339" s="144">
        <v>6744</v>
      </c>
      <c r="D339" s="144" t="s">
        <v>571</v>
      </c>
      <c r="E339" s="144">
        <v>285.64999999999998</v>
      </c>
      <c r="F339" s="144">
        <v>122.42</v>
      </c>
    </row>
    <row r="340" spans="1:6" x14ac:dyDescent="0.3">
      <c r="A340" s="144">
        <v>500</v>
      </c>
      <c r="B340" s="144" t="s">
        <v>702</v>
      </c>
      <c r="C340" s="144">
        <v>6751</v>
      </c>
      <c r="D340" s="144" t="s">
        <v>577</v>
      </c>
      <c r="E340" s="144">
        <v>1318.36</v>
      </c>
      <c r="F340" s="144">
        <v>565.01</v>
      </c>
    </row>
    <row r="341" spans="1:6" x14ac:dyDescent="0.3">
      <c r="A341" s="144">
        <v>500</v>
      </c>
      <c r="B341" s="144" t="s">
        <v>702</v>
      </c>
      <c r="C341" s="144">
        <v>6759</v>
      </c>
      <c r="D341" s="144" t="s">
        <v>583</v>
      </c>
      <c r="E341" s="144">
        <v>1883.37</v>
      </c>
      <c r="F341" s="144">
        <v>0</v>
      </c>
    </row>
    <row r="342" spans="1:6" x14ac:dyDescent="0.3">
      <c r="A342" s="144">
        <v>500</v>
      </c>
      <c r="B342" s="144" t="s">
        <v>702</v>
      </c>
      <c r="C342" s="144">
        <v>6777</v>
      </c>
      <c r="D342" s="144" t="s">
        <v>477</v>
      </c>
      <c r="E342" s="144">
        <v>0</v>
      </c>
      <c r="F342" s="144">
        <v>156.94999999999999</v>
      </c>
    </row>
    <row r="343" spans="1:6" x14ac:dyDescent="0.3">
      <c r="A343" s="144">
        <v>500</v>
      </c>
      <c r="B343" s="144" t="s">
        <v>702</v>
      </c>
      <c r="C343" s="144">
        <v>6778</v>
      </c>
      <c r="D343" s="144" t="s">
        <v>472</v>
      </c>
      <c r="E343" s="144">
        <v>0</v>
      </c>
      <c r="F343" s="144">
        <v>627.79</v>
      </c>
    </row>
    <row r="344" spans="1:6" x14ac:dyDescent="0.3">
      <c r="A344" s="144">
        <v>500</v>
      </c>
      <c r="B344" s="144" t="s">
        <v>702</v>
      </c>
      <c r="C344" s="144">
        <v>6786</v>
      </c>
      <c r="D344" s="144" t="s">
        <v>482</v>
      </c>
      <c r="E344" s="144">
        <v>0</v>
      </c>
      <c r="F344" s="144">
        <v>166.36</v>
      </c>
    </row>
    <row r="345" spans="1:6" x14ac:dyDescent="0.3">
      <c r="A345" s="144">
        <v>500</v>
      </c>
      <c r="B345" s="144" t="s">
        <v>702</v>
      </c>
      <c r="C345" s="144">
        <v>6794</v>
      </c>
      <c r="D345" s="144" t="s">
        <v>490</v>
      </c>
      <c r="E345" s="144">
        <v>0</v>
      </c>
      <c r="F345" s="144">
        <v>100.45</v>
      </c>
    </row>
    <row r="346" spans="1:6" x14ac:dyDescent="0.3">
      <c r="A346" s="144">
        <v>500</v>
      </c>
      <c r="B346" s="144" t="s">
        <v>702</v>
      </c>
      <c r="C346" s="144">
        <v>6816</v>
      </c>
      <c r="D346" s="144" t="s">
        <v>618</v>
      </c>
      <c r="E346" s="144">
        <v>659.18</v>
      </c>
      <c r="F346" s="144">
        <v>282.5</v>
      </c>
    </row>
    <row r="347" spans="1:6" x14ac:dyDescent="0.3">
      <c r="A347" s="144">
        <v>500</v>
      </c>
      <c r="B347" s="144" t="s">
        <v>702</v>
      </c>
      <c r="C347" s="144">
        <v>6817</v>
      </c>
      <c r="D347" s="144" t="s">
        <v>622</v>
      </c>
      <c r="E347" s="144">
        <v>131.83000000000001</v>
      </c>
      <c r="F347" s="144">
        <v>56.5</v>
      </c>
    </row>
    <row r="348" spans="1:6" x14ac:dyDescent="0.3">
      <c r="A348" s="144">
        <v>500</v>
      </c>
      <c r="B348" s="144" t="s">
        <v>702</v>
      </c>
      <c r="C348" s="144">
        <v>6820</v>
      </c>
      <c r="D348" s="144" t="s">
        <v>608</v>
      </c>
      <c r="E348" s="144">
        <v>219.72</v>
      </c>
      <c r="F348" s="144">
        <v>94.17</v>
      </c>
    </row>
    <row r="349" spans="1:6" x14ac:dyDescent="0.3">
      <c r="A349" s="144">
        <v>500</v>
      </c>
      <c r="B349" s="144" t="s">
        <v>702</v>
      </c>
      <c r="C349" s="144">
        <v>6831</v>
      </c>
      <c r="D349" s="144" t="s">
        <v>603</v>
      </c>
      <c r="E349" s="144">
        <v>624.66</v>
      </c>
      <c r="F349" s="144">
        <v>0</v>
      </c>
    </row>
    <row r="350" spans="1:6" x14ac:dyDescent="0.3">
      <c r="A350" s="144">
        <v>500</v>
      </c>
      <c r="B350" s="144" t="s">
        <v>702</v>
      </c>
      <c r="C350" s="144">
        <v>6832</v>
      </c>
      <c r="D350" s="144" t="s">
        <v>604</v>
      </c>
      <c r="E350" s="144">
        <v>166.36</v>
      </c>
      <c r="F350" s="144">
        <v>0</v>
      </c>
    </row>
    <row r="351" spans="1:6" x14ac:dyDescent="0.3">
      <c r="A351" s="144">
        <v>500</v>
      </c>
      <c r="B351" s="144" t="s">
        <v>702</v>
      </c>
      <c r="C351" s="144">
        <v>6843</v>
      </c>
      <c r="D351" s="144" t="s">
        <v>549</v>
      </c>
      <c r="E351" s="144">
        <v>351.56</v>
      </c>
      <c r="F351" s="144">
        <v>150.66999999999999</v>
      </c>
    </row>
    <row r="352" spans="1:6" x14ac:dyDescent="0.3">
      <c r="A352" s="144">
        <v>500</v>
      </c>
      <c r="B352" s="144" t="s">
        <v>702</v>
      </c>
      <c r="C352" s="144">
        <v>6850</v>
      </c>
      <c r="D352" s="144" t="s">
        <v>561</v>
      </c>
      <c r="E352" s="144">
        <v>3076.18</v>
      </c>
      <c r="F352" s="144">
        <v>1318.36</v>
      </c>
    </row>
    <row r="353" spans="1:6" x14ac:dyDescent="0.3">
      <c r="A353" s="144">
        <v>500</v>
      </c>
      <c r="B353" s="144" t="s">
        <v>702</v>
      </c>
      <c r="C353" s="144">
        <v>6951</v>
      </c>
      <c r="D353" s="144" t="s">
        <v>891</v>
      </c>
      <c r="E353" s="144">
        <v>3509.17</v>
      </c>
      <c r="F353" s="144">
        <v>1503.8</v>
      </c>
    </row>
    <row r="354" spans="1:6" x14ac:dyDescent="0.3">
      <c r="A354" s="144">
        <v>500</v>
      </c>
      <c r="B354" s="144" t="s">
        <v>702</v>
      </c>
      <c r="C354" s="144">
        <v>7029</v>
      </c>
      <c r="D354" s="144" t="s">
        <v>881</v>
      </c>
      <c r="E354" s="144">
        <v>72.75</v>
      </c>
      <c r="F354" s="144">
        <v>0</v>
      </c>
    </row>
    <row r="355" spans="1:6" x14ac:dyDescent="0.3">
      <c r="A355" s="144">
        <v>500</v>
      </c>
      <c r="B355" s="144" t="s">
        <v>702</v>
      </c>
      <c r="C355" s="144">
        <v>7038</v>
      </c>
      <c r="D355" s="144" t="s">
        <v>959</v>
      </c>
      <c r="E355" s="144">
        <v>124.44</v>
      </c>
      <c r="F355" s="144">
        <v>0</v>
      </c>
    </row>
    <row r="356" spans="1:6" x14ac:dyDescent="0.3">
      <c r="A356" s="144">
        <v>500</v>
      </c>
      <c r="B356" s="144" t="s">
        <v>702</v>
      </c>
      <c r="C356" s="144">
        <v>7198</v>
      </c>
      <c r="D356" s="144" t="s">
        <v>860</v>
      </c>
      <c r="E356" s="144">
        <v>0</v>
      </c>
      <c r="F356" s="144">
        <v>18.190000000000001</v>
      </c>
    </row>
    <row r="357" spans="1:6" x14ac:dyDescent="0.3">
      <c r="A357" s="144">
        <v>500</v>
      </c>
      <c r="B357" s="144" t="s">
        <v>702</v>
      </c>
      <c r="C357" s="144">
        <v>7395</v>
      </c>
      <c r="D357" s="144" t="s">
        <v>914</v>
      </c>
      <c r="E357" s="144">
        <v>716</v>
      </c>
      <c r="F357" s="144">
        <v>0</v>
      </c>
    </row>
    <row r="358" spans="1:6" x14ac:dyDescent="0.3">
      <c r="A358" s="144">
        <v>500</v>
      </c>
      <c r="B358" s="144" t="s">
        <v>702</v>
      </c>
      <c r="C358" s="144">
        <v>7426</v>
      </c>
      <c r="D358" s="144" t="s">
        <v>1053</v>
      </c>
      <c r="E358" s="144">
        <v>286.20999999999998</v>
      </c>
      <c r="F358" s="144">
        <v>0</v>
      </c>
    </row>
    <row r="359" spans="1:6" x14ac:dyDescent="0.3">
      <c r="A359" s="144">
        <v>500</v>
      </c>
      <c r="B359" s="144" t="s">
        <v>702</v>
      </c>
      <c r="C359" s="144">
        <v>91023</v>
      </c>
      <c r="D359" s="144" t="s">
        <v>1107</v>
      </c>
      <c r="E359" s="144">
        <v>10.53</v>
      </c>
      <c r="F359" s="144">
        <v>0</v>
      </c>
    </row>
    <row r="360" spans="1:6" x14ac:dyDescent="0.3">
      <c r="A360" s="144">
        <v>500</v>
      </c>
      <c r="B360" s="144" t="s">
        <v>702</v>
      </c>
      <c r="C360" s="144">
        <v>92329</v>
      </c>
      <c r="D360" s="144" t="s">
        <v>855</v>
      </c>
      <c r="E360" s="144">
        <v>408.07</v>
      </c>
      <c r="F360" s="144">
        <v>0</v>
      </c>
    </row>
    <row r="361" spans="1:6" x14ac:dyDescent="0.3">
      <c r="A361" s="144">
        <v>505</v>
      </c>
      <c r="B361" s="144" t="s">
        <v>1354</v>
      </c>
      <c r="C361" s="144">
        <v>92320</v>
      </c>
      <c r="D361" s="144" t="s">
        <v>1049</v>
      </c>
      <c r="E361" s="144">
        <v>14.36</v>
      </c>
      <c r="F361" s="144">
        <v>0</v>
      </c>
    </row>
    <row r="362" spans="1:6" x14ac:dyDescent="0.3">
      <c r="A362" s="144">
        <v>500</v>
      </c>
      <c r="B362" s="144" t="s">
        <v>702</v>
      </c>
      <c r="C362" s="144">
        <v>6072</v>
      </c>
      <c r="D362" s="144" t="s">
        <v>693</v>
      </c>
      <c r="E362" s="144">
        <v>95.72</v>
      </c>
      <c r="F362" s="144">
        <v>0</v>
      </c>
    </row>
    <row r="363" spans="1:6" x14ac:dyDescent="0.3">
      <c r="A363" s="144">
        <v>500</v>
      </c>
      <c r="B363" s="144" t="s">
        <v>702</v>
      </c>
      <c r="C363" s="144">
        <v>6170</v>
      </c>
      <c r="D363" s="144" t="s">
        <v>805</v>
      </c>
      <c r="E363" s="144">
        <v>47.86</v>
      </c>
      <c r="F363" s="144">
        <v>0</v>
      </c>
    </row>
    <row r="364" spans="1:6" x14ac:dyDescent="0.3">
      <c r="A364" s="144">
        <v>500</v>
      </c>
      <c r="B364" s="144" t="s">
        <v>702</v>
      </c>
      <c r="C364" s="144">
        <v>6223</v>
      </c>
      <c r="D364" s="144" t="s">
        <v>1039</v>
      </c>
      <c r="E364" s="144">
        <v>9.58</v>
      </c>
      <c r="F364" s="144">
        <v>0</v>
      </c>
    </row>
    <row r="365" spans="1:6" x14ac:dyDescent="0.3">
      <c r="A365" s="144">
        <v>500</v>
      </c>
      <c r="B365" s="144" t="s">
        <v>702</v>
      </c>
      <c r="C365" s="144">
        <v>6234</v>
      </c>
      <c r="D365" s="144" t="s">
        <v>888</v>
      </c>
      <c r="E365" s="144">
        <v>19.14</v>
      </c>
      <c r="F365" s="144">
        <v>0</v>
      </c>
    </row>
    <row r="366" spans="1:6" x14ac:dyDescent="0.3">
      <c r="A366" s="144">
        <v>500</v>
      </c>
      <c r="B366" s="144" t="s">
        <v>702</v>
      </c>
      <c r="C366" s="144">
        <v>6241</v>
      </c>
      <c r="D366" s="144" t="s">
        <v>1035</v>
      </c>
      <c r="E366" s="144">
        <v>47.86</v>
      </c>
      <c r="F366" s="144">
        <v>0</v>
      </c>
    </row>
    <row r="367" spans="1:6" x14ac:dyDescent="0.3">
      <c r="A367" s="144">
        <v>500</v>
      </c>
      <c r="B367" s="144" t="s">
        <v>702</v>
      </c>
      <c r="C367" s="144">
        <v>6299</v>
      </c>
      <c r="D367" s="144" t="s">
        <v>882</v>
      </c>
      <c r="E367" s="144">
        <v>86.15</v>
      </c>
      <c r="F367" s="144">
        <v>0</v>
      </c>
    </row>
    <row r="368" spans="1:6" x14ac:dyDescent="0.3">
      <c r="A368" s="144">
        <v>500</v>
      </c>
      <c r="B368" s="144" t="s">
        <v>702</v>
      </c>
      <c r="C368" s="144">
        <v>6311</v>
      </c>
      <c r="D368" s="144" t="s">
        <v>745</v>
      </c>
      <c r="E368" s="144">
        <v>47.86</v>
      </c>
      <c r="F368" s="144">
        <v>0</v>
      </c>
    </row>
    <row r="369" spans="1:6" x14ac:dyDescent="0.3">
      <c r="A369" s="144">
        <v>500</v>
      </c>
      <c r="B369" s="144" t="s">
        <v>702</v>
      </c>
      <c r="C369" s="144">
        <v>6319</v>
      </c>
      <c r="D369" s="144" t="s">
        <v>749</v>
      </c>
      <c r="E369" s="144">
        <v>57.44</v>
      </c>
      <c r="F369" s="144">
        <v>0</v>
      </c>
    </row>
    <row r="370" spans="1:6" x14ac:dyDescent="0.3">
      <c r="A370" s="144">
        <v>500</v>
      </c>
      <c r="B370" s="144" t="s">
        <v>702</v>
      </c>
      <c r="C370" s="144">
        <v>6329</v>
      </c>
      <c r="D370" s="144" t="s">
        <v>1018</v>
      </c>
      <c r="E370" s="144">
        <v>2105.89</v>
      </c>
      <c r="F370" s="144">
        <v>0</v>
      </c>
    </row>
    <row r="371" spans="1:6" x14ac:dyDescent="0.3">
      <c r="A371" s="144">
        <v>500</v>
      </c>
      <c r="B371" s="144" t="s">
        <v>702</v>
      </c>
      <c r="C371" s="144">
        <v>6349</v>
      </c>
      <c r="D371" s="144" t="s">
        <v>792</v>
      </c>
      <c r="E371" s="144">
        <v>0</v>
      </c>
      <c r="F371" s="144">
        <v>287.17</v>
      </c>
    </row>
    <row r="372" spans="1:6" x14ac:dyDescent="0.3">
      <c r="A372" s="144">
        <v>500</v>
      </c>
      <c r="B372" s="144" t="s">
        <v>702</v>
      </c>
      <c r="C372" s="144">
        <v>6361</v>
      </c>
      <c r="D372" s="144" t="s">
        <v>872</v>
      </c>
      <c r="E372" s="144">
        <v>0</v>
      </c>
      <c r="F372" s="144">
        <v>287.17</v>
      </c>
    </row>
    <row r="373" spans="1:6" x14ac:dyDescent="0.3">
      <c r="A373" s="144">
        <v>500</v>
      </c>
      <c r="B373" s="144" t="s">
        <v>702</v>
      </c>
      <c r="C373" s="144">
        <v>6370</v>
      </c>
      <c r="D373" s="144" t="s">
        <v>794</v>
      </c>
      <c r="E373" s="144">
        <v>0</v>
      </c>
      <c r="F373" s="144">
        <v>47.86</v>
      </c>
    </row>
    <row r="374" spans="1:6" x14ac:dyDescent="0.3">
      <c r="A374" s="144">
        <v>500</v>
      </c>
      <c r="B374" s="144" t="s">
        <v>702</v>
      </c>
      <c r="C374" s="144">
        <v>6371</v>
      </c>
      <c r="D374" s="144" t="s">
        <v>1069</v>
      </c>
      <c r="E374" s="144">
        <v>0</v>
      </c>
      <c r="F374" s="144">
        <v>47.86</v>
      </c>
    </row>
    <row r="375" spans="1:6" x14ac:dyDescent="0.3">
      <c r="A375" s="144">
        <v>500</v>
      </c>
      <c r="B375" s="144" t="s">
        <v>702</v>
      </c>
      <c r="C375" s="144">
        <v>6372</v>
      </c>
      <c r="D375" s="144" t="s">
        <v>973</v>
      </c>
      <c r="E375" s="144">
        <v>0</v>
      </c>
      <c r="F375" s="144">
        <v>47.86</v>
      </c>
    </row>
    <row r="376" spans="1:6" x14ac:dyDescent="0.3">
      <c r="A376" s="144">
        <v>500</v>
      </c>
      <c r="B376" s="144" t="s">
        <v>702</v>
      </c>
      <c r="C376" s="144">
        <v>6410</v>
      </c>
      <c r="D376" s="144" t="s">
        <v>815</v>
      </c>
      <c r="E376" s="144">
        <v>191.44</v>
      </c>
      <c r="F376" s="144">
        <v>0</v>
      </c>
    </row>
    <row r="377" spans="1:6" x14ac:dyDescent="0.3">
      <c r="A377" s="144">
        <v>500</v>
      </c>
      <c r="B377" s="144" t="s">
        <v>702</v>
      </c>
      <c r="C377" s="144">
        <v>6439</v>
      </c>
      <c r="D377" s="144" t="s">
        <v>989</v>
      </c>
      <c r="E377" s="144">
        <v>19.14</v>
      </c>
      <c r="F377" s="144">
        <v>0</v>
      </c>
    </row>
    <row r="378" spans="1:6" x14ac:dyDescent="0.3">
      <c r="A378" s="144">
        <v>500</v>
      </c>
      <c r="B378" s="144" t="s">
        <v>702</v>
      </c>
      <c r="C378" s="144">
        <v>6440</v>
      </c>
      <c r="D378" s="144" t="s">
        <v>755</v>
      </c>
      <c r="E378" s="144">
        <v>9.58</v>
      </c>
      <c r="F378" s="144">
        <v>0</v>
      </c>
    </row>
    <row r="379" spans="1:6" x14ac:dyDescent="0.3">
      <c r="A379" s="144">
        <v>500</v>
      </c>
      <c r="B379" s="144" t="s">
        <v>702</v>
      </c>
      <c r="C379" s="144">
        <v>6452</v>
      </c>
      <c r="D379" s="144" t="s">
        <v>1103</v>
      </c>
      <c r="E379" s="144">
        <v>9.58</v>
      </c>
      <c r="F379" s="144">
        <v>0</v>
      </c>
    </row>
    <row r="380" spans="1:6" x14ac:dyDescent="0.3">
      <c r="A380" s="144">
        <v>500</v>
      </c>
      <c r="B380" s="144" t="s">
        <v>702</v>
      </c>
      <c r="C380" s="144">
        <v>6461</v>
      </c>
      <c r="D380" s="144" t="s">
        <v>948</v>
      </c>
      <c r="E380" s="144">
        <v>191.44</v>
      </c>
      <c r="F380" s="144">
        <v>0</v>
      </c>
    </row>
    <row r="381" spans="1:6" x14ac:dyDescent="0.3">
      <c r="A381" s="144">
        <v>500</v>
      </c>
      <c r="B381" s="144" t="s">
        <v>702</v>
      </c>
      <c r="C381" s="144">
        <v>6477</v>
      </c>
      <c r="D381" s="144" t="s">
        <v>947</v>
      </c>
      <c r="E381" s="144">
        <v>107.21</v>
      </c>
      <c r="F381" s="144">
        <v>45.95</v>
      </c>
    </row>
    <row r="382" spans="1:6" x14ac:dyDescent="0.3">
      <c r="A382" s="144">
        <v>500</v>
      </c>
      <c r="B382" s="144" t="s">
        <v>702</v>
      </c>
      <c r="C382" s="144">
        <v>6484</v>
      </c>
      <c r="D382" s="144" t="s">
        <v>762</v>
      </c>
      <c r="E382" s="144">
        <v>0</v>
      </c>
      <c r="F382" s="144">
        <v>47.86</v>
      </c>
    </row>
    <row r="383" spans="1:6" x14ac:dyDescent="0.3">
      <c r="A383" s="144">
        <v>500</v>
      </c>
      <c r="B383" s="144" t="s">
        <v>702</v>
      </c>
      <c r="C383" s="144">
        <v>6486</v>
      </c>
      <c r="D383" s="144" t="s">
        <v>759</v>
      </c>
      <c r="E383" s="144">
        <v>107.21</v>
      </c>
      <c r="F383" s="144">
        <v>45.95</v>
      </c>
    </row>
    <row r="384" spans="1:6" x14ac:dyDescent="0.3">
      <c r="A384" s="144">
        <v>500</v>
      </c>
      <c r="B384" s="144" t="s">
        <v>702</v>
      </c>
      <c r="C384" s="144">
        <v>6511</v>
      </c>
      <c r="D384" s="144" t="s">
        <v>993</v>
      </c>
      <c r="E384" s="144">
        <v>117.74</v>
      </c>
      <c r="F384" s="144">
        <v>49.78</v>
      </c>
    </row>
    <row r="385" spans="1:6" x14ac:dyDescent="0.3">
      <c r="A385" s="144">
        <v>500</v>
      </c>
      <c r="B385" s="144" t="s">
        <v>702</v>
      </c>
      <c r="C385" s="144">
        <v>6577</v>
      </c>
      <c r="D385" s="144" t="s">
        <v>1086</v>
      </c>
      <c r="E385" s="144">
        <v>478.61</v>
      </c>
      <c r="F385" s="144">
        <v>0</v>
      </c>
    </row>
    <row r="386" spans="1:6" x14ac:dyDescent="0.3">
      <c r="A386" s="144">
        <v>500</v>
      </c>
      <c r="B386" s="144" t="s">
        <v>702</v>
      </c>
      <c r="C386" s="144">
        <v>6598</v>
      </c>
      <c r="D386" s="144" t="s">
        <v>807</v>
      </c>
      <c r="E386" s="144">
        <v>113.91</v>
      </c>
      <c r="F386" s="144">
        <v>48.81</v>
      </c>
    </row>
    <row r="387" spans="1:6" x14ac:dyDescent="0.3">
      <c r="A387" s="144">
        <v>500</v>
      </c>
      <c r="B387" s="144" t="s">
        <v>702</v>
      </c>
      <c r="C387" s="144">
        <v>6614</v>
      </c>
      <c r="D387" s="144" t="s">
        <v>751</v>
      </c>
      <c r="E387" s="144">
        <v>191.44</v>
      </c>
      <c r="F387" s="144">
        <v>0</v>
      </c>
    </row>
    <row r="388" spans="1:6" x14ac:dyDescent="0.3">
      <c r="A388" s="144">
        <v>500</v>
      </c>
      <c r="B388" s="144" t="s">
        <v>702</v>
      </c>
      <c r="C388" s="144">
        <v>6628</v>
      </c>
      <c r="D388" s="144" t="s">
        <v>821</v>
      </c>
      <c r="E388" s="144">
        <v>0</v>
      </c>
      <c r="F388" s="144">
        <v>28.72</v>
      </c>
    </row>
    <row r="389" spans="1:6" x14ac:dyDescent="0.3">
      <c r="A389" s="144">
        <v>500</v>
      </c>
      <c r="B389" s="144" t="s">
        <v>702</v>
      </c>
      <c r="C389" s="144">
        <v>6634</v>
      </c>
      <c r="D389" s="144" t="s">
        <v>785</v>
      </c>
      <c r="E389" s="144">
        <v>95.72</v>
      </c>
      <c r="F389" s="144">
        <v>0</v>
      </c>
    </row>
    <row r="390" spans="1:6" x14ac:dyDescent="0.3">
      <c r="A390" s="144">
        <v>500</v>
      </c>
      <c r="B390" s="144" t="s">
        <v>702</v>
      </c>
      <c r="C390" s="144">
        <v>6677</v>
      </c>
      <c r="D390" s="144" t="s">
        <v>503</v>
      </c>
      <c r="E390" s="144">
        <v>188.34</v>
      </c>
      <c r="F390" s="144">
        <v>0</v>
      </c>
    </row>
    <row r="391" spans="1:6" x14ac:dyDescent="0.3">
      <c r="A391" s="144">
        <v>500</v>
      </c>
      <c r="B391" s="144" t="s">
        <v>702</v>
      </c>
      <c r="C391" s="144">
        <v>6694</v>
      </c>
      <c r="D391" s="144" t="s">
        <v>542</v>
      </c>
      <c r="E391" s="144">
        <v>109.87</v>
      </c>
      <c r="F391" s="144">
        <v>0</v>
      </c>
    </row>
    <row r="392" spans="1:6" x14ac:dyDescent="0.3">
      <c r="A392" s="144">
        <v>500</v>
      </c>
      <c r="B392" s="144" t="s">
        <v>702</v>
      </c>
      <c r="C392" s="144">
        <v>6698</v>
      </c>
      <c r="D392" s="144" t="s">
        <v>520</v>
      </c>
      <c r="E392" s="144">
        <v>354.71</v>
      </c>
      <c r="F392" s="144">
        <v>0</v>
      </c>
    </row>
    <row r="393" spans="1:6" x14ac:dyDescent="0.3">
      <c r="A393" s="144">
        <v>500</v>
      </c>
      <c r="B393" s="144" t="s">
        <v>702</v>
      </c>
      <c r="C393" s="144">
        <v>6702</v>
      </c>
      <c r="D393" s="144" t="s">
        <v>529</v>
      </c>
      <c r="E393" s="144">
        <v>251.12</v>
      </c>
      <c r="F393" s="144">
        <v>0</v>
      </c>
    </row>
    <row r="394" spans="1:6" x14ac:dyDescent="0.3">
      <c r="A394" s="144">
        <v>500</v>
      </c>
      <c r="B394" s="144" t="s">
        <v>702</v>
      </c>
      <c r="C394" s="144">
        <v>6706</v>
      </c>
      <c r="D394" s="144" t="s">
        <v>526</v>
      </c>
      <c r="E394" s="144">
        <v>662.32</v>
      </c>
      <c r="F394" s="144">
        <v>0</v>
      </c>
    </row>
    <row r="395" spans="1:6" x14ac:dyDescent="0.3">
      <c r="A395" s="144">
        <v>500</v>
      </c>
      <c r="B395" s="144" t="s">
        <v>702</v>
      </c>
      <c r="C395" s="144">
        <v>6715</v>
      </c>
      <c r="D395" s="144" t="s">
        <v>533</v>
      </c>
      <c r="E395" s="144">
        <v>125.55</v>
      </c>
      <c r="F395" s="144">
        <v>0</v>
      </c>
    </row>
    <row r="396" spans="1:6" x14ac:dyDescent="0.3">
      <c r="A396" s="144">
        <v>500</v>
      </c>
      <c r="B396" s="144" t="s">
        <v>702</v>
      </c>
      <c r="C396" s="144">
        <v>6717</v>
      </c>
      <c r="D396" s="144" t="s">
        <v>536</v>
      </c>
      <c r="E396" s="144">
        <v>113</v>
      </c>
      <c r="F396" s="144">
        <v>0</v>
      </c>
    </row>
    <row r="397" spans="1:6" x14ac:dyDescent="0.3">
      <c r="A397" s="144">
        <v>500</v>
      </c>
      <c r="B397" s="144" t="s">
        <v>702</v>
      </c>
      <c r="C397" s="144">
        <v>6737</v>
      </c>
      <c r="D397" s="144" t="s">
        <v>600</v>
      </c>
      <c r="E397" s="144">
        <v>31.39</v>
      </c>
      <c r="F397" s="144">
        <v>0</v>
      </c>
    </row>
    <row r="398" spans="1:6" x14ac:dyDescent="0.3">
      <c r="A398" s="144">
        <v>500</v>
      </c>
      <c r="B398" s="144" t="s">
        <v>702</v>
      </c>
      <c r="C398" s="144">
        <v>6738</v>
      </c>
      <c r="D398" s="144" t="s">
        <v>564</v>
      </c>
      <c r="E398" s="144">
        <v>351.56</v>
      </c>
      <c r="F398" s="144">
        <v>150.66999999999999</v>
      </c>
    </row>
    <row r="399" spans="1:6" x14ac:dyDescent="0.3">
      <c r="A399" s="144">
        <v>500</v>
      </c>
      <c r="B399" s="144" t="s">
        <v>702</v>
      </c>
      <c r="C399" s="144">
        <v>6742</v>
      </c>
      <c r="D399" s="144" t="s">
        <v>572</v>
      </c>
      <c r="E399" s="144">
        <v>285.64999999999998</v>
      </c>
      <c r="F399" s="144">
        <v>122.42</v>
      </c>
    </row>
    <row r="400" spans="1:6" x14ac:dyDescent="0.3">
      <c r="A400" s="144">
        <v>500</v>
      </c>
      <c r="B400" s="144" t="s">
        <v>702</v>
      </c>
      <c r="C400" s="144">
        <v>6754</v>
      </c>
      <c r="D400" s="144" t="s">
        <v>580</v>
      </c>
      <c r="E400" s="144">
        <v>2197.27</v>
      </c>
      <c r="F400" s="144">
        <v>941.69</v>
      </c>
    </row>
    <row r="401" spans="1:6" x14ac:dyDescent="0.3">
      <c r="A401" s="144">
        <v>500</v>
      </c>
      <c r="B401" s="144" t="s">
        <v>702</v>
      </c>
      <c r="C401" s="144">
        <v>6760</v>
      </c>
      <c r="D401" s="144" t="s">
        <v>585</v>
      </c>
      <c r="E401" s="144">
        <v>0</v>
      </c>
      <c r="F401" s="144">
        <v>502.24</v>
      </c>
    </row>
    <row r="402" spans="1:6" x14ac:dyDescent="0.3">
      <c r="A402" s="144">
        <v>500</v>
      </c>
      <c r="B402" s="144" t="s">
        <v>702</v>
      </c>
      <c r="C402" s="144">
        <v>6772</v>
      </c>
      <c r="D402" s="144" t="s">
        <v>467</v>
      </c>
      <c r="E402" s="144">
        <v>0</v>
      </c>
      <c r="F402" s="144">
        <v>313.89999999999998</v>
      </c>
    </row>
    <row r="403" spans="1:6" x14ac:dyDescent="0.3">
      <c r="A403" s="144">
        <v>500</v>
      </c>
      <c r="B403" s="144" t="s">
        <v>702</v>
      </c>
      <c r="C403" s="144">
        <v>6776</v>
      </c>
      <c r="D403" s="144" t="s">
        <v>471</v>
      </c>
      <c r="E403" s="144">
        <v>0</v>
      </c>
      <c r="F403" s="144">
        <v>156.94999999999999</v>
      </c>
    </row>
    <row r="404" spans="1:6" x14ac:dyDescent="0.3">
      <c r="A404" s="144">
        <v>500</v>
      </c>
      <c r="B404" s="144" t="s">
        <v>702</v>
      </c>
      <c r="C404" s="144">
        <v>6791</v>
      </c>
      <c r="D404" s="144" t="s">
        <v>480</v>
      </c>
      <c r="E404" s="144">
        <v>0</v>
      </c>
      <c r="F404" s="144">
        <v>357.84</v>
      </c>
    </row>
    <row r="405" spans="1:6" x14ac:dyDescent="0.3">
      <c r="A405" s="144">
        <v>500</v>
      </c>
      <c r="B405" s="144" t="s">
        <v>702</v>
      </c>
      <c r="C405" s="144">
        <v>6808</v>
      </c>
      <c r="D405" s="144" t="s">
        <v>611</v>
      </c>
      <c r="E405" s="144">
        <v>131.83000000000001</v>
      </c>
      <c r="F405" s="144">
        <v>56.5</v>
      </c>
    </row>
    <row r="406" spans="1:6" x14ac:dyDescent="0.3">
      <c r="A406" s="144">
        <v>500</v>
      </c>
      <c r="B406" s="144" t="s">
        <v>702</v>
      </c>
      <c r="C406" s="144">
        <v>6811</v>
      </c>
      <c r="D406" s="144" t="s">
        <v>617</v>
      </c>
      <c r="E406" s="144">
        <v>329.59</v>
      </c>
      <c r="F406" s="144">
        <v>141.25</v>
      </c>
    </row>
    <row r="407" spans="1:6" x14ac:dyDescent="0.3">
      <c r="A407" s="144">
        <v>500</v>
      </c>
      <c r="B407" s="144" t="s">
        <v>702</v>
      </c>
      <c r="C407" s="144">
        <v>6814</v>
      </c>
      <c r="D407" s="144" t="s">
        <v>615</v>
      </c>
      <c r="E407" s="144">
        <v>188.34</v>
      </c>
      <c r="F407" s="144">
        <v>78.47</v>
      </c>
    </row>
    <row r="408" spans="1:6" x14ac:dyDescent="0.3">
      <c r="A408" s="144">
        <v>500</v>
      </c>
      <c r="B408" s="144" t="s">
        <v>702</v>
      </c>
      <c r="C408" s="144">
        <v>6825</v>
      </c>
      <c r="D408" s="144" t="s">
        <v>629</v>
      </c>
      <c r="E408" s="144">
        <v>116.14</v>
      </c>
      <c r="F408" s="144">
        <v>50.23</v>
      </c>
    </row>
    <row r="409" spans="1:6" x14ac:dyDescent="0.3">
      <c r="A409" s="144">
        <v>500</v>
      </c>
      <c r="B409" s="144" t="s">
        <v>702</v>
      </c>
      <c r="C409" s="144">
        <v>6827</v>
      </c>
      <c r="D409" s="144" t="s">
        <v>627</v>
      </c>
      <c r="E409" s="144">
        <v>116.14</v>
      </c>
      <c r="F409" s="144">
        <v>50.23</v>
      </c>
    </row>
    <row r="410" spans="1:6" x14ac:dyDescent="0.3">
      <c r="A410" s="144">
        <v>500</v>
      </c>
      <c r="B410" s="144" t="s">
        <v>702</v>
      </c>
      <c r="C410" s="144">
        <v>6828</v>
      </c>
      <c r="D410" s="144" t="s">
        <v>631</v>
      </c>
      <c r="E410" s="144">
        <v>106.72</v>
      </c>
      <c r="F410" s="144">
        <v>43.94</v>
      </c>
    </row>
    <row r="411" spans="1:6" x14ac:dyDescent="0.3">
      <c r="A411" s="144">
        <v>500</v>
      </c>
      <c r="B411" s="144" t="s">
        <v>702</v>
      </c>
      <c r="C411" s="144">
        <v>6833</v>
      </c>
      <c r="D411" s="144" t="s">
        <v>605</v>
      </c>
      <c r="E411" s="144">
        <v>546.17999999999995</v>
      </c>
      <c r="F411" s="144">
        <v>0</v>
      </c>
    </row>
    <row r="412" spans="1:6" x14ac:dyDescent="0.3">
      <c r="A412" s="144">
        <v>500</v>
      </c>
      <c r="B412" s="144" t="s">
        <v>702</v>
      </c>
      <c r="C412" s="144">
        <v>6844</v>
      </c>
      <c r="D412" s="144" t="s">
        <v>553</v>
      </c>
      <c r="E412" s="144">
        <v>285.64999999999998</v>
      </c>
      <c r="F412" s="144">
        <v>122.42</v>
      </c>
    </row>
    <row r="413" spans="1:6" x14ac:dyDescent="0.3">
      <c r="A413" s="144">
        <v>500</v>
      </c>
      <c r="B413" s="144" t="s">
        <v>702</v>
      </c>
      <c r="C413" s="144">
        <v>6848</v>
      </c>
      <c r="D413" s="144" t="s">
        <v>558</v>
      </c>
      <c r="E413" s="144">
        <v>285.64999999999998</v>
      </c>
      <c r="F413" s="144">
        <v>122.42</v>
      </c>
    </row>
    <row r="414" spans="1:6" x14ac:dyDescent="0.3">
      <c r="A414" s="144">
        <v>500</v>
      </c>
      <c r="B414" s="144" t="s">
        <v>702</v>
      </c>
      <c r="C414" s="144">
        <v>6855</v>
      </c>
      <c r="D414" s="144" t="s">
        <v>551</v>
      </c>
      <c r="E414" s="144">
        <v>373.54</v>
      </c>
      <c r="F414" s="144">
        <v>160.08000000000001</v>
      </c>
    </row>
    <row r="415" spans="1:6" x14ac:dyDescent="0.3">
      <c r="A415" s="144">
        <v>500</v>
      </c>
      <c r="B415" s="144" t="s">
        <v>702</v>
      </c>
      <c r="C415" s="144">
        <v>6861</v>
      </c>
      <c r="D415" s="144" t="s">
        <v>612</v>
      </c>
      <c r="E415" s="144">
        <v>100.45</v>
      </c>
      <c r="F415" s="144">
        <v>40.81</v>
      </c>
    </row>
    <row r="416" spans="1:6" x14ac:dyDescent="0.3">
      <c r="A416" s="144">
        <v>500</v>
      </c>
      <c r="B416" s="144" t="s">
        <v>702</v>
      </c>
      <c r="C416" s="144">
        <v>6923</v>
      </c>
      <c r="D416" s="144" t="s">
        <v>1099</v>
      </c>
      <c r="E416" s="144">
        <v>140.72</v>
      </c>
      <c r="F416" s="144">
        <v>60.31</v>
      </c>
    </row>
    <row r="417" spans="1:6" x14ac:dyDescent="0.3">
      <c r="A417" s="144">
        <v>500</v>
      </c>
      <c r="B417" s="144" t="s">
        <v>702</v>
      </c>
      <c r="C417" s="144">
        <v>6955</v>
      </c>
      <c r="D417" s="144" t="s">
        <v>734</v>
      </c>
      <c r="E417" s="144">
        <v>0</v>
      </c>
      <c r="F417" s="144">
        <v>52.64</v>
      </c>
    </row>
    <row r="418" spans="1:6" x14ac:dyDescent="0.3">
      <c r="A418" s="144">
        <v>500</v>
      </c>
      <c r="B418" s="144" t="s">
        <v>702</v>
      </c>
      <c r="C418" s="144">
        <v>6972</v>
      </c>
      <c r="D418" s="144" t="s">
        <v>832</v>
      </c>
      <c r="E418" s="144">
        <v>0</v>
      </c>
      <c r="F418" s="144">
        <v>191.44</v>
      </c>
    </row>
    <row r="419" spans="1:6" x14ac:dyDescent="0.3">
      <c r="A419" s="144">
        <v>500</v>
      </c>
      <c r="B419" s="144" t="s">
        <v>702</v>
      </c>
      <c r="C419" s="144">
        <v>7043</v>
      </c>
      <c r="D419" s="144" t="s">
        <v>1011</v>
      </c>
      <c r="E419" s="144">
        <v>28.72</v>
      </c>
      <c r="F419" s="144">
        <v>0</v>
      </c>
    </row>
    <row r="420" spans="1:6" x14ac:dyDescent="0.3">
      <c r="A420" s="144">
        <v>500</v>
      </c>
      <c r="B420" s="144" t="s">
        <v>702</v>
      </c>
      <c r="C420" s="144">
        <v>7049</v>
      </c>
      <c r="D420" s="144" t="s">
        <v>955</v>
      </c>
      <c r="E420" s="144">
        <v>47.86</v>
      </c>
      <c r="F420" s="144">
        <v>0</v>
      </c>
    </row>
    <row r="421" spans="1:6" x14ac:dyDescent="0.3">
      <c r="A421" s="144">
        <v>500</v>
      </c>
      <c r="B421" s="144" t="s">
        <v>702</v>
      </c>
      <c r="C421" s="144">
        <v>7090</v>
      </c>
      <c r="D421" s="144" t="s">
        <v>737</v>
      </c>
      <c r="E421" s="144">
        <v>0</v>
      </c>
      <c r="F421" s="144">
        <v>191.44</v>
      </c>
    </row>
    <row r="422" spans="1:6" x14ac:dyDescent="0.3">
      <c r="A422" s="144">
        <v>500</v>
      </c>
      <c r="B422" s="144" t="s">
        <v>702</v>
      </c>
      <c r="C422" s="144">
        <v>7100</v>
      </c>
      <c r="D422" s="144" t="s">
        <v>733</v>
      </c>
      <c r="E422" s="144">
        <v>0</v>
      </c>
      <c r="F422" s="144">
        <v>5.75</v>
      </c>
    </row>
    <row r="423" spans="1:6" x14ac:dyDescent="0.3">
      <c r="A423" s="144">
        <v>500</v>
      </c>
      <c r="B423" s="144" t="s">
        <v>702</v>
      </c>
      <c r="C423" s="144">
        <v>7176</v>
      </c>
      <c r="D423" s="144" t="s">
        <v>830</v>
      </c>
      <c r="E423" s="144">
        <v>0</v>
      </c>
      <c r="F423" s="144">
        <v>287.17</v>
      </c>
    </row>
    <row r="424" spans="1:6" x14ac:dyDescent="0.3">
      <c r="A424" s="144">
        <v>500</v>
      </c>
      <c r="B424" s="144" t="s">
        <v>702</v>
      </c>
      <c r="C424" s="144">
        <v>7186</v>
      </c>
      <c r="D424" s="144" t="s">
        <v>739</v>
      </c>
      <c r="E424" s="144">
        <v>0</v>
      </c>
      <c r="F424" s="144">
        <v>191.44</v>
      </c>
    </row>
    <row r="425" spans="1:6" x14ac:dyDescent="0.3">
      <c r="A425" s="144">
        <v>500</v>
      </c>
      <c r="B425" s="144" t="s">
        <v>702</v>
      </c>
      <c r="C425" s="144">
        <v>7339</v>
      </c>
      <c r="D425" s="144" t="s">
        <v>1091</v>
      </c>
      <c r="E425" s="144">
        <v>638.47</v>
      </c>
      <c r="F425" s="144">
        <v>0</v>
      </c>
    </row>
    <row r="426" spans="1:6" x14ac:dyDescent="0.3">
      <c r="A426" s="144">
        <v>500</v>
      </c>
      <c r="B426" s="144" t="s">
        <v>702</v>
      </c>
      <c r="C426" s="144">
        <v>7595</v>
      </c>
      <c r="D426" s="144" t="s">
        <v>1100</v>
      </c>
      <c r="E426" s="144">
        <v>30.63</v>
      </c>
      <c r="F426" s="144">
        <v>13.4</v>
      </c>
    </row>
    <row r="427" spans="1:6" x14ac:dyDescent="0.3">
      <c r="A427" s="144">
        <v>500</v>
      </c>
      <c r="B427" s="144" t="s">
        <v>702</v>
      </c>
      <c r="C427" s="144">
        <v>7896</v>
      </c>
      <c r="D427" s="144" t="s">
        <v>466</v>
      </c>
      <c r="E427" s="144">
        <v>0</v>
      </c>
      <c r="F427" s="144">
        <v>134.97</v>
      </c>
    </row>
    <row r="428" spans="1:6" x14ac:dyDescent="0.3">
      <c r="A428" s="144">
        <v>150</v>
      </c>
      <c r="B428" s="144" t="s">
        <v>703</v>
      </c>
      <c r="C428" s="144">
        <v>26376</v>
      </c>
      <c r="D428" s="144" t="s">
        <v>856</v>
      </c>
      <c r="E428" s="144">
        <v>1</v>
      </c>
      <c r="F428" s="144">
        <v>0</v>
      </c>
    </row>
    <row r="429" spans="1:6" x14ac:dyDescent="0.3">
      <c r="A429" s="144">
        <v>500</v>
      </c>
      <c r="B429" s="144" t="s">
        <v>702</v>
      </c>
      <c r="C429" s="144">
        <v>6043</v>
      </c>
      <c r="D429" s="144" t="s">
        <v>1023</v>
      </c>
      <c r="E429" s="144">
        <v>0</v>
      </c>
      <c r="F429" s="144">
        <v>28.72</v>
      </c>
    </row>
    <row r="430" spans="1:6" x14ac:dyDescent="0.3">
      <c r="A430" s="144">
        <v>500</v>
      </c>
      <c r="B430" s="144" t="s">
        <v>702</v>
      </c>
      <c r="C430" s="144">
        <v>6055</v>
      </c>
      <c r="D430" s="144" t="s">
        <v>1001</v>
      </c>
      <c r="E430" s="144">
        <v>0</v>
      </c>
      <c r="F430" s="144">
        <v>28.72</v>
      </c>
    </row>
    <row r="431" spans="1:6" x14ac:dyDescent="0.3">
      <c r="A431" s="144">
        <v>500</v>
      </c>
      <c r="B431" s="144" t="s">
        <v>702</v>
      </c>
      <c r="C431" s="144">
        <v>6061</v>
      </c>
      <c r="D431" s="144" t="s">
        <v>1085</v>
      </c>
      <c r="E431" s="144">
        <v>0</v>
      </c>
      <c r="F431" s="144">
        <v>287.17</v>
      </c>
    </row>
    <row r="432" spans="1:6" x14ac:dyDescent="0.3">
      <c r="A432" s="144">
        <v>500</v>
      </c>
      <c r="B432" s="144" t="s">
        <v>702</v>
      </c>
      <c r="C432" s="144">
        <v>6062</v>
      </c>
      <c r="D432" s="144" t="s">
        <v>1022</v>
      </c>
      <c r="E432" s="144">
        <v>0</v>
      </c>
      <c r="F432" s="144">
        <v>28.72</v>
      </c>
    </row>
    <row r="433" spans="1:6" x14ac:dyDescent="0.3">
      <c r="A433" s="144">
        <v>500</v>
      </c>
      <c r="B433" s="144" t="s">
        <v>702</v>
      </c>
      <c r="C433" s="144">
        <v>6151</v>
      </c>
      <c r="D433" s="144" t="s">
        <v>1355</v>
      </c>
      <c r="E433" s="144">
        <v>5.75</v>
      </c>
      <c r="F433" s="144">
        <v>0</v>
      </c>
    </row>
    <row r="434" spans="1:6" x14ac:dyDescent="0.3">
      <c r="A434" s="144">
        <v>500</v>
      </c>
      <c r="B434" s="144" t="s">
        <v>702</v>
      </c>
      <c r="C434" s="144">
        <v>6155</v>
      </c>
      <c r="D434" s="144" t="s">
        <v>987</v>
      </c>
      <c r="E434" s="144">
        <v>67</v>
      </c>
      <c r="F434" s="144">
        <v>0</v>
      </c>
    </row>
    <row r="435" spans="1:6" x14ac:dyDescent="0.3">
      <c r="A435" s="144">
        <v>500</v>
      </c>
      <c r="B435" s="144" t="s">
        <v>702</v>
      </c>
      <c r="C435" s="144">
        <v>6195</v>
      </c>
      <c r="D435" s="144" t="s">
        <v>1014</v>
      </c>
      <c r="E435" s="144">
        <v>1052.94</v>
      </c>
      <c r="F435" s="144">
        <v>0</v>
      </c>
    </row>
    <row r="436" spans="1:6" x14ac:dyDescent="0.3">
      <c r="A436" s="144">
        <v>500</v>
      </c>
      <c r="B436" s="144" t="s">
        <v>702</v>
      </c>
      <c r="C436" s="144">
        <v>6229</v>
      </c>
      <c r="D436" s="144" t="s">
        <v>1071</v>
      </c>
      <c r="E436" s="144">
        <v>0</v>
      </c>
      <c r="F436" s="144">
        <v>382.89</v>
      </c>
    </row>
    <row r="437" spans="1:6" x14ac:dyDescent="0.3">
      <c r="A437" s="144">
        <v>500</v>
      </c>
      <c r="B437" s="144" t="s">
        <v>702</v>
      </c>
      <c r="C437" s="144">
        <v>6288</v>
      </c>
      <c r="D437" s="144" t="s">
        <v>812</v>
      </c>
      <c r="E437" s="144">
        <v>0</v>
      </c>
      <c r="F437" s="144">
        <v>28.72</v>
      </c>
    </row>
    <row r="438" spans="1:6" x14ac:dyDescent="0.3">
      <c r="A438" s="144">
        <v>500</v>
      </c>
      <c r="B438" s="144" t="s">
        <v>702</v>
      </c>
      <c r="C438" s="144">
        <v>6297</v>
      </c>
      <c r="D438" s="144" t="s">
        <v>1084</v>
      </c>
      <c r="E438" s="144">
        <v>0</v>
      </c>
      <c r="F438" s="144">
        <v>19.14</v>
      </c>
    </row>
    <row r="439" spans="1:6" x14ac:dyDescent="0.3">
      <c r="A439" s="144">
        <v>500</v>
      </c>
      <c r="B439" s="144" t="s">
        <v>702</v>
      </c>
      <c r="C439" s="144">
        <v>6327</v>
      </c>
      <c r="D439" s="144" t="s">
        <v>1060</v>
      </c>
      <c r="E439" s="144">
        <v>478.61</v>
      </c>
      <c r="F439" s="144">
        <v>0</v>
      </c>
    </row>
    <row r="440" spans="1:6" x14ac:dyDescent="0.3">
      <c r="A440" s="144">
        <v>500</v>
      </c>
      <c r="B440" s="144" t="s">
        <v>702</v>
      </c>
      <c r="C440" s="144">
        <v>6353</v>
      </c>
      <c r="D440" s="144" t="s">
        <v>977</v>
      </c>
      <c r="E440" s="144">
        <v>0</v>
      </c>
      <c r="F440" s="144">
        <v>95.72</v>
      </c>
    </row>
    <row r="441" spans="1:6" x14ac:dyDescent="0.3">
      <c r="A441" s="144">
        <v>500</v>
      </c>
      <c r="B441" s="144" t="s">
        <v>702</v>
      </c>
      <c r="C441" s="144">
        <v>6360</v>
      </c>
      <c r="D441" s="144" t="s">
        <v>1020</v>
      </c>
      <c r="E441" s="144">
        <v>0</v>
      </c>
      <c r="F441" s="144">
        <v>287.17</v>
      </c>
    </row>
    <row r="442" spans="1:6" x14ac:dyDescent="0.3">
      <c r="A442" s="144">
        <v>500</v>
      </c>
      <c r="B442" s="144" t="s">
        <v>702</v>
      </c>
      <c r="C442" s="144">
        <v>6362</v>
      </c>
      <c r="D442" s="144" t="s">
        <v>1021</v>
      </c>
      <c r="E442" s="144">
        <v>0</v>
      </c>
      <c r="F442" s="144">
        <v>57.44</v>
      </c>
    </row>
    <row r="443" spans="1:6" x14ac:dyDescent="0.3">
      <c r="A443" s="144">
        <v>500</v>
      </c>
      <c r="B443" s="144" t="s">
        <v>702</v>
      </c>
      <c r="C443" s="144">
        <v>6374</v>
      </c>
      <c r="D443" s="144" t="s">
        <v>1025</v>
      </c>
      <c r="E443" s="144">
        <v>0</v>
      </c>
      <c r="F443" s="144">
        <v>47.86</v>
      </c>
    </row>
    <row r="444" spans="1:6" x14ac:dyDescent="0.3">
      <c r="A444" s="144">
        <v>500</v>
      </c>
      <c r="B444" s="144" t="s">
        <v>702</v>
      </c>
      <c r="C444" s="144">
        <v>6382</v>
      </c>
      <c r="D444" s="144" t="s">
        <v>931</v>
      </c>
      <c r="E444" s="144">
        <v>95.72</v>
      </c>
      <c r="F444" s="144">
        <v>0</v>
      </c>
    </row>
    <row r="445" spans="1:6" x14ac:dyDescent="0.3">
      <c r="A445" s="144">
        <v>500</v>
      </c>
      <c r="B445" s="144" t="s">
        <v>702</v>
      </c>
      <c r="C445" s="144">
        <v>6383</v>
      </c>
      <c r="D445" s="144" t="s">
        <v>784</v>
      </c>
      <c r="E445" s="144">
        <v>478.61</v>
      </c>
      <c r="F445" s="144">
        <v>0</v>
      </c>
    </row>
    <row r="446" spans="1:6" x14ac:dyDescent="0.3">
      <c r="A446" s="144">
        <v>500</v>
      </c>
      <c r="B446" s="144" t="s">
        <v>702</v>
      </c>
      <c r="C446" s="144">
        <v>6385</v>
      </c>
      <c r="D446" s="144" t="s">
        <v>1089</v>
      </c>
      <c r="E446" s="144">
        <v>2201.61</v>
      </c>
      <c r="F446" s="144">
        <v>0</v>
      </c>
    </row>
    <row r="447" spans="1:6" x14ac:dyDescent="0.3">
      <c r="A447" s="144">
        <v>500</v>
      </c>
      <c r="B447" s="144" t="s">
        <v>702</v>
      </c>
      <c r="C447" s="144">
        <v>6398</v>
      </c>
      <c r="D447" s="144" t="s">
        <v>748</v>
      </c>
      <c r="E447" s="144">
        <v>95.72</v>
      </c>
      <c r="F447" s="144">
        <v>0</v>
      </c>
    </row>
    <row r="448" spans="1:6" x14ac:dyDescent="0.3">
      <c r="A448" s="144">
        <v>500</v>
      </c>
      <c r="B448" s="144" t="s">
        <v>702</v>
      </c>
      <c r="C448" s="144">
        <v>6399</v>
      </c>
      <c r="D448" s="144" t="s">
        <v>839</v>
      </c>
      <c r="E448" s="144">
        <v>4403.22</v>
      </c>
      <c r="F448" s="144">
        <v>0</v>
      </c>
    </row>
    <row r="449" spans="1:6" x14ac:dyDescent="0.3">
      <c r="A449" s="144">
        <v>500</v>
      </c>
      <c r="B449" s="144" t="s">
        <v>702</v>
      </c>
      <c r="C449" s="144">
        <v>6413</v>
      </c>
      <c r="D449" s="144" t="s">
        <v>796</v>
      </c>
      <c r="E449" s="144">
        <v>26.8</v>
      </c>
      <c r="F449" s="144">
        <v>0</v>
      </c>
    </row>
    <row r="450" spans="1:6" x14ac:dyDescent="0.3">
      <c r="A450" s="144">
        <v>500</v>
      </c>
      <c r="B450" s="144" t="s">
        <v>702</v>
      </c>
      <c r="C450" s="144">
        <v>6434</v>
      </c>
      <c r="D450" s="144" t="s">
        <v>897</v>
      </c>
      <c r="E450" s="144">
        <v>938.08</v>
      </c>
      <c r="F450" s="144">
        <v>402.03</v>
      </c>
    </row>
    <row r="451" spans="1:6" x14ac:dyDescent="0.3">
      <c r="A451" s="144">
        <v>500</v>
      </c>
      <c r="B451" s="144" t="s">
        <v>702</v>
      </c>
      <c r="C451" s="144">
        <v>6448</v>
      </c>
      <c r="D451" s="144" t="s">
        <v>937</v>
      </c>
      <c r="E451" s="144">
        <v>47.86</v>
      </c>
      <c r="F451" s="144">
        <v>0</v>
      </c>
    </row>
    <row r="452" spans="1:6" x14ac:dyDescent="0.3">
      <c r="A452" s="144">
        <v>500</v>
      </c>
      <c r="B452" s="144" t="s">
        <v>702</v>
      </c>
      <c r="C452" s="144">
        <v>6449</v>
      </c>
      <c r="D452" s="144" t="s">
        <v>899</v>
      </c>
      <c r="E452" s="144">
        <v>191.44</v>
      </c>
      <c r="F452" s="144">
        <v>0</v>
      </c>
    </row>
    <row r="453" spans="1:6" x14ac:dyDescent="0.3">
      <c r="A453" s="144">
        <v>500</v>
      </c>
      <c r="B453" s="144" t="s">
        <v>702</v>
      </c>
      <c r="C453" s="144">
        <v>6459</v>
      </c>
      <c r="D453" s="144" t="s">
        <v>838</v>
      </c>
      <c r="E453" s="144">
        <v>191.44</v>
      </c>
      <c r="F453" s="144">
        <v>0</v>
      </c>
    </row>
    <row r="454" spans="1:6" x14ac:dyDescent="0.3">
      <c r="A454" s="144">
        <v>500</v>
      </c>
      <c r="B454" s="144" t="s">
        <v>702</v>
      </c>
      <c r="C454" s="144">
        <v>6481</v>
      </c>
      <c r="D454" s="144" t="s">
        <v>602</v>
      </c>
      <c r="E454" s="144">
        <v>191.44</v>
      </c>
      <c r="F454" s="144">
        <v>0</v>
      </c>
    </row>
    <row r="455" spans="1:6" x14ac:dyDescent="0.3">
      <c r="A455" s="144">
        <v>500</v>
      </c>
      <c r="B455" s="144" t="s">
        <v>702</v>
      </c>
      <c r="C455" s="144">
        <v>6523</v>
      </c>
      <c r="D455" s="144" t="s">
        <v>945</v>
      </c>
      <c r="E455" s="144">
        <v>32.549999999999997</v>
      </c>
      <c r="F455" s="144">
        <v>14.36</v>
      </c>
    </row>
    <row r="456" spans="1:6" x14ac:dyDescent="0.3">
      <c r="A456" s="144">
        <v>500</v>
      </c>
      <c r="B456" s="144" t="s">
        <v>702</v>
      </c>
      <c r="C456" s="144">
        <v>6540</v>
      </c>
      <c r="D456" s="144" t="s">
        <v>1079</v>
      </c>
      <c r="E456" s="144">
        <v>0</v>
      </c>
      <c r="F456" s="144">
        <v>15.31</v>
      </c>
    </row>
    <row r="457" spans="1:6" x14ac:dyDescent="0.3">
      <c r="A457" s="144">
        <v>500</v>
      </c>
      <c r="B457" s="144" t="s">
        <v>702</v>
      </c>
      <c r="C457" s="144">
        <v>6560</v>
      </c>
      <c r="D457" s="144" t="s">
        <v>774</v>
      </c>
      <c r="E457" s="144">
        <v>909.36</v>
      </c>
      <c r="F457" s="144">
        <v>0</v>
      </c>
    </row>
    <row r="458" spans="1:6" x14ac:dyDescent="0.3">
      <c r="A458" s="144">
        <v>500</v>
      </c>
      <c r="B458" s="144" t="s">
        <v>702</v>
      </c>
      <c r="C458" s="144">
        <v>6572</v>
      </c>
      <c r="D458" s="144" t="s">
        <v>744</v>
      </c>
      <c r="E458" s="144">
        <v>14.36</v>
      </c>
      <c r="F458" s="144">
        <v>0</v>
      </c>
    </row>
    <row r="459" spans="1:6" x14ac:dyDescent="0.3">
      <c r="A459" s="144">
        <v>500</v>
      </c>
      <c r="B459" s="144" t="s">
        <v>702</v>
      </c>
      <c r="C459" s="144">
        <v>6573</v>
      </c>
      <c r="D459" s="144" t="s">
        <v>798</v>
      </c>
      <c r="E459" s="144">
        <v>191.44</v>
      </c>
      <c r="F459" s="144">
        <v>0</v>
      </c>
    </row>
    <row r="460" spans="1:6" x14ac:dyDescent="0.3">
      <c r="A460" s="144">
        <v>500</v>
      </c>
      <c r="B460" s="144" t="s">
        <v>702</v>
      </c>
      <c r="C460" s="144">
        <v>6635</v>
      </c>
      <c r="D460" s="144" t="s">
        <v>799</v>
      </c>
      <c r="E460" s="144">
        <v>5743.33</v>
      </c>
      <c r="F460" s="144">
        <v>0</v>
      </c>
    </row>
    <row r="461" spans="1:6" x14ac:dyDescent="0.3">
      <c r="A461" s="144">
        <v>500</v>
      </c>
      <c r="B461" s="144" t="s">
        <v>702</v>
      </c>
      <c r="C461" s="144">
        <v>6636</v>
      </c>
      <c r="D461" s="144" t="s">
        <v>838</v>
      </c>
      <c r="E461" s="144">
        <v>191.44</v>
      </c>
      <c r="F461" s="144">
        <v>0</v>
      </c>
    </row>
    <row r="462" spans="1:6" x14ac:dyDescent="0.3">
      <c r="A462" s="144">
        <v>500</v>
      </c>
      <c r="B462" s="144" t="s">
        <v>702</v>
      </c>
      <c r="C462" s="144">
        <v>6665</v>
      </c>
      <c r="D462" s="144" t="s">
        <v>857</v>
      </c>
      <c r="E462" s="144">
        <v>684.41</v>
      </c>
      <c r="F462" s="144">
        <v>0</v>
      </c>
    </row>
    <row r="463" spans="1:6" x14ac:dyDescent="0.3">
      <c r="A463" s="144">
        <v>500</v>
      </c>
      <c r="B463" s="144" t="s">
        <v>702</v>
      </c>
      <c r="C463" s="144">
        <v>6675</v>
      </c>
      <c r="D463" s="144" t="s">
        <v>595</v>
      </c>
      <c r="E463" s="144">
        <v>188.34</v>
      </c>
      <c r="F463" s="144">
        <v>0</v>
      </c>
    </row>
    <row r="464" spans="1:6" x14ac:dyDescent="0.3">
      <c r="A464" s="144">
        <v>500</v>
      </c>
      <c r="B464" s="144" t="s">
        <v>702</v>
      </c>
      <c r="C464" s="144">
        <v>6678</v>
      </c>
      <c r="D464" s="144" t="s">
        <v>557</v>
      </c>
      <c r="E464" s="144">
        <v>87.89</v>
      </c>
      <c r="F464" s="144">
        <v>37.659999999999997</v>
      </c>
    </row>
    <row r="465" spans="1:6" x14ac:dyDescent="0.3">
      <c r="A465" s="144">
        <v>500</v>
      </c>
      <c r="B465" s="144" t="s">
        <v>702</v>
      </c>
      <c r="C465" s="144">
        <v>6680</v>
      </c>
      <c r="D465" s="144" t="s">
        <v>586</v>
      </c>
      <c r="E465" s="144">
        <v>703.13</v>
      </c>
      <c r="F465" s="144">
        <v>0</v>
      </c>
    </row>
    <row r="466" spans="1:6" x14ac:dyDescent="0.3">
      <c r="A466" s="144">
        <v>500</v>
      </c>
      <c r="B466" s="144" t="s">
        <v>702</v>
      </c>
      <c r="C466" s="144">
        <v>6703</v>
      </c>
      <c r="D466" s="144" t="s">
        <v>530</v>
      </c>
      <c r="E466" s="144">
        <v>251.12</v>
      </c>
      <c r="F466" s="144">
        <v>0</v>
      </c>
    </row>
    <row r="467" spans="1:6" x14ac:dyDescent="0.3">
      <c r="A467" s="144">
        <v>500</v>
      </c>
      <c r="B467" s="144" t="s">
        <v>702</v>
      </c>
      <c r="C467" s="144">
        <v>6707</v>
      </c>
      <c r="D467" s="144" t="s">
        <v>527</v>
      </c>
      <c r="E467" s="144">
        <v>219.72</v>
      </c>
      <c r="F467" s="144">
        <v>0</v>
      </c>
    </row>
    <row r="468" spans="1:6" x14ac:dyDescent="0.3">
      <c r="A468" s="144">
        <v>500</v>
      </c>
      <c r="B468" s="144" t="s">
        <v>702</v>
      </c>
      <c r="C468" s="144">
        <v>6708</v>
      </c>
      <c r="D468" s="144" t="s">
        <v>545</v>
      </c>
      <c r="E468" s="144">
        <v>420.62</v>
      </c>
      <c r="F468" s="144">
        <v>0</v>
      </c>
    </row>
    <row r="469" spans="1:6" x14ac:dyDescent="0.3">
      <c r="A469" s="144">
        <v>500</v>
      </c>
      <c r="B469" s="144" t="s">
        <v>702</v>
      </c>
      <c r="C469" s="144">
        <v>6713</v>
      </c>
      <c r="D469" s="144" t="s">
        <v>523</v>
      </c>
      <c r="E469" s="144">
        <v>458.29</v>
      </c>
      <c r="F469" s="144">
        <v>0</v>
      </c>
    </row>
    <row r="470" spans="1:6" x14ac:dyDescent="0.3">
      <c r="A470" s="144">
        <v>500</v>
      </c>
      <c r="B470" s="144" t="s">
        <v>702</v>
      </c>
      <c r="C470" s="144">
        <v>6719</v>
      </c>
      <c r="D470" s="144" t="s">
        <v>592</v>
      </c>
      <c r="E470" s="144">
        <v>62.78</v>
      </c>
      <c r="F470" s="144">
        <v>0</v>
      </c>
    </row>
    <row r="471" spans="1:6" x14ac:dyDescent="0.3">
      <c r="A471" s="144">
        <v>500</v>
      </c>
      <c r="B471" s="144" t="s">
        <v>702</v>
      </c>
      <c r="C471" s="144">
        <v>6725</v>
      </c>
      <c r="D471" s="144" t="s">
        <v>689</v>
      </c>
      <c r="E471" s="144">
        <v>910.29</v>
      </c>
      <c r="F471" s="144">
        <v>0</v>
      </c>
    </row>
    <row r="472" spans="1:6" x14ac:dyDescent="0.3">
      <c r="A472" s="144">
        <v>500</v>
      </c>
      <c r="B472" s="144" t="s">
        <v>702</v>
      </c>
      <c r="C472" s="144">
        <v>6727</v>
      </c>
      <c r="D472" s="144" t="s">
        <v>543</v>
      </c>
      <c r="E472" s="144">
        <v>2511.16</v>
      </c>
      <c r="F472" s="144">
        <v>0</v>
      </c>
    </row>
    <row r="473" spans="1:6" x14ac:dyDescent="0.3">
      <c r="A473" s="144">
        <v>500</v>
      </c>
      <c r="B473" s="144" t="s">
        <v>702</v>
      </c>
      <c r="C473" s="144">
        <v>6730</v>
      </c>
      <c r="D473" s="144" t="s">
        <v>587</v>
      </c>
      <c r="E473" s="144">
        <v>141.25</v>
      </c>
      <c r="F473" s="144">
        <v>0</v>
      </c>
    </row>
    <row r="474" spans="1:6" x14ac:dyDescent="0.3">
      <c r="A474" s="144">
        <v>500</v>
      </c>
      <c r="B474" s="144" t="s">
        <v>702</v>
      </c>
      <c r="C474" s="144">
        <v>6749</v>
      </c>
      <c r="D474" s="144" t="s">
        <v>575</v>
      </c>
      <c r="E474" s="144">
        <v>285.64999999999998</v>
      </c>
      <c r="F474" s="144">
        <v>122.42</v>
      </c>
    </row>
    <row r="475" spans="1:6" x14ac:dyDescent="0.3">
      <c r="A475" s="144">
        <v>500</v>
      </c>
      <c r="B475" s="144" t="s">
        <v>702</v>
      </c>
      <c r="C475" s="144">
        <v>6750</v>
      </c>
      <c r="D475" s="144" t="s">
        <v>576</v>
      </c>
      <c r="E475" s="144">
        <v>285.64999999999998</v>
      </c>
      <c r="F475" s="144">
        <v>122.42</v>
      </c>
    </row>
    <row r="476" spans="1:6" x14ac:dyDescent="0.3">
      <c r="A476" s="144">
        <v>500</v>
      </c>
      <c r="B476" s="144" t="s">
        <v>702</v>
      </c>
      <c r="C476" s="144">
        <v>6753</v>
      </c>
      <c r="D476" s="144" t="s">
        <v>579</v>
      </c>
      <c r="E476" s="144">
        <v>3076.18</v>
      </c>
      <c r="F476" s="144">
        <v>1318.36</v>
      </c>
    </row>
    <row r="477" spans="1:6" x14ac:dyDescent="0.3">
      <c r="A477" s="144">
        <v>500</v>
      </c>
      <c r="B477" s="144" t="s">
        <v>702</v>
      </c>
      <c r="C477" s="144">
        <v>6758</v>
      </c>
      <c r="D477" s="144" t="s">
        <v>582</v>
      </c>
      <c r="E477" s="144">
        <v>627.79</v>
      </c>
      <c r="F477" s="144">
        <v>0</v>
      </c>
    </row>
    <row r="478" spans="1:6" x14ac:dyDescent="0.3">
      <c r="A478" s="144">
        <v>500</v>
      </c>
      <c r="B478" s="144" t="s">
        <v>702</v>
      </c>
      <c r="C478" s="144">
        <v>6763</v>
      </c>
      <c r="D478" s="144" t="s">
        <v>462</v>
      </c>
      <c r="E478" s="144">
        <v>0</v>
      </c>
      <c r="F478" s="144">
        <v>116.14</v>
      </c>
    </row>
    <row r="479" spans="1:6" x14ac:dyDescent="0.3">
      <c r="A479" s="144">
        <v>500</v>
      </c>
      <c r="B479" s="144" t="s">
        <v>702</v>
      </c>
      <c r="C479" s="144">
        <v>6766</v>
      </c>
      <c r="D479" s="144" t="s">
        <v>465</v>
      </c>
      <c r="E479" s="144">
        <v>0</v>
      </c>
      <c r="F479" s="144">
        <v>113</v>
      </c>
    </row>
    <row r="480" spans="1:6" x14ac:dyDescent="0.3">
      <c r="A480" s="144">
        <v>500</v>
      </c>
      <c r="B480" s="144" t="s">
        <v>702</v>
      </c>
      <c r="C480" s="144">
        <v>6781</v>
      </c>
      <c r="D480" s="144" t="s">
        <v>486</v>
      </c>
      <c r="E480" s="144">
        <v>0</v>
      </c>
      <c r="F480" s="144">
        <v>313.89999999999998</v>
      </c>
    </row>
    <row r="481" spans="1:6" x14ac:dyDescent="0.3">
      <c r="A481" s="144">
        <v>500</v>
      </c>
      <c r="B481" s="144" t="s">
        <v>702</v>
      </c>
      <c r="C481" s="144">
        <v>6789</v>
      </c>
      <c r="D481" s="144" t="s">
        <v>476</v>
      </c>
      <c r="E481" s="144">
        <v>0</v>
      </c>
      <c r="F481" s="144">
        <v>326.45</v>
      </c>
    </row>
    <row r="482" spans="1:6" x14ac:dyDescent="0.3">
      <c r="A482" s="144">
        <v>500</v>
      </c>
      <c r="B482" s="144" t="s">
        <v>702</v>
      </c>
      <c r="C482" s="144">
        <v>6796</v>
      </c>
      <c r="D482" s="144" t="s">
        <v>489</v>
      </c>
      <c r="E482" s="144">
        <v>0</v>
      </c>
      <c r="F482" s="144">
        <v>91.02</v>
      </c>
    </row>
    <row r="483" spans="1:6" x14ac:dyDescent="0.3">
      <c r="A483" s="144">
        <v>500</v>
      </c>
      <c r="B483" s="144" t="s">
        <v>702</v>
      </c>
      <c r="C483" s="144">
        <v>6797</v>
      </c>
      <c r="D483" s="144" t="s">
        <v>502</v>
      </c>
      <c r="E483" s="144">
        <v>0</v>
      </c>
      <c r="F483" s="144">
        <v>62.78</v>
      </c>
    </row>
    <row r="484" spans="1:6" x14ac:dyDescent="0.3">
      <c r="A484" s="144">
        <v>500</v>
      </c>
      <c r="B484" s="144" t="s">
        <v>702</v>
      </c>
      <c r="C484" s="144">
        <v>6799</v>
      </c>
      <c r="D484" s="144" t="s">
        <v>492</v>
      </c>
      <c r="E484" s="144">
        <v>0</v>
      </c>
      <c r="F484" s="144">
        <v>100.45</v>
      </c>
    </row>
    <row r="485" spans="1:6" x14ac:dyDescent="0.3">
      <c r="A485" s="144">
        <v>500</v>
      </c>
      <c r="B485" s="144" t="s">
        <v>702</v>
      </c>
      <c r="C485" s="144">
        <v>6826</v>
      </c>
      <c r="D485" s="144" t="s">
        <v>630</v>
      </c>
      <c r="E485" s="144">
        <v>100.45</v>
      </c>
      <c r="F485" s="144">
        <v>40.81</v>
      </c>
    </row>
    <row r="486" spans="1:6" x14ac:dyDescent="0.3">
      <c r="A486" s="144">
        <v>500</v>
      </c>
      <c r="B486" s="144" t="s">
        <v>702</v>
      </c>
      <c r="C486" s="144">
        <v>6845</v>
      </c>
      <c r="D486" s="144" t="s">
        <v>550</v>
      </c>
      <c r="E486" s="144">
        <v>373.54</v>
      </c>
      <c r="F486" s="144">
        <v>160.08000000000001</v>
      </c>
    </row>
    <row r="487" spans="1:6" x14ac:dyDescent="0.3">
      <c r="A487" s="144">
        <v>500</v>
      </c>
      <c r="B487" s="144" t="s">
        <v>702</v>
      </c>
      <c r="C487" s="144">
        <v>6846</v>
      </c>
      <c r="D487" s="144" t="s">
        <v>552</v>
      </c>
      <c r="E487" s="144">
        <v>3295.9</v>
      </c>
      <c r="F487" s="144">
        <v>1412.53</v>
      </c>
    </row>
    <row r="488" spans="1:6" x14ac:dyDescent="0.3">
      <c r="A488" s="144">
        <v>500</v>
      </c>
      <c r="B488" s="144" t="s">
        <v>702</v>
      </c>
      <c r="C488" s="144">
        <v>6853</v>
      </c>
      <c r="D488" s="144" t="s">
        <v>555</v>
      </c>
      <c r="E488" s="144">
        <v>285.64999999999998</v>
      </c>
      <c r="F488" s="144">
        <v>122.42</v>
      </c>
    </row>
    <row r="489" spans="1:6" x14ac:dyDescent="0.3">
      <c r="A489" s="144">
        <v>500</v>
      </c>
      <c r="B489" s="144" t="s">
        <v>702</v>
      </c>
      <c r="C489" s="144">
        <v>6864</v>
      </c>
      <c r="D489" s="144" t="s">
        <v>954</v>
      </c>
      <c r="E489" s="144">
        <v>191.44</v>
      </c>
      <c r="F489" s="144">
        <v>0</v>
      </c>
    </row>
    <row r="490" spans="1:6" x14ac:dyDescent="0.3">
      <c r="A490" s="144">
        <v>500</v>
      </c>
      <c r="B490" s="144" t="s">
        <v>702</v>
      </c>
      <c r="C490" s="144">
        <v>6878</v>
      </c>
      <c r="D490" s="144" t="s">
        <v>801</v>
      </c>
      <c r="E490" s="144">
        <v>5233.13</v>
      </c>
      <c r="F490" s="144">
        <v>0</v>
      </c>
    </row>
    <row r="491" spans="1:6" x14ac:dyDescent="0.3">
      <c r="A491" s="144">
        <v>500</v>
      </c>
      <c r="B491" s="144" t="s">
        <v>702</v>
      </c>
      <c r="C491" s="144">
        <v>6925</v>
      </c>
      <c r="D491" s="144" t="s">
        <v>861</v>
      </c>
      <c r="E491" s="144">
        <v>562.84</v>
      </c>
      <c r="F491" s="144">
        <v>241.22</v>
      </c>
    </row>
    <row r="492" spans="1:6" x14ac:dyDescent="0.3">
      <c r="A492" s="144">
        <v>500</v>
      </c>
      <c r="B492" s="144" t="s">
        <v>702</v>
      </c>
      <c r="C492" s="144">
        <v>6947</v>
      </c>
      <c r="D492" s="144" t="s">
        <v>847</v>
      </c>
      <c r="E492" s="144">
        <v>1782.35</v>
      </c>
      <c r="F492" s="144">
        <v>763.86</v>
      </c>
    </row>
    <row r="493" spans="1:6" x14ac:dyDescent="0.3">
      <c r="A493" s="144">
        <v>500</v>
      </c>
      <c r="B493" s="144" t="s">
        <v>702</v>
      </c>
      <c r="C493" s="144">
        <v>6950</v>
      </c>
      <c r="D493" s="144" t="s">
        <v>1097</v>
      </c>
      <c r="E493" s="144">
        <v>1782.35</v>
      </c>
      <c r="F493" s="144">
        <v>763.86</v>
      </c>
    </row>
    <row r="494" spans="1:6" x14ac:dyDescent="0.3">
      <c r="A494" s="144">
        <v>500</v>
      </c>
      <c r="B494" s="144" t="s">
        <v>702</v>
      </c>
      <c r="C494" s="144">
        <v>6960</v>
      </c>
      <c r="D494" s="144" t="s">
        <v>823</v>
      </c>
      <c r="E494" s="144">
        <v>229.73</v>
      </c>
      <c r="F494" s="144">
        <v>0</v>
      </c>
    </row>
    <row r="495" spans="1:6" x14ac:dyDescent="0.3">
      <c r="A495" s="144">
        <v>500</v>
      </c>
      <c r="B495" s="144" t="s">
        <v>702</v>
      </c>
      <c r="C495" s="144">
        <v>7036</v>
      </c>
      <c r="D495" s="144" t="s">
        <v>979</v>
      </c>
      <c r="E495" s="144">
        <v>95.72</v>
      </c>
      <c r="F495" s="144">
        <v>0</v>
      </c>
    </row>
    <row r="496" spans="1:6" x14ac:dyDescent="0.3">
      <c r="A496" s="144">
        <v>500</v>
      </c>
      <c r="B496" s="144" t="s">
        <v>702</v>
      </c>
      <c r="C496" s="144">
        <v>7182</v>
      </c>
      <c r="D496" s="144" t="s">
        <v>1076</v>
      </c>
      <c r="E496" s="144">
        <v>0</v>
      </c>
      <c r="F496" s="144">
        <v>47.86</v>
      </c>
    </row>
    <row r="497" spans="1:6" x14ac:dyDescent="0.3">
      <c r="A497" s="144">
        <v>500</v>
      </c>
      <c r="B497" s="144" t="s">
        <v>702</v>
      </c>
      <c r="C497" s="144">
        <v>7183</v>
      </c>
      <c r="D497" s="144" t="s">
        <v>829</v>
      </c>
      <c r="E497" s="144">
        <v>0</v>
      </c>
      <c r="F497" s="144">
        <v>47.86</v>
      </c>
    </row>
    <row r="498" spans="1:6" x14ac:dyDescent="0.3">
      <c r="A498" s="144">
        <v>500</v>
      </c>
      <c r="B498" s="144" t="s">
        <v>702</v>
      </c>
      <c r="C498" s="144">
        <v>7423</v>
      </c>
      <c r="D498" s="144" t="s">
        <v>867</v>
      </c>
      <c r="E498" s="144">
        <v>286.20999999999998</v>
      </c>
      <c r="F498" s="144">
        <v>0</v>
      </c>
    </row>
    <row r="499" spans="1:6" x14ac:dyDescent="0.3">
      <c r="A499" s="144">
        <v>500</v>
      </c>
      <c r="B499" s="144" t="s">
        <v>702</v>
      </c>
      <c r="C499" s="144">
        <v>7429</v>
      </c>
      <c r="D499" s="144" t="s">
        <v>868</v>
      </c>
      <c r="E499" s="144">
        <v>717.92</v>
      </c>
      <c r="F499" s="144">
        <v>0</v>
      </c>
    </row>
    <row r="500" spans="1:6" x14ac:dyDescent="0.3">
      <c r="A500" s="144">
        <v>500</v>
      </c>
      <c r="B500" s="144" t="s">
        <v>702</v>
      </c>
      <c r="C500" s="144">
        <v>7558</v>
      </c>
      <c r="D500" s="144" t="s">
        <v>757</v>
      </c>
      <c r="E500" s="144">
        <v>126.36</v>
      </c>
      <c r="F500" s="144">
        <v>54.56</v>
      </c>
    </row>
    <row r="501" spans="1:6" x14ac:dyDescent="0.3">
      <c r="A501" s="144">
        <v>500</v>
      </c>
      <c r="B501" s="144" t="s">
        <v>702</v>
      </c>
      <c r="C501" s="144">
        <v>7582</v>
      </c>
      <c r="D501" s="144" t="s">
        <v>811</v>
      </c>
      <c r="E501" s="144">
        <v>439.36</v>
      </c>
      <c r="F501" s="144">
        <v>187.61</v>
      </c>
    </row>
    <row r="502" spans="1:6" x14ac:dyDescent="0.3">
      <c r="A502" s="144">
        <v>500</v>
      </c>
      <c r="B502" s="144" t="s">
        <v>702</v>
      </c>
      <c r="C502" s="144">
        <v>7640</v>
      </c>
      <c r="D502" s="144" t="s">
        <v>1102</v>
      </c>
      <c r="E502" s="144">
        <v>0</v>
      </c>
      <c r="F502" s="144">
        <v>19.14</v>
      </c>
    </row>
    <row r="503" spans="1:6" x14ac:dyDescent="0.3">
      <c r="A503" s="144">
        <v>500</v>
      </c>
      <c r="B503" s="144" t="s">
        <v>702</v>
      </c>
      <c r="C503" s="144">
        <v>7801</v>
      </c>
      <c r="D503" s="144" t="s">
        <v>909</v>
      </c>
      <c r="E503" s="144">
        <v>1148.67</v>
      </c>
      <c r="F503" s="144">
        <v>0</v>
      </c>
    </row>
    <row r="504" spans="1:6" x14ac:dyDescent="0.3">
      <c r="A504" s="144">
        <v>500</v>
      </c>
      <c r="B504" s="144" t="s">
        <v>702</v>
      </c>
      <c r="C504" s="144">
        <v>9433</v>
      </c>
      <c r="D504" s="144" t="s">
        <v>735</v>
      </c>
      <c r="E504" s="144">
        <v>0</v>
      </c>
      <c r="F504" s="144">
        <v>382.89</v>
      </c>
    </row>
    <row r="505" spans="1:6" x14ac:dyDescent="0.3">
      <c r="A505" s="144">
        <v>500</v>
      </c>
      <c r="B505" s="144" t="s">
        <v>702</v>
      </c>
      <c r="C505" s="144">
        <v>6069</v>
      </c>
      <c r="D505" s="144" t="s">
        <v>508</v>
      </c>
      <c r="E505" s="144">
        <v>95.72</v>
      </c>
      <c r="F505" s="144">
        <v>0</v>
      </c>
    </row>
    <row r="506" spans="1:6" x14ac:dyDescent="0.3">
      <c r="A506" s="144">
        <v>500</v>
      </c>
      <c r="B506" s="144" t="s">
        <v>702</v>
      </c>
      <c r="C506" s="144">
        <v>6156</v>
      </c>
      <c r="D506" s="144" t="s">
        <v>754</v>
      </c>
      <c r="E506" s="144">
        <v>67</v>
      </c>
      <c r="F506" s="144">
        <v>0</v>
      </c>
    </row>
    <row r="507" spans="1:6" x14ac:dyDescent="0.3">
      <c r="A507" s="144">
        <v>500</v>
      </c>
      <c r="B507" s="144" t="s">
        <v>702</v>
      </c>
      <c r="C507" s="144">
        <v>6169</v>
      </c>
      <c r="D507" s="144" t="s">
        <v>971</v>
      </c>
      <c r="E507" s="144">
        <v>1052.94</v>
      </c>
      <c r="F507" s="144">
        <v>0</v>
      </c>
    </row>
    <row r="508" spans="1:6" x14ac:dyDescent="0.3">
      <c r="A508" s="144">
        <v>500</v>
      </c>
      <c r="B508" s="144" t="s">
        <v>702</v>
      </c>
      <c r="C508" s="144">
        <v>6212</v>
      </c>
      <c r="D508" s="144" t="s">
        <v>1080</v>
      </c>
      <c r="E508" s="144">
        <v>0</v>
      </c>
      <c r="F508" s="144">
        <v>81.36</v>
      </c>
    </row>
    <row r="509" spans="1:6" x14ac:dyDescent="0.3">
      <c r="A509" s="144">
        <v>500</v>
      </c>
      <c r="B509" s="144" t="s">
        <v>702</v>
      </c>
      <c r="C509" s="144">
        <v>6242</v>
      </c>
      <c r="D509" s="144" t="s">
        <v>1016</v>
      </c>
      <c r="E509" s="144">
        <v>191.44</v>
      </c>
      <c r="F509" s="144">
        <v>0</v>
      </c>
    </row>
    <row r="510" spans="1:6" x14ac:dyDescent="0.3">
      <c r="A510" s="144">
        <v>500</v>
      </c>
      <c r="B510" s="144" t="s">
        <v>702</v>
      </c>
      <c r="C510" s="144">
        <v>6245</v>
      </c>
      <c r="D510" s="144" t="s">
        <v>894</v>
      </c>
      <c r="E510" s="144">
        <v>402.03</v>
      </c>
      <c r="F510" s="144">
        <v>172.3</v>
      </c>
    </row>
    <row r="511" spans="1:6" x14ac:dyDescent="0.3">
      <c r="A511" s="144">
        <v>500</v>
      </c>
      <c r="B511" s="144" t="s">
        <v>702</v>
      </c>
      <c r="C511" s="144">
        <v>6253</v>
      </c>
      <c r="D511" s="144" t="s">
        <v>729</v>
      </c>
      <c r="E511" s="144">
        <v>47.86</v>
      </c>
      <c r="F511" s="144">
        <v>0</v>
      </c>
    </row>
    <row r="512" spans="1:6" x14ac:dyDescent="0.3">
      <c r="A512" s="144">
        <v>500</v>
      </c>
      <c r="B512" s="144" t="s">
        <v>702</v>
      </c>
      <c r="C512" s="144">
        <v>6254</v>
      </c>
      <c r="D512" s="144" t="s">
        <v>1066</v>
      </c>
      <c r="E512" s="144">
        <v>47.86</v>
      </c>
      <c r="F512" s="144">
        <v>0</v>
      </c>
    </row>
    <row r="513" spans="1:6" x14ac:dyDescent="0.3">
      <c r="A513" s="144">
        <v>500</v>
      </c>
      <c r="B513" s="144" t="s">
        <v>702</v>
      </c>
      <c r="C513" s="144">
        <v>6255</v>
      </c>
      <c r="D513" s="144" t="s">
        <v>980</v>
      </c>
      <c r="E513" s="144">
        <v>124.44</v>
      </c>
      <c r="F513" s="144">
        <v>0</v>
      </c>
    </row>
    <row r="514" spans="1:6" x14ac:dyDescent="0.3">
      <c r="A514" s="144">
        <v>500</v>
      </c>
      <c r="B514" s="144" t="s">
        <v>702</v>
      </c>
      <c r="C514" s="144">
        <v>6287</v>
      </c>
      <c r="D514" s="144" t="s">
        <v>773</v>
      </c>
      <c r="E514" s="144">
        <v>0</v>
      </c>
      <c r="F514" s="144">
        <v>191.44</v>
      </c>
    </row>
    <row r="515" spans="1:6" x14ac:dyDescent="0.3">
      <c r="A515" s="144">
        <v>500</v>
      </c>
      <c r="B515" s="144" t="s">
        <v>702</v>
      </c>
      <c r="C515" s="144">
        <v>6291</v>
      </c>
      <c r="D515" s="144" t="s">
        <v>834</v>
      </c>
      <c r="E515" s="144">
        <v>0</v>
      </c>
      <c r="F515" s="144">
        <v>287.17</v>
      </c>
    </row>
    <row r="516" spans="1:6" x14ac:dyDescent="0.3">
      <c r="A516" s="144">
        <v>500</v>
      </c>
      <c r="B516" s="144" t="s">
        <v>702</v>
      </c>
      <c r="C516" s="144">
        <v>6295</v>
      </c>
      <c r="D516" s="144" t="s">
        <v>844</v>
      </c>
      <c r="E516" s="144">
        <v>9.58</v>
      </c>
      <c r="F516" s="144">
        <v>0</v>
      </c>
    </row>
    <row r="517" spans="1:6" x14ac:dyDescent="0.3">
      <c r="A517" s="144">
        <v>500</v>
      </c>
      <c r="B517" s="144" t="s">
        <v>702</v>
      </c>
      <c r="C517" s="144">
        <v>6296</v>
      </c>
      <c r="D517" s="144" t="s">
        <v>929</v>
      </c>
      <c r="E517" s="144">
        <v>0</v>
      </c>
      <c r="F517" s="144">
        <v>19.14</v>
      </c>
    </row>
    <row r="518" spans="1:6" x14ac:dyDescent="0.3">
      <c r="A518" s="144">
        <v>500</v>
      </c>
      <c r="B518" s="144" t="s">
        <v>702</v>
      </c>
      <c r="C518" s="144">
        <v>6315</v>
      </c>
      <c r="D518" s="144" t="s">
        <v>819</v>
      </c>
      <c r="E518" s="144">
        <v>47.86</v>
      </c>
      <c r="F518" s="144">
        <v>0</v>
      </c>
    </row>
    <row r="519" spans="1:6" x14ac:dyDescent="0.3">
      <c r="A519" s="144">
        <v>500</v>
      </c>
      <c r="B519" s="144" t="s">
        <v>702</v>
      </c>
      <c r="C519" s="144">
        <v>6316</v>
      </c>
      <c r="D519" s="144" t="s">
        <v>956</v>
      </c>
      <c r="E519" s="144">
        <v>239.31</v>
      </c>
      <c r="F519" s="144">
        <v>0</v>
      </c>
    </row>
    <row r="520" spans="1:6" x14ac:dyDescent="0.3">
      <c r="A520" s="144">
        <v>500</v>
      </c>
      <c r="B520" s="144" t="s">
        <v>702</v>
      </c>
      <c r="C520" s="144">
        <v>6351</v>
      </c>
      <c r="D520" s="144" t="s">
        <v>828</v>
      </c>
      <c r="E520" s="144">
        <v>0</v>
      </c>
      <c r="F520" s="144">
        <v>9.58</v>
      </c>
    </row>
    <row r="521" spans="1:6" x14ac:dyDescent="0.3">
      <c r="A521" s="144">
        <v>500</v>
      </c>
      <c r="B521" s="144" t="s">
        <v>702</v>
      </c>
      <c r="C521" s="144">
        <v>6369</v>
      </c>
      <c r="D521" s="144" t="s">
        <v>972</v>
      </c>
      <c r="E521" s="144">
        <v>0</v>
      </c>
      <c r="F521" s="144">
        <v>47.86</v>
      </c>
    </row>
    <row r="522" spans="1:6" x14ac:dyDescent="0.3">
      <c r="A522" s="144">
        <v>500</v>
      </c>
      <c r="B522" s="144" t="s">
        <v>702</v>
      </c>
      <c r="C522" s="144">
        <v>6380</v>
      </c>
      <c r="D522" s="144" t="s">
        <v>836</v>
      </c>
      <c r="E522" s="144">
        <v>1244.3900000000001</v>
      </c>
      <c r="F522" s="144">
        <v>0</v>
      </c>
    </row>
    <row r="523" spans="1:6" x14ac:dyDescent="0.3">
      <c r="A523" s="144">
        <v>500</v>
      </c>
      <c r="B523" s="144" t="s">
        <v>702</v>
      </c>
      <c r="C523" s="144">
        <v>6411</v>
      </c>
      <c r="D523" s="144" t="s">
        <v>727</v>
      </c>
      <c r="E523" s="144">
        <v>323.54000000000002</v>
      </c>
      <c r="F523" s="144">
        <v>0</v>
      </c>
    </row>
    <row r="524" spans="1:6" x14ac:dyDescent="0.3">
      <c r="A524" s="144">
        <v>500</v>
      </c>
      <c r="B524" s="144" t="s">
        <v>702</v>
      </c>
      <c r="C524" s="144">
        <v>6422</v>
      </c>
      <c r="D524" s="144" t="s">
        <v>775</v>
      </c>
      <c r="E524" s="144">
        <v>239.31</v>
      </c>
      <c r="F524" s="144">
        <v>0</v>
      </c>
    </row>
    <row r="525" spans="1:6" x14ac:dyDescent="0.3">
      <c r="A525" s="144">
        <v>500</v>
      </c>
      <c r="B525" s="144" t="s">
        <v>702</v>
      </c>
      <c r="C525" s="144">
        <v>6423</v>
      </c>
      <c r="D525" s="144" t="s">
        <v>967</v>
      </c>
      <c r="E525" s="144">
        <v>191.44</v>
      </c>
      <c r="F525" s="144">
        <v>0</v>
      </c>
    </row>
    <row r="526" spans="1:6" x14ac:dyDescent="0.3">
      <c r="A526" s="144">
        <v>500</v>
      </c>
      <c r="B526" s="144" t="s">
        <v>702</v>
      </c>
      <c r="C526" s="144">
        <v>6443</v>
      </c>
      <c r="D526" s="144" t="s">
        <v>1041</v>
      </c>
      <c r="E526" s="144">
        <v>19.14</v>
      </c>
      <c r="F526" s="144">
        <v>0</v>
      </c>
    </row>
    <row r="527" spans="1:6" x14ac:dyDescent="0.3">
      <c r="A527" s="144">
        <v>500</v>
      </c>
      <c r="B527" s="144" t="s">
        <v>702</v>
      </c>
      <c r="C527" s="144">
        <v>6444</v>
      </c>
      <c r="D527" s="144" t="s">
        <v>806</v>
      </c>
      <c r="E527" s="144">
        <v>9.58</v>
      </c>
      <c r="F527" s="144">
        <v>0</v>
      </c>
    </row>
    <row r="528" spans="1:6" x14ac:dyDescent="0.3">
      <c r="A528" s="144">
        <v>500</v>
      </c>
      <c r="B528" s="144" t="s">
        <v>702</v>
      </c>
      <c r="C528" s="144">
        <v>6445</v>
      </c>
      <c r="D528" s="144" t="s">
        <v>936</v>
      </c>
      <c r="E528" s="144">
        <v>47.86</v>
      </c>
      <c r="F528" s="144">
        <v>0</v>
      </c>
    </row>
    <row r="529" spans="1:6" x14ac:dyDescent="0.3">
      <c r="A529" s="144">
        <v>500</v>
      </c>
      <c r="B529" s="144" t="s">
        <v>702</v>
      </c>
      <c r="C529" s="144">
        <v>6458</v>
      </c>
      <c r="D529" s="144" t="s">
        <v>730</v>
      </c>
      <c r="E529" s="144">
        <v>1052.94</v>
      </c>
      <c r="F529" s="144">
        <v>0</v>
      </c>
    </row>
    <row r="530" spans="1:6" x14ac:dyDescent="0.3">
      <c r="A530" s="144">
        <v>500</v>
      </c>
      <c r="B530" s="144" t="s">
        <v>702</v>
      </c>
      <c r="C530" s="144">
        <v>6463</v>
      </c>
      <c r="D530" s="144" t="s">
        <v>1095</v>
      </c>
      <c r="E530" s="144">
        <v>87.11</v>
      </c>
      <c r="F530" s="144">
        <v>37.33</v>
      </c>
    </row>
    <row r="531" spans="1:6" x14ac:dyDescent="0.3">
      <c r="A531" s="144">
        <v>500</v>
      </c>
      <c r="B531" s="144" t="s">
        <v>702</v>
      </c>
      <c r="C531" s="144">
        <v>6466</v>
      </c>
      <c r="D531" s="144" t="s">
        <v>835</v>
      </c>
      <c r="E531" s="144">
        <v>287.17</v>
      </c>
      <c r="F531" s="144">
        <v>0</v>
      </c>
    </row>
    <row r="532" spans="1:6" x14ac:dyDescent="0.3">
      <c r="A532" s="144">
        <v>500</v>
      </c>
      <c r="B532" s="144" t="s">
        <v>702</v>
      </c>
      <c r="C532" s="144">
        <v>6467</v>
      </c>
      <c r="D532" s="144" t="s">
        <v>873</v>
      </c>
      <c r="E532" s="144">
        <v>0</v>
      </c>
      <c r="F532" s="144">
        <v>1914.44</v>
      </c>
    </row>
    <row r="533" spans="1:6" x14ac:dyDescent="0.3">
      <c r="A533" s="144">
        <v>500</v>
      </c>
      <c r="B533" s="144" t="s">
        <v>702</v>
      </c>
      <c r="C533" s="144">
        <v>6474</v>
      </c>
      <c r="D533" s="144" t="s">
        <v>840</v>
      </c>
      <c r="E533" s="144">
        <v>5360.44</v>
      </c>
      <c r="F533" s="144">
        <v>0</v>
      </c>
    </row>
    <row r="534" spans="1:6" x14ac:dyDescent="0.3">
      <c r="A534" s="144">
        <v>500</v>
      </c>
      <c r="B534" s="144" t="s">
        <v>702</v>
      </c>
      <c r="C534" s="144">
        <v>6501</v>
      </c>
      <c r="D534" s="144" t="s">
        <v>1104</v>
      </c>
      <c r="E534" s="144">
        <v>33.5</v>
      </c>
      <c r="F534" s="144">
        <v>14.36</v>
      </c>
    </row>
    <row r="535" spans="1:6" x14ac:dyDescent="0.3">
      <c r="A535" s="144">
        <v>500</v>
      </c>
      <c r="B535" s="144" t="s">
        <v>702</v>
      </c>
      <c r="C535" s="144">
        <v>6506</v>
      </c>
      <c r="D535" s="144" t="s">
        <v>764</v>
      </c>
      <c r="E535" s="144">
        <v>33.5</v>
      </c>
      <c r="F535" s="144">
        <v>14.36</v>
      </c>
    </row>
    <row r="536" spans="1:6" x14ac:dyDescent="0.3">
      <c r="A536" s="144">
        <v>500</v>
      </c>
      <c r="B536" s="144" t="s">
        <v>702</v>
      </c>
      <c r="C536" s="144">
        <v>6517</v>
      </c>
      <c r="D536" s="144" t="s">
        <v>771</v>
      </c>
      <c r="E536" s="144">
        <v>134.97</v>
      </c>
      <c r="F536" s="144">
        <v>58.39</v>
      </c>
    </row>
    <row r="537" spans="1:6" x14ac:dyDescent="0.3">
      <c r="A537" s="144">
        <v>500</v>
      </c>
      <c r="B537" s="144" t="s">
        <v>702</v>
      </c>
      <c r="C537" s="144">
        <v>6527</v>
      </c>
      <c r="D537" s="144" t="s">
        <v>1106</v>
      </c>
      <c r="E537" s="144">
        <v>526.47</v>
      </c>
      <c r="F537" s="144">
        <v>0</v>
      </c>
    </row>
    <row r="538" spans="1:6" x14ac:dyDescent="0.3">
      <c r="A538" s="144">
        <v>500</v>
      </c>
      <c r="B538" s="144" t="s">
        <v>702</v>
      </c>
      <c r="C538" s="144">
        <v>6579</v>
      </c>
      <c r="D538" s="144" t="s">
        <v>778</v>
      </c>
      <c r="E538" s="144">
        <v>478.61</v>
      </c>
      <c r="F538" s="144">
        <v>0</v>
      </c>
    </row>
    <row r="539" spans="1:6" x14ac:dyDescent="0.3">
      <c r="A539" s="144">
        <v>500</v>
      </c>
      <c r="B539" s="144" t="s">
        <v>702</v>
      </c>
      <c r="C539" s="144">
        <v>6581</v>
      </c>
      <c r="D539" s="144" t="s">
        <v>865</v>
      </c>
      <c r="E539" s="144">
        <v>478.61</v>
      </c>
      <c r="F539" s="144">
        <v>0</v>
      </c>
    </row>
    <row r="540" spans="1:6" x14ac:dyDescent="0.3">
      <c r="A540" s="144">
        <v>500</v>
      </c>
      <c r="B540" s="144" t="s">
        <v>702</v>
      </c>
      <c r="C540" s="144">
        <v>6594</v>
      </c>
      <c r="D540" s="144" t="s">
        <v>1061</v>
      </c>
      <c r="E540" s="144">
        <v>670.06</v>
      </c>
      <c r="F540" s="144">
        <v>0</v>
      </c>
    </row>
    <row r="541" spans="1:6" x14ac:dyDescent="0.3">
      <c r="A541" s="144">
        <v>500</v>
      </c>
      <c r="B541" s="144" t="s">
        <v>702</v>
      </c>
      <c r="C541" s="144">
        <v>6612</v>
      </c>
      <c r="D541" s="144" t="s">
        <v>546</v>
      </c>
      <c r="E541" s="144">
        <v>156.94999999999999</v>
      </c>
      <c r="F541" s="144">
        <v>0</v>
      </c>
    </row>
    <row r="542" spans="1:6" x14ac:dyDescent="0.3">
      <c r="A542" s="144">
        <v>500</v>
      </c>
      <c r="B542" s="144" t="s">
        <v>702</v>
      </c>
      <c r="C542" s="144">
        <v>6642</v>
      </c>
      <c r="D542" s="144" t="s">
        <v>978</v>
      </c>
      <c r="E542" s="144">
        <v>47.86</v>
      </c>
      <c r="F542" s="144">
        <v>0</v>
      </c>
    </row>
    <row r="543" spans="1:6" x14ac:dyDescent="0.3">
      <c r="A543" s="144">
        <v>500</v>
      </c>
      <c r="B543" s="144" t="s">
        <v>702</v>
      </c>
      <c r="C543" s="144">
        <v>6655</v>
      </c>
      <c r="D543" s="144" t="s">
        <v>808</v>
      </c>
      <c r="E543" s="144">
        <v>13.4</v>
      </c>
      <c r="F543" s="144">
        <v>5.75</v>
      </c>
    </row>
    <row r="544" spans="1:6" x14ac:dyDescent="0.3">
      <c r="A544" s="144">
        <v>500</v>
      </c>
      <c r="B544" s="144" t="s">
        <v>702</v>
      </c>
      <c r="C544" s="144">
        <v>6670</v>
      </c>
      <c r="D544" s="144" t="s">
        <v>788</v>
      </c>
      <c r="E544" s="144">
        <v>0</v>
      </c>
      <c r="F544" s="144">
        <v>957.22</v>
      </c>
    </row>
    <row r="545" spans="1:6" x14ac:dyDescent="0.3">
      <c r="A545" s="144">
        <v>500</v>
      </c>
      <c r="B545" s="144" t="s">
        <v>702</v>
      </c>
      <c r="C545" s="144">
        <v>6674</v>
      </c>
      <c r="D545" s="144" t="s">
        <v>594</v>
      </c>
      <c r="E545" s="144">
        <v>188.34</v>
      </c>
      <c r="F545" s="144">
        <v>0</v>
      </c>
    </row>
    <row r="546" spans="1:6" x14ac:dyDescent="0.3">
      <c r="A546" s="144">
        <v>500</v>
      </c>
      <c r="B546" s="144" t="s">
        <v>702</v>
      </c>
      <c r="C546" s="144">
        <v>6682</v>
      </c>
      <c r="D546" s="144" t="s">
        <v>506</v>
      </c>
      <c r="E546" s="144">
        <v>150.66999999999999</v>
      </c>
      <c r="F546" s="144">
        <v>0</v>
      </c>
    </row>
    <row r="547" spans="1:6" x14ac:dyDescent="0.3">
      <c r="A547" s="144">
        <v>500</v>
      </c>
      <c r="B547" s="144" t="s">
        <v>702</v>
      </c>
      <c r="C547" s="144">
        <v>6711</v>
      </c>
      <c r="D547" s="144" t="s">
        <v>522</v>
      </c>
      <c r="E547" s="144">
        <v>401.79</v>
      </c>
      <c r="F547" s="144">
        <v>0</v>
      </c>
    </row>
    <row r="548" spans="1:6" x14ac:dyDescent="0.3">
      <c r="A548" s="144">
        <v>500</v>
      </c>
      <c r="B548" s="144" t="s">
        <v>702</v>
      </c>
      <c r="C548" s="144">
        <v>6722</v>
      </c>
      <c r="D548" s="144" t="s">
        <v>539</v>
      </c>
      <c r="E548" s="144">
        <v>113</v>
      </c>
      <c r="F548" s="144">
        <v>0</v>
      </c>
    </row>
    <row r="549" spans="1:6" x14ac:dyDescent="0.3">
      <c r="A549" s="144">
        <v>500</v>
      </c>
      <c r="B549" s="144" t="s">
        <v>702</v>
      </c>
      <c r="C549" s="144">
        <v>6728</v>
      </c>
      <c r="D549" s="144" t="s">
        <v>544</v>
      </c>
      <c r="E549" s="144">
        <v>3452.85</v>
      </c>
      <c r="F549" s="144">
        <v>0</v>
      </c>
    </row>
    <row r="550" spans="1:6" x14ac:dyDescent="0.3">
      <c r="A550" s="144">
        <v>500</v>
      </c>
      <c r="B550" s="144" t="s">
        <v>702</v>
      </c>
      <c r="C550" s="144">
        <v>6746</v>
      </c>
      <c r="D550" s="144" t="s">
        <v>569</v>
      </c>
      <c r="E550" s="144">
        <v>373.54</v>
      </c>
      <c r="F550" s="144">
        <v>160.08000000000001</v>
      </c>
    </row>
    <row r="551" spans="1:6" x14ac:dyDescent="0.3">
      <c r="A551" s="144">
        <v>500</v>
      </c>
      <c r="B551" s="144" t="s">
        <v>702</v>
      </c>
      <c r="C551" s="144">
        <v>6755</v>
      </c>
      <c r="D551" s="144" t="s">
        <v>581</v>
      </c>
      <c r="E551" s="144">
        <v>3076.18</v>
      </c>
      <c r="F551" s="144">
        <v>1318.36</v>
      </c>
    </row>
    <row r="552" spans="1:6" x14ac:dyDescent="0.3">
      <c r="A552" s="144">
        <v>500</v>
      </c>
      <c r="B552" s="144" t="s">
        <v>702</v>
      </c>
      <c r="C552" s="144">
        <v>6768</v>
      </c>
      <c r="D552" s="144" t="s">
        <v>460</v>
      </c>
      <c r="E552" s="144">
        <v>0</v>
      </c>
      <c r="F552" s="144">
        <v>6.28</v>
      </c>
    </row>
    <row r="553" spans="1:6" x14ac:dyDescent="0.3">
      <c r="A553" s="144">
        <v>500</v>
      </c>
      <c r="B553" s="144" t="s">
        <v>702</v>
      </c>
      <c r="C553" s="144">
        <v>6771</v>
      </c>
      <c r="D553" s="144" t="s">
        <v>459</v>
      </c>
      <c r="E553" s="144">
        <v>0</v>
      </c>
      <c r="F553" s="144">
        <v>3.14</v>
      </c>
    </row>
    <row r="554" spans="1:6" x14ac:dyDescent="0.3">
      <c r="A554" s="144">
        <v>500</v>
      </c>
      <c r="B554" s="144" t="s">
        <v>702</v>
      </c>
      <c r="C554" s="144">
        <v>6773</v>
      </c>
      <c r="D554" s="144" t="s">
        <v>468</v>
      </c>
      <c r="E554" s="144">
        <v>0</v>
      </c>
      <c r="F554" s="144">
        <v>109.87</v>
      </c>
    </row>
    <row r="555" spans="1:6" x14ac:dyDescent="0.3">
      <c r="A555" s="144">
        <v>500</v>
      </c>
      <c r="B555" s="144" t="s">
        <v>702</v>
      </c>
      <c r="C555" s="144">
        <v>6779</v>
      </c>
      <c r="D555" s="144" t="s">
        <v>478</v>
      </c>
      <c r="E555" s="144">
        <v>0</v>
      </c>
      <c r="F555" s="144">
        <v>627.79</v>
      </c>
    </row>
    <row r="556" spans="1:6" x14ac:dyDescent="0.3">
      <c r="A556" s="144">
        <v>500</v>
      </c>
      <c r="B556" s="144" t="s">
        <v>702</v>
      </c>
      <c r="C556" s="144">
        <v>6780</v>
      </c>
      <c r="D556" s="144" t="s">
        <v>479</v>
      </c>
      <c r="E556" s="144">
        <v>0</v>
      </c>
      <c r="F556" s="144">
        <v>627.79</v>
      </c>
    </row>
    <row r="557" spans="1:6" x14ac:dyDescent="0.3">
      <c r="A557" s="144">
        <v>500</v>
      </c>
      <c r="B557" s="144" t="s">
        <v>702</v>
      </c>
      <c r="C557" s="144">
        <v>6801</v>
      </c>
      <c r="D557" s="144" t="s">
        <v>493</v>
      </c>
      <c r="E557" s="144">
        <v>0</v>
      </c>
      <c r="F557" s="144">
        <v>1412.53</v>
      </c>
    </row>
    <row r="558" spans="1:6" x14ac:dyDescent="0.3">
      <c r="A558" s="144">
        <v>500</v>
      </c>
      <c r="B558" s="144" t="s">
        <v>702</v>
      </c>
      <c r="C558" s="144">
        <v>6803</v>
      </c>
      <c r="D558" s="144" t="s">
        <v>496</v>
      </c>
      <c r="E558" s="144">
        <v>0</v>
      </c>
      <c r="F558" s="144">
        <v>373.54</v>
      </c>
    </row>
    <row r="559" spans="1:6" x14ac:dyDescent="0.3">
      <c r="A559" s="144">
        <v>500</v>
      </c>
      <c r="B559" s="144" t="s">
        <v>702</v>
      </c>
      <c r="C559" s="144">
        <v>6806</v>
      </c>
      <c r="D559" s="144" t="s">
        <v>609</v>
      </c>
      <c r="E559" s="144">
        <v>131.83000000000001</v>
      </c>
      <c r="F559" s="144">
        <v>56.5</v>
      </c>
    </row>
    <row r="560" spans="1:6" x14ac:dyDescent="0.3">
      <c r="A560" s="144">
        <v>500</v>
      </c>
      <c r="B560" s="144" t="s">
        <v>702</v>
      </c>
      <c r="C560" s="144">
        <v>6812</v>
      </c>
      <c r="D560" s="144" t="s">
        <v>613</v>
      </c>
      <c r="E560" s="144">
        <v>144.4</v>
      </c>
      <c r="F560" s="144">
        <v>59.64</v>
      </c>
    </row>
    <row r="561" spans="1:6" x14ac:dyDescent="0.3">
      <c r="A561" s="144">
        <v>500</v>
      </c>
      <c r="B561" s="144" t="s">
        <v>702</v>
      </c>
      <c r="C561" s="144">
        <v>6818</v>
      </c>
      <c r="D561" s="144" t="s">
        <v>623</v>
      </c>
      <c r="E561" s="144">
        <v>131.83000000000001</v>
      </c>
      <c r="F561" s="144">
        <v>56.5</v>
      </c>
    </row>
    <row r="562" spans="1:6" x14ac:dyDescent="0.3">
      <c r="A562" s="144">
        <v>500</v>
      </c>
      <c r="B562" s="144" t="s">
        <v>702</v>
      </c>
      <c r="C562" s="144">
        <v>6822</v>
      </c>
      <c r="D562" s="144" t="s">
        <v>621</v>
      </c>
      <c r="E562" s="144">
        <v>197.76</v>
      </c>
      <c r="F562" s="144">
        <v>84.75</v>
      </c>
    </row>
    <row r="563" spans="1:6" x14ac:dyDescent="0.3">
      <c r="A563" s="144">
        <v>500</v>
      </c>
      <c r="B563" s="144" t="s">
        <v>702</v>
      </c>
      <c r="C563" s="144">
        <v>6824</v>
      </c>
      <c r="D563" s="144" t="s">
        <v>628</v>
      </c>
      <c r="E563" s="144">
        <v>100.45</v>
      </c>
      <c r="F563" s="144">
        <v>40.81</v>
      </c>
    </row>
    <row r="564" spans="1:6" x14ac:dyDescent="0.3">
      <c r="A564" s="144">
        <v>500</v>
      </c>
      <c r="B564" s="144" t="s">
        <v>702</v>
      </c>
      <c r="C564" s="144">
        <v>6829</v>
      </c>
      <c r="D564" s="144" t="s">
        <v>633</v>
      </c>
      <c r="E564" s="144">
        <v>78.47</v>
      </c>
      <c r="F564" s="144">
        <v>31.39</v>
      </c>
    </row>
    <row r="565" spans="1:6" x14ac:dyDescent="0.3">
      <c r="A565" s="144">
        <v>500</v>
      </c>
      <c r="B565" s="144" t="s">
        <v>702</v>
      </c>
      <c r="C565" s="144">
        <v>6830</v>
      </c>
      <c r="D565" s="144" t="s">
        <v>634</v>
      </c>
      <c r="E565" s="144">
        <v>100.45</v>
      </c>
      <c r="F565" s="144">
        <v>40.81</v>
      </c>
    </row>
    <row r="566" spans="1:6" x14ac:dyDescent="0.3">
      <c r="A566" s="144">
        <v>500</v>
      </c>
      <c r="B566" s="144" t="s">
        <v>702</v>
      </c>
      <c r="C566" s="144">
        <v>6851</v>
      </c>
      <c r="D566" s="144" t="s">
        <v>562</v>
      </c>
      <c r="E566" s="144">
        <v>2197.27</v>
      </c>
      <c r="F566" s="144">
        <v>941.69</v>
      </c>
    </row>
    <row r="567" spans="1:6" x14ac:dyDescent="0.3">
      <c r="A567" s="144">
        <v>500</v>
      </c>
      <c r="B567" s="144" t="s">
        <v>702</v>
      </c>
      <c r="C567" s="144">
        <v>6859</v>
      </c>
      <c r="D567" s="144" t="s">
        <v>692</v>
      </c>
      <c r="E567" s="144">
        <v>0</v>
      </c>
      <c r="F567" s="144">
        <v>131.83000000000001</v>
      </c>
    </row>
    <row r="568" spans="1:6" x14ac:dyDescent="0.3">
      <c r="A568" s="144">
        <v>500</v>
      </c>
      <c r="B568" s="144" t="s">
        <v>702</v>
      </c>
      <c r="C568" s="144">
        <v>6884</v>
      </c>
      <c r="D568" s="144" t="s">
        <v>949</v>
      </c>
      <c r="E568" s="144">
        <v>478.61</v>
      </c>
      <c r="F568" s="144">
        <v>0</v>
      </c>
    </row>
    <row r="569" spans="1:6" x14ac:dyDescent="0.3">
      <c r="A569" s="144">
        <v>500</v>
      </c>
      <c r="B569" s="144" t="s">
        <v>702</v>
      </c>
      <c r="C569" s="144">
        <v>6889</v>
      </c>
      <c r="D569" s="144" t="s">
        <v>900</v>
      </c>
      <c r="E569" s="144">
        <v>0</v>
      </c>
      <c r="F569" s="144">
        <v>36.369999999999997</v>
      </c>
    </row>
    <row r="570" spans="1:6" x14ac:dyDescent="0.3">
      <c r="A570" s="144">
        <v>500</v>
      </c>
      <c r="B570" s="144" t="s">
        <v>702</v>
      </c>
      <c r="C570" s="144">
        <v>6918</v>
      </c>
      <c r="D570" s="144" t="s">
        <v>892</v>
      </c>
      <c r="E570" s="144">
        <v>153.16</v>
      </c>
      <c r="F570" s="144">
        <v>65.09</v>
      </c>
    </row>
    <row r="571" spans="1:6" x14ac:dyDescent="0.3">
      <c r="A571" s="144">
        <v>500</v>
      </c>
      <c r="B571" s="144" t="s">
        <v>702</v>
      </c>
      <c r="C571" s="144">
        <v>6933</v>
      </c>
      <c r="D571" s="144" t="s">
        <v>1003</v>
      </c>
      <c r="E571" s="144">
        <v>704.52</v>
      </c>
      <c r="F571" s="144">
        <v>301.52999999999997</v>
      </c>
    </row>
    <row r="572" spans="1:6" x14ac:dyDescent="0.3">
      <c r="A572" s="144">
        <v>500</v>
      </c>
      <c r="B572" s="144" t="s">
        <v>702</v>
      </c>
      <c r="C572" s="144">
        <v>6982</v>
      </c>
      <c r="D572" s="144" t="s">
        <v>981</v>
      </c>
      <c r="E572" s="144">
        <v>124.44</v>
      </c>
      <c r="F572" s="144">
        <v>0</v>
      </c>
    </row>
    <row r="573" spans="1:6" x14ac:dyDescent="0.3">
      <c r="A573" s="144">
        <v>500</v>
      </c>
      <c r="B573" s="144" t="s">
        <v>702</v>
      </c>
      <c r="C573" s="144">
        <v>7135</v>
      </c>
      <c r="D573" s="144" t="s">
        <v>922</v>
      </c>
      <c r="E573" s="144">
        <v>0</v>
      </c>
      <c r="F573" s="144">
        <v>124.44</v>
      </c>
    </row>
    <row r="574" spans="1:6" x14ac:dyDescent="0.3">
      <c r="A574" s="144">
        <v>500</v>
      </c>
      <c r="B574" s="144" t="s">
        <v>702</v>
      </c>
      <c r="C574" s="144">
        <v>7175</v>
      </c>
      <c r="D574" s="144" t="s">
        <v>1024</v>
      </c>
      <c r="E574" s="144">
        <v>0</v>
      </c>
      <c r="F574" s="144">
        <v>287.17</v>
      </c>
    </row>
    <row r="575" spans="1:6" x14ac:dyDescent="0.3">
      <c r="A575" s="144">
        <v>500</v>
      </c>
      <c r="B575" s="144" t="s">
        <v>702</v>
      </c>
      <c r="C575" s="144">
        <v>7201</v>
      </c>
      <c r="D575" s="144" t="s">
        <v>927</v>
      </c>
      <c r="E575" s="144">
        <v>0</v>
      </c>
      <c r="F575" s="144">
        <v>71.8</v>
      </c>
    </row>
    <row r="576" spans="1:6" x14ac:dyDescent="0.3">
      <c r="A576" s="144">
        <v>500</v>
      </c>
      <c r="B576" s="144" t="s">
        <v>702</v>
      </c>
      <c r="C576" s="144">
        <v>7540</v>
      </c>
      <c r="D576" s="144" t="s">
        <v>809</v>
      </c>
      <c r="E576" s="144">
        <v>122.53</v>
      </c>
      <c r="F576" s="144">
        <v>52.64</v>
      </c>
    </row>
    <row r="577" spans="1:6" x14ac:dyDescent="0.3">
      <c r="A577" s="144">
        <v>500</v>
      </c>
      <c r="B577" s="144" t="s">
        <v>702</v>
      </c>
      <c r="C577" s="144">
        <v>7895</v>
      </c>
      <c r="D577" s="144" t="s">
        <v>588</v>
      </c>
      <c r="E577" s="144">
        <v>100.45</v>
      </c>
      <c r="F577" s="144">
        <v>40.81</v>
      </c>
    </row>
    <row r="578" spans="1:6" x14ac:dyDescent="0.3">
      <c r="A578" s="144">
        <v>500</v>
      </c>
      <c r="B578" s="144" t="s">
        <v>702</v>
      </c>
      <c r="C578" s="144">
        <v>7954</v>
      </c>
      <c r="D578" s="144" t="s">
        <v>817</v>
      </c>
      <c r="E578" s="144">
        <v>150.66999999999999</v>
      </c>
      <c r="F578" s="144">
        <v>0</v>
      </c>
    </row>
    <row r="579" spans="1:6" x14ac:dyDescent="0.3">
      <c r="A579" s="144">
        <v>500</v>
      </c>
      <c r="B579" s="144" t="s">
        <v>702</v>
      </c>
      <c r="C579" s="144">
        <v>8091</v>
      </c>
      <c r="D579" s="144" t="s">
        <v>800</v>
      </c>
      <c r="E579" s="144">
        <v>38.28</v>
      </c>
      <c r="F579" s="144">
        <v>0</v>
      </c>
    </row>
    <row r="580" spans="1:6" x14ac:dyDescent="0.3">
      <c r="A580" s="144">
        <v>500</v>
      </c>
      <c r="B580" s="144" t="s">
        <v>702</v>
      </c>
      <c r="C580" s="144">
        <v>8771</v>
      </c>
      <c r="D580" s="144" t="s">
        <v>464</v>
      </c>
      <c r="E580" s="144">
        <v>0</v>
      </c>
      <c r="F580" s="144">
        <v>373.54</v>
      </c>
    </row>
    <row r="581" spans="1:6" x14ac:dyDescent="0.3">
      <c r="A581" s="144">
        <v>150</v>
      </c>
      <c r="B581" s="144" t="s">
        <v>703</v>
      </c>
      <c r="C581" s="144">
        <v>92324</v>
      </c>
      <c r="D581" s="144" t="s">
        <v>906</v>
      </c>
      <c r="E581" s="144">
        <v>87.11</v>
      </c>
      <c r="F581" s="144">
        <v>0</v>
      </c>
    </row>
  </sheetData>
  <autoFilter ref="A1:H192" xr:uid="{00000000-0009-0000-0000-000005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Q1024"/>
  <sheetViews>
    <sheetView topLeftCell="A376" workbookViewId="0">
      <selection activeCell="A2" sqref="A2:C421"/>
    </sheetView>
  </sheetViews>
  <sheetFormatPr defaultColWidth="14.44140625" defaultRowHeight="15" customHeight="1" x14ac:dyDescent="0.3"/>
  <cols>
    <col min="1" max="1" width="19.44140625" style="129" customWidth="1"/>
    <col min="2" max="2" width="70.6640625" style="126" customWidth="1"/>
    <col min="3" max="3" width="15.88671875" style="129" customWidth="1"/>
    <col min="4" max="13" width="13.33203125" customWidth="1"/>
  </cols>
  <sheetData>
    <row r="1" spans="1:13" s="134" customFormat="1" ht="28.5" customHeight="1" x14ac:dyDescent="0.4">
      <c r="A1" s="135" t="s">
        <v>11</v>
      </c>
      <c r="B1" s="135" t="s">
        <v>12</v>
      </c>
      <c r="C1" s="135" t="s">
        <v>13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pans="1:13" ht="21" customHeight="1" x14ac:dyDescent="0.4">
      <c r="A2" s="98">
        <v>623</v>
      </c>
      <c r="B2" s="115" t="s">
        <v>14</v>
      </c>
      <c r="C2" s="99" t="s">
        <v>15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1" customHeight="1" x14ac:dyDescent="0.4">
      <c r="A3" s="100">
        <v>3752</v>
      </c>
      <c r="B3" s="116" t="s">
        <v>16</v>
      </c>
      <c r="C3" s="99" t="s">
        <v>17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1" customHeight="1" x14ac:dyDescent="0.4">
      <c r="A4" s="100">
        <v>3752</v>
      </c>
      <c r="B4" s="116" t="s">
        <v>16</v>
      </c>
      <c r="C4" s="101" t="s">
        <v>17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1" customHeight="1" x14ac:dyDescent="0.4">
      <c r="A5" s="100">
        <v>113</v>
      </c>
      <c r="B5" s="116" t="s">
        <v>18</v>
      </c>
      <c r="C5" s="99" t="s">
        <v>17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21" customHeight="1" x14ac:dyDescent="0.4">
      <c r="A6" s="100">
        <v>2814</v>
      </c>
      <c r="B6" s="116" t="s">
        <v>19</v>
      </c>
      <c r="C6" s="99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" customHeight="1" x14ac:dyDescent="0.4">
      <c r="A7" s="100">
        <v>121</v>
      </c>
      <c r="B7" s="116" t="s">
        <v>20</v>
      </c>
      <c r="C7" s="99" t="s">
        <v>17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21" customHeight="1" x14ac:dyDescent="0.4">
      <c r="A8" s="100">
        <v>90308</v>
      </c>
      <c r="B8" s="116" t="s">
        <v>21</v>
      </c>
      <c r="C8" s="99" t="s">
        <v>22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21" customHeight="1" x14ac:dyDescent="0.4">
      <c r="A9" s="100">
        <v>90309</v>
      </c>
      <c r="B9" s="116" t="s">
        <v>23</v>
      </c>
      <c r="C9" s="99" t="s">
        <v>22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21" customHeight="1" x14ac:dyDescent="0.4">
      <c r="A10" s="100">
        <v>90310</v>
      </c>
      <c r="B10" s="116" t="s">
        <v>24</v>
      </c>
      <c r="C10" s="99" t="s">
        <v>22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1" customHeight="1" x14ac:dyDescent="0.4">
      <c r="A11" s="100">
        <v>90315</v>
      </c>
      <c r="B11" s="116" t="s">
        <v>25</v>
      </c>
      <c r="C11" s="99" t="s">
        <v>22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21" customHeight="1" x14ac:dyDescent="0.4">
      <c r="A12" s="100">
        <v>90303</v>
      </c>
      <c r="B12" s="116" t="s">
        <v>26</v>
      </c>
      <c r="C12" s="99" t="s">
        <v>22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21" customHeight="1" x14ac:dyDescent="0.4">
      <c r="A13" s="100">
        <v>90305</v>
      </c>
      <c r="B13" s="116" t="s">
        <v>27</v>
      </c>
      <c r="C13" s="99" t="s">
        <v>22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21" customHeight="1" x14ac:dyDescent="0.4">
      <c r="A14" s="100">
        <v>2883</v>
      </c>
      <c r="B14" s="116" t="s">
        <v>28</v>
      </c>
      <c r="C14" s="99" t="s">
        <v>17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21" customHeight="1" x14ac:dyDescent="0.4">
      <c r="A15" s="100">
        <v>4239</v>
      </c>
      <c r="B15" s="116" t="s">
        <v>29</v>
      </c>
      <c r="C15" s="99" t="s">
        <v>17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21" customHeight="1" x14ac:dyDescent="0.4">
      <c r="A16" s="100">
        <v>90012</v>
      </c>
      <c r="B16" s="116" t="s">
        <v>30</v>
      </c>
      <c r="C16" s="99" t="s">
        <v>17</v>
      </c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21" customHeight="1" x14ac:dyDescent="0.4">
      <c r="A17" s="100">
        <v>90013</v>
      </c>
      <c r="B17" s="116" t="s">
        <v>31</v>
      </c>
      <c r="C17" s="99" t="s">
        <v>17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21" customHeight="1" x14ac:dyDescent="0.4">
      <c r="A18" s="100">
        <v>2815</v>
      </c>
      <c r="B18" s="116" t="s">
        <v>32</v>
      </c>
      <c r="C18" s="99" t="s">
        <v>17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21" customHeight="1" x14ac:dyDescent="0.4">
      <c r="A19" s="100">
        <v>2817</v>
      </c>
      <c r="B19" s="116" t="s">
        <v>33</v>
      </c>
      <c r="C19" s="99" t="s">
        <v>17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21" customHeight="1" x14ac:dyDescent="0.4">
      <c r="A20" s="100">
        <v>2880</v>
      </c>
      <c r="B20" s="116" t="s">
        <v>34</v>
      </c>
      <c r="C20" s="99" t="s">
        <v>17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21" customHeight="1" x14ac:dyDescent="0.4">
      <c r="A21" s="100">
        <v>90537</v>
      </c>
      <c r="B21" s="116" t="s">
        <v>35</v>
      </c>
      <c r="C21" s="99" t="s">
        <v>22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21" customHeight="1" x14ac:dyDescent="0.4">
      <c r="A22" s="100">
        <v>90538</v>
      </c>
      <c r="B22" s="116" t="s">
        <v>36</v>
      </c>
      <c r="C22" s="99" t="s">
        <v>22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21" customHeight="1" x14ac:dyDescent="0.4">
      <c r="A23" s="102">
        <v>90300</v>
      </c>
      <c r="B23" s="117" t="s">
        <v>37</v>
      </c>
      <c r="C23" s="101" t="s">
        <v>38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1" customHeight="1" x14ac:dyDescent="0.4">
      <c r="A24" s="100">
        <v>90393</v>
      </c>
      <c r="B24" s="116" t="s">
        <v>39</v>
      </c>
      <c r="C24" s="99" t="s">
        <v>22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21" customHeight="1" x14ac:dyDescent="0.4">
      <c r="A25" s="100">
        <v>2966</v>
      </c>
      <c r="B25" s="116" t="s">
        <v>40</v>
      </c>
      <c r="C25" s="99" t="s">
        <v>17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21" customHeight="1" x14ac:dyDescent="0.4">
      <c r="A26" s="100">
        <v>669975</v>
      </c>
      <c r="B26" s="116" t="s">
        <v>41</v>
      </c>
      <c r="C26" s="99" t="s">
        <v>17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21" customHeight="1" x14ac:dyDescent="0.4">
      <c r="A27" s="100">
        <v>37645</v>
      </c>
      <c r="B27" s="116" t="s">
        <v>42</v>
      </c>
      <c r="C27" s="99" t="s">
        <v>17</v>
      </c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21" customHeight="1" x14ac:dyDescent="0.4">
      <c r="A28" s="101">
        <v>3055</v>
      </c>
      <c r="B28" s="121" t="s">
        <v>43</v>
      </c>
      <c r="C28" s="101" t="s">
        <v>17</v>
      </c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21" customHeight="1" x14ac:dyDescent="0.4">
      <c r="A29" s="100">
        <v>90389</v>
      </c>
      <c r="B29" s="116" t="s">
        <v>44</v>
      </c>
      <c r="C29" s="99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1" customHeight="1" x14ac:dyDescent="0.4">
      <c r="A30" s="100">
        <v>90540</v>
      </c>
      <c r="B30" s="116" t="s">
        <v>45</v>
      </c>
      <c r="C30" s="99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21" customHeight="1" x14ac:dyDescent="0.4">
      <c r="A31" s="100">
        <v>90542</v>
      </c>
      <c r="B31" s="116" t="s">
        <v>46</v>
      </c>
      <c r="C31" s="99" t="s">
        <v>22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21" customHeight="1" x14ac:dyDescent="0.4">
      <c r="A32" s="100">
        <v>90536</v>
      </c>
      <c r="B32" s="116" t="s">
        <v>1344</v>
      </c>
      <c r="C32" s="99" t="s">
        <v>22</v>
      </c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21" customHeight="1" x14ac:dyDescent="0.4">
      <c r="A33" s="100">
        <v>90544</v>
      </c>
      <c r="B33" s="116" t="s">
        <v>47</v>
      </c>
      <c r="C33" s="99" t="s">
        <v>22</v>
      </c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21" customHeight="1" x14ac:dyDescent="0.4">
      <c r="A34" s="100">
        <v>2886</v>
      </c>
      <c r="B34" s="116" t="s">
        <v>48</v>
      </c>
      <c r="C34" s="99" t="s">
        <v>15</v>
      </c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21" customHeight="1" x14ac:dyDescent="0.4">
      <c r="A35" s="100">
        <v>126</v>
      </c>
      <c r="B35" s="116" t="s">
        <v>49</v>
      </c>
      <c r="C35" s="99" t="s">
        <v>15</v>
      </c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21" customHeight="1" x14ac:dyDescent="0.4">
      <c r="A36" s="100">
        <v>90259</v>
      </c>
      <c r="B36" s="116" t="s">
        <v>50</v>
      </c>
      <c r="C36" s="99" t="s">
        <v>38</v>
      </c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ht="21" customHeight="1" x14ac:dyDescent="0.4">
      <c r="A37" s="100">
        <v>90258</v>
      </c>
      <c r="B37" s="116" t="s">
        <v>51</v>
      </c>
      <c r="C37" s="99" t="s">
        <v>38</v>
      </c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21" customHeight="1" x14ac:dyDescent="0.4">
      <c r="A38" s="100">
        <v>90258</v>
      </c>
      <c r="B38" s="116" t="s">
        <v>51</v>
      </c>
      <c r="C38" s="99" t="s">
        <v>38</v>
      </c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ht="21" customHeight="1" x14ac:dyDescent="0.4">
      <c r="A39" s="101">
        <v>90258</v>
      </c>
      <c r="B39" s="121" t="s">
        <v>51</v>
      </c>
      <c r="C39" s="101" t="s">
        <v>38</v>
      </c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21" customHeight="1" x14ac:dyDescent="0.4">
      <c r="A40" s="100">
        <v>90261</v>
      </c>
      <c r="B40" s="116" t="s">
        <v>52</v>
      </c>
      <c r="C40" s="99" t="s">
        <v>38</v>
      </c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21" customHeight="1" x14ac:dyDescent="0.4">
      <c r="A41" s="100">
        <v>90260</v>
      </c>
      <c r="B41" s="116" t="s">
        <v>53</v>
      </c>
      <c r="C41" s="99" t="s">
        <v>38</v>
      </c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21" customHeight="1" x14ac:dyDescent="0.4">
      <c r="A42" s="100">
        <v>90263</v>
      </c>
      <c r="B42" s="116" t="s">
        <v>54</v>
      </c>
      <c r="C42" s="99" t="s">
        <v>38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ht="21" customHeight="1" x14ac:dyDescent="0.4">
      <c r="A43" s="100">
        <v>90262</v>
      </c>
      <c r="B43" s="116" t="s">
        <v>55</v>
      </c>
      <c r="C43" s="99" t="s">
        <v>38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21" customHeight="1" x14ac:dyDescent="0.4">
      <c r="A44" s="100">
        <v>90560</v>
      </c>
      <c r="B44" s="116" t="s">
        <v>56</v>
      </c>
      <c r="C44" s="99" t="s">
        <v>38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ht="21" customHeight="1" x14ac:dyDescent="0.4">
      <c r="A45" s="100">
        <v>90264</v>
      </c>
      <c r="B45" s="116" t="s">
        <v>57</v>
      </c>
      <c r="C45" s="99" t="s">
        <v>38</v>
      </c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ht="21" customHeight="1" x14ac:dyDescent="0.4">
      <c r="A46" s="100">
        <v>90264</v>
      </c>
      <c r="B46" s="116" t="s">
        <v>57</v>
      </c>
      <c r="C46" s="99" t="s">
        <v>38</v>
      </c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ht="21" customHeight="1" x14ac:dyDescent="0.4">
      <c r="A47" s="100">
        <v>90264</v>
      </c>
      <c r="B47" s="116" t="s">
        <v>57</v>
      </c>
      <c r="C47" s="99" t="s">
        <v>38</v>
      </c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ht="21" customHeight="1" x14ac:dyDescent="0.4">
      <c r="A48" s="100">
        <v>621837</v>
      </c>
      <c r="B48" s="116" t="s">
        <v>58</v>
      </c>
      <c r="C48" s="99" t="s">
        <v>38</v>
      </c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21" customHeight="1" x14ac:dyDescent="0.4">
      <c r="A49" s="100">
        <v>1945</v>
      </c>
      <c r="B49" s="116" t="s">
        <v>59</v>
      </c>
      <c r="C49" s="99" t="s">
        <v>38</v>
      </c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21" customHeight="1" x14ac:dyDescent="0.4">
      <c r="A50" s="103">
        <v>603821</v>
      </c>
      <c r="B50" s="104" t="s">
        <v>60</v>
      </c>
      <c r="C50" s="101" t="s">
        <v>15</v>
      </c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ht="21" customHeight="1" x14ac:dyDescent="0.4">
      <c r="A51" s="100">
        <v>447</v>
      </c>
      <c r="B51" s="116" t="s">
        <v>61</v>
      </c>
      <c r="C51" s="101" t="s">
        <v>15</v>
      </c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21" customHeight="1" x14ac:dyDescent="0.4">
      <c r="A52" s="102">
        <v>628213</v>
      </c>
      <c r="B52" s="117" t="s">
        <v>62</v>
      </c>
      <c r="C52" s="101" t="s">
        <v>15</v>
      </c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ht="21" customHeight="1" x14ac:dyDescent="0.4">
      <c r="A53" s="100">
        <v>3098</v>
      </c>
      <c r="B53" s="116" t="s">
        <v>63</v>
      </c>
      <c r="C53" s="99" t="s">
        <v>15</v>
      </c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ht="21" customHeight="1" x14ac:dyDescent="0.4">
      <c r="A54" s="101">
        <v>3098</v>
      </c>
      <c r="B54" s="121" t="s">
        <v>63</v>
      </c>
      <c r="C54" s="101" t="s">
        <v>15</v>
      </c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ht="21" customHeight="1" x14ac:dyDescent="0.4">
      <c r="A55" s="100">
        <v>90272</v>
      </c>
      <c r="B55" s="116" t="s">
        <v>64</v>
      </c>
      <c r="C55" s="99" t="s">
        <v>15</v>
      </c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ht="21" customHeight="1" x14ac:dyDescent="0.4">
      <c r="A56" s="100">
        <v>90274</v>
      </c>
      <c r="B56" s="116" t="s">
        <v>65</v>
      </c>
      <c r="C56" s="99" t="s">
        <v>15</v>
      </c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ht="21" customHeight="1" x14ac:dyDescent="0.4">
      <c r="A57" s="100">
        <v>90283</v>
      </c>
      <c r="B57" s="116" t="s">
        <v>66</v>
      </c>
      <c r="C57" s="99" t="s">
        <v>15</v>
      </c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ht="21" customHeight="1" x14ac:dyDescent="0.4">
      <c r="A58" s="100">
        <v>90285</v>
      </c>
      <c r="B58" s="116" t="s">
        <v>67</v>
      </c>
      <c r="C58" s="99" t="s">
        <v>15</v>
      </c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ht="21" customHeight="1" x14ac:dyDescent="0.4">
      <c r="A59" s="100">
        <v>90290</v>
      </c>
      <c r="B59" s="116" t="s">
        <v>68</v>
      </c>
      <c r="C59" s="99" t="s">
        <v>15</v>
      </c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ht="21" customHeight="1" x14ac:dyDescent="0.4">
      <c r="A60" s="100">
        <v>90290</v>
      </c>
      <c r="B60" s="116" t="s">
        <v>68</v>
      </c>
      <c r="C60" s="99" t="s">
        <v>15</v>
      </c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ht="21" customHeight="1" x14ac:dyDescent="0.4">
      <c r="A61" s="100">
        <v>90287</v>
      </c>
      <c r="B61" s="116" t="s">
        <v>69</v>
      </c>
      <c r="C61" s="99" t="s">
        <v>15</v>
      </c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ht="21" customHeight="1" x14ac:dyDescent="0.4">
      <c r="A62" s="100">
        <v>90288</v>
      </c>
      <c r="B62" s="116" t="s">
        <v>70</v>
      </c>
      <c r="C62" s="99" t="s">
        <v>15</v>
      </c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ht="21" customHeight="1" x14ac:dyDescent="0.4">
      <c r="A63" s="100">
        <v>90289</v>
      </c>
      <c r="B63" s="116" t="s">
        <v>71</v>
      </c>
      <c r="C63" s="99" t="s">
        <v>15</v>
      </c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21" customHeight="1" x14ac:dyDescent="0.4">
      <c r="A64" s="101">
        <v>602826</v>
      </c>
      <c r="B64" s="121" t="s">
        <v>72</v>
      </c>
      <c r="C64" s="101" t="s">
        <v>15</v>
      </c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ht="21" customHeight="1" x14ac:dyDescent="0.4">
      <c r="A65" s="100">
        <v>90268</v>
      </c>
      <c r="B65" s="116" t="s">
        <v>73</v>
      </c>
      <c r="C65" s="99" t="s">
        <v>15</v>
      </c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ht="21" customHeight="1" x14ac:dyDescent="0.4">
      <c r="A66" s="105">
        <v>2887</v>
      </c>
      <c r="B66" s="119" t="s">
        <v>74</v>
      </c>
      <c r="C66" s="99" t="s">
        <v>15</v>
      </c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ht="21" customHeight="1" x14ac:dyDescent="0.4">
      <c r="A67" s="100">
        <v>90266</v>
      </c>
      <c r="B67" s="116" t="s">
        <v>75</v>
      </c>
      <c r="C67" s="99" t="s">
        <v>15</v>
      </c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ht="21" customHeight="1" x14ac:dyDescent="0.4">
      <c r="A68" s="100">
        <v>90294</v>
      </c>
      <c r="B68" s="116" t="s">
        <v>76</v>
      </c>
      <c r="C68" s="99" t="s">
        <v>15</v>
      </c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ht="21" customHeight="1" x14ac:dyDescent="0.4">
      <c r="A69" s="100">
        <v>630811</v>
      </c>
      <c r="B69" s="116" t="s">
        <v>77</v>
      </c>
      <c r="C69" s="101" t="s">
        <v>17</v>
      </c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ht="21" customHeight="1" x14ac:dyDescent="0.4">
      <c r="A70" s="100">
        <v>628230</v>
      </c>
      <c r="B70" s="116" t="s">
        <v>78</v>
      </c>
      <c r="C70" s="99" t="s">
        <v>17</v>
      </c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ht="21" customHeight="1" x14ac:dyDescent="0.4">
      <c r="A71" s="103">
        <v>4475</v>
      </c>
      <c r="B71" s="106" t="s">
        <v>79</v>
      </c>
      <c r="C71" s="101" t="s">
        <v>17</v>
      </c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ht="21" customHeight="1" x14ac:dyDescent="0.4">
      <c r="A72" s="100">
        <v>500</v>
      </c>
      <c r="B72" s="116" t="s">
        <v>80</v>
      </c>
      <c r="C72" s="99" t="s">
        <v>17</v>
      </c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ht="21" customHeight="1" x14ac:dyDescent="0.4">
      <c r="A73" s="100">
        <v>605063</v>
      </c>
      <c r="B73" s="116" t="s">
        <v>81</v>
      </c>
      <c r="C73" s="99" t="s">
        <v>17</v>
      </c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ht="21" customHeight="1" x14ac:dyDescent="0.4">
      <c r="A74" s="100">
        <v>626351</v>
      </c>
      <c r="B74" s="116" t="s">
        <v>82</v>
      </c>
      <c r="C74" s="99" t="s">
        <v>17</v>
      </c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21" customHeight="1" x14ac:dyDescent="0.4">
      <c r="A75" s="100">
        <v>629492</v>
      </c>
      <c r="B75" s="116" t="s">
        <v>83</v>
      </c>
      <c r="C75" s="101" t="s">
        <v>17</v>
      </c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ht="21" customHeight="1" x14ac:dyDescent="0.4">
      <c r="A76" s="100">
        <v>90486</v>
      </c>
      <c r="B76" s="116" t="s">
        <v>84</v>
      </c>
      <c r="C76" s="99" t="s">
        <v>22</v>
      </c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ht="21" customHeight="1" x14ac:dyDescent="0.4">
      <c r="A77" s="100">
        <v>90487</v>
      </c>
      <c r="B77" s="116" t="s">
        <v>85</v>
      </c>
      <c r="C77" s="99" t="s">
        <v>22</v>
      </c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ht="21" customHeight="1" x14ac:dyDescent="0.4">
      <c r="A78" s="100">
        <v>90488</v>
      </c>
      <c r="B78" s="116" t="s">
        <v>86</v>
      </c>
      <c r="C78" s="99" t="s">
        <v>22</v>
      </c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ht="21" customHeight="1" x14ac:dyDescent="0.4">
      <c r="A79" s="100">
        <v>90298</v>
      </c>
      <c r="B79" s="116" t="s">
        <v>87</v>
      </c>
      <c r="C79" s="101" t="s">
        <v>17</v>
      </c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ht="21" customHeight="1" x14ac:dyDescent="0.4">
      <c r="A80" s="100">
        <v>90298</v>
      </c>
      <c r="B80" s="116" t="s">
        <v>87</v>
      </c>
      <c r="C80" s="101" t="s">
        <v>17</v>
      </c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ht="21" customHeight="1" x14ac:dyDescent="0.4">
      <c r="A81" s="100">
        <v>90299</v>
      </c>
      <c r="B81" s="116" t="s">
        <v>88</v>
      </c>
      <c r="C81" s="101" t="s">
        <v>17</v>
      </c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ht="21" customHeight="1" x14ac:dyDescent="0.4">
      <c r="A82" s="100">
        <v>90299</v>
      </c>
      <c r="B82" s="116" t="s">
        <v>88</v>
      </c>
      <c r="C82" s="101" t="s">
        <v>17</v>
      </c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ht="21" customHeight="1" x14ac:dyDescent="0.4">
      <c r="A83" s="100">
        <v>90518</v>
      </c>
      <c r="B83" s="116" t="s">
        <v>89</v>
      </c>
      <c r="C83" s="101" t="s">
        <v>22</v>
      </c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ht="21" customHeight="1" x14ac:dyDescent="0.4">
      <c r="A84" s="101">
        <v>90547</v>
      </c>
      <c r="B84" s="121" t="s">
        <v>90</v>
      </c>
      <c r="C84" s="101" t="s">
        <v>17</v>
      </c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ht="21" customHeight="1" x14ac:dyDescent="0.4">
      <c r="A85" s="100">
        <v>90547</v>
      </c>
      <c r="B85" s="116" t="s">
        <v>90</v>
      </c>
      <c r="C85" s="99" t="s">
        <v>17</v>
      </c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ht="21" customHeight="1" x14ac:dyDescent="0.4">
      <c r="A86" s="100">
        <v>90548</v>
      </c>
      <c r="B86" s="116" t="s">
        <v>91</v>
      </c>
      <c r="C86" s="99" t="s">
        <v>17</v>
      </c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ht="21" customHeight="1" x14ac:dyDescent="0.4">
      <c r="A87" s="100">
        <v>90550</v>
      </c>
      <c r="B87" s="116" t="s">
        <v>92</v>
      </c>
      <c r="C87" s="99" t="s">
        <v>17</v>
      </c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ht="21" customHeight="1" x14ac:dyDescent="0.4">
      <c r="A88" s="100">
        <v>90549</v>
      </c>
      <c r="B88" s="116" t="s">
        <v>93</v>
      </c>
      <c r="C88" s="101" t="s">
        <v>17</v>
      </c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ht="21" customHeight="1" x14ac:dyDescent="0.4">
      <c r="A89" s="100">
        <v>90551</v>
      </c>
      <c r="B89" s="116" t="s">
        <v>94</v>
      </c>
      <c r="C89" s="99" t="s">
        <v>17</v>
      </c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21" customHeight="1" x14ac:dyDescent="0.4">
      <c r="A90" s="100">
        <v>90554</v>
      </c>
      <c r="B90" s="116" t="s">
        <v>95</v>
      </c>
      <c r="C90" s="99" t="s">
        <v>17</v>
      </c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ht="21" customHeight="1" x14ac:dyDescent="0.4">
      <c r="A91" s="100">
        <v>90553</v>
      </c>
      <c r="B91" s="116" t="s">
        <v>96</v>
      </c>
      <c r="C91" s="99" t="s">
        <v>17</v>
      </c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ht="21" customHeight="1" x14ac:dyDescent="0.4">
      <c r="A92" s="100">
        <v>90556</v>
      </c>
      <c r="B92" s="116" t="s">
        <v>97</v>
      </c>
      <c r="C92" s="99" t="s">
        <v>17</v>
      </c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ht="21" customHeight="1" x14ac:dyDescent="0.4">
      <c r="A93" s="100">
        <v>90214</v>
      </c>
      <c r="B93" s="116" t="s">
        <v>98</v>
      </c>
      <c r="C93" s="99" t="s">
        <v>22</v>
      </c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21" customHeight="1" x14ac:dyDescent="0.4">
      <c r="A94" s="100">
        <v>90230</v>
      </c>
      <c r="B94" s="116" t="s">
        <v>99</v>
      </c>
      <c r="C94" s="99" t="s">
        <v>22</v>
      </c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ht="21" customHeight="1" x14ac:dyDescent="0.4">
      <c r="A95" s="100">
        <v>90215</v>
      </c>
      <c r="B95" s="116" t="s">
        <v>100</v>
      </c>
      <c r="C95" s="99" t="s">
        <v>22</v>
      </c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ht="21" customHeight="1" x14ac:dyDescent="0.4">
      <c r="A96" s="100">
        <v>90216</v>
      </c>
      <c r="B96" s="116" t="s">
        <v>101</v>
      </c>
      <c r="C96" s="99" t="s">
        <v>22</v>
      </c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21" customHeight="1" x14ac:dyDescent="0.4">
      <c r="A97" s="100">
        <v>90217</v>
      </c>
      <c r="B97" s="116" t="s">
        <v>102</v>
      </c>
      <c r="C97" s="99" t="s">
        <v>22</v>
      </c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21" customHeight="1" x14ac:dyDescent="0.4">
      <c r="A98" s="100">
        <v>90218</v>
      </c>
      <c r="B98" s="116" t="s">
        <v>103</v>
      </c>
      <c r="C98" s="99" t="s">
        <v>22</v>
      </c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21" customHeight="1" x14ac:dyDescent="0.4">
      <c r="A99" s="100">
        <v>90219</v>
      </c>
      <c r="B99" s="116" t="s">
        <v>104</v>
      </c>
      <c r="C99" s="99" t="s">
        <v>22</v>
      </c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21" customHeight="1" x14ac:dyDescent="0.4">
      <c r="A100" s="100">
        <v>90231</v>
      </c>
      <c r="B100" s="116" t="s">
        <v>105</v>
      </c>
      <c r="C100" s="99" t="s">
        <v>22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21" customHeight="1" x14ac:dyDescent="0.4">
      <c r="A101" s="100">
        <v>90231</v>
      </c>
      <c r="B101" s="116" t="s">
        <v>105</v>
      </c>
      <c r="C101" s="99" t="s">
        <v>22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21" customHeight="1" x14ac:dyDescent="0.4">
      <c r="A102" s="100">
        <v>90220</v>
      </c>
      <c r="B102" s="116" t="s">
        <v>106</v>
      </c>
      <c r="C102" s="99" t="s">
        <v>22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21" customHeight="1" x14ac:dyDescent="0.4">
      <c r="A103" s="100">
        <v>90221</v>
      </c>
      <c r="B103" s="116" t="s">
        <v>107</v>
      </c>
      <c r="C103" s="99" t="s">
        <v>22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21" customHeight="1" x14ac:dyDescent="0.4">
      <c r="A104" s="100">
        <v>90222</v>
      </c>
      <c r="B104" s="116" t="s">
        <v>108</v>
      </c>
      <c r="C104" s="99" t="s">
        <v>22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21" customHeight="1" x14ac:dyDescent="0.4">
      <c r="A105" s="100">
        <v>90223</v>
      </c>
      <c r="B105" s="116" t="s">
        <v>109</v>
      </c>
      <c r="C105" s="99" t="s">
        <v>22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21" customHeight="1" x14ac:dyDescent="0.4">
      <c r="A106" s="100">
        <v>90232</v>
      </c>
      <c r="B106" s="116" t="s">
        <v>110</v>
      </c>
      <c r="C106" s="99" t="s">
        <v>22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21" customHeight="1" x14ac:dyDescent="0.4">
      <c r="A107" s="100">
        <v>90224</v>
      </c>
      <c r="B107" s="116" t="s">
        <v>111</v>
      </c>
      <c r="C107" s="99" t="s">
        <v>22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21" customHeight="1" x14ac:dyDescent="0.4">
      <c r="A108" s="100">
        <v>90225</v>
      </c>
      <c r="B108" s="116" t="s">
        <v>112</v>
      </c>
      <c r="C108" s="99" t="s">
        <v>22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1" customHeight="1" x14ac:dyDescent="0.4">
      <c r="A109" s="100">
        <v>90233</v>
      </c>
      <c r="B109" s="116" t="s">
        <v>113</v>
      </c>
      <c r="C109" s="99" t="s">
        <v>22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21" customHeight="1" x14ac:dyDescent="0.4">
      <c r="A110" s="100">
        <v>90226</v>
      </c>
      <c r="B110" s="116" t="s">
        <v>114</v>
      </c>
      <c r="C110" s="99" t="s">
        <v>22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21" customHeight="1" x14ac:dyDescent="0.4">
      <c r="A111" s="100">
        <v>90227</v>
      </c>
      <c r="B111" s="116" t="s">
        <v>115</v>
      </c>
      <c r="C111" s="99" t="s">
        <v>22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21" customHeight="1" x14ac:dyDescent="0.4">
      <c r="A112" s="100">
        <v>90228</v>
      </c>
      <c r="B112" s="116" t="s">
        <v>116</v>
      </c>
      <c r="C112" s="99" t="s">
        <v>22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21" customHeight="1" x14ac:dyDescent="0.4">
      <c r="A113" s="100">
        <v>90234</v>
      </c>
      <c r="B113" s="116" t="s">
        <v>117</v>
      </c>
      <c r="C113" s="99" t="s">
        <v>22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21" customHeight="1" x14ac:dyDescent="0.4">
      <c r="A114" s="100">
        <v>90235</v>
      </c>
      <c r="B114" s="116" t="s">
        <v>118</v>
      </c>
      <c r="C114" s="99" t="s">
        <v>22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21" customHeight="1" x14ac:dyDescent="0.4">
      <c r="A115" s="100">
        <v>90236</v>
      </c>
      <c r="B115" s="116" t="s">
        <v>119</v>
      </c>
      <c r="C115" s="99" t="s">
        <v>22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21" customHeight="1" x14ac:dyDescent="0.4">
      <c r="A116" s="100">
        <v>90237</v>
      </c>
      <c r="B116" s="116" t="s">
        <v>120</v>
      </c>
      <c r="C116" s="99" t="s">
        <v>22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21" customHeight="1" x14ac:dyDescent="0.4">
      <c r="A117" s="100">
        <v>627983</v>
      </c>
      <c r="B117" s="116" t="s">
        <v>121</v>
      </c>
      <c r="C117" s="99" t="s">
        <v>17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21" customHeight="1" x14ac:dyDescent="0.4">
      <c r="A118" s="100">
        <v>627984</v>
      </c>
      <c r="B118" s="116" t="s">
        <v>122</v>
      </c>
      <c r="C118" s="99" t="s">
        <v>17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21" customHeight="1" x14ac:dyDescent="0.4">
      <c r="A119" s="100">
        <v>627985</v>
      </c>
      <c r="B119" s="116" t="s">
        <v>123</v>
      </c>
      <c r="C119" s="99" t="s">
        <v>17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21" customHeight="1" x14ac:dyDescent="0.4">
      <c r="A120" s="100">
        <v>627986</v>
      </c>
      <c r="B120" s="116" t="s">
        <v>124</v>
      </c>
      <c r="C120" s="99" t="s">
        <v>17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21" customHeight="1" x14ac:dyDescent="0.4">
      <c r="A121" s="100">
        <v>627987</v>
      </c>
      <c r="B121" s="116" t="s">
        <v>125</v>
      </c>
      <c r="C121" s="99" t="s">
        <v>17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21" customHeight="1" x14ac:dyDescent="0.4">
      <c r="A122" s="100">
        <v>627988</v>
      </c>
      <c r="B122" s="116" t="s">
        <v>126</v>
      </c>
      <c r="C122" s="99" t="s">
        <v>17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21" customHeight="1" x14ac:dyDescent="0.4">
      <c r="A123" s="100">
        <v>4145</v>
      </c>
      <c r="B123" s="116" t="s">
        <v>127</v>
      </c>
      <c r="C123" s="99" t="s">
        <v>17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21" customHeight="1" x14ac:dyDescent="0.4">
      <c r="A124" s="100">
        <v>624307</v>
      </c>
      <c r="B124" s="116" t="s">
        <v>128</v>
      </c>
      <c r="C124" s="101" t="s">
        <v>129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21" customHeight="1" x14ac:dyDescent="0.4">
      <c r="A125" s="103">
        <v>3173</v>
      </c>
      <c r="B125" s="104" t="s">
        <v>130</v>
      </c>
      <c r="C125" s="101" t="s">
        <v>17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21" customHeight="1" x14ac:dyDescent="0.4">
      <c r="A126" s="100">
        <v>3838</v>
      </c>
      <c r="B126" s="116" t="s">
        <v>131</v>
      </c>
      <c r="C126" s="99" t="s">
        <v>17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21" customHeight="1" x14ac:dyDescent="0.4">
      <c r="A127" s="100">
        <v>174</v>
      </c>
      <c r="B127" s="116" t="s">
        <v>132</v>
      </c>
      <c r="C127" s="99" t="s">
        <v>17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21" customHeight="1" x14ac:dyDescent="0.4">
      <c r="A128" s="100">
        <v>178</v>
      </c>
      <c r="B128" s="116" t="s">
        <v>133</v>
      </c>
      <c r="C128" s="99" t="s">
        <v>17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21" customHeight="1" x14ac:dyDescent="0.4">
      <c r="A129" s="100">
        <v>161</v>
      </c>
      <c r="B129" s="116" t="s">
        <v>134</v>
      </c>
      <c r="C129" s="99" t="s">
        <v>17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21" customHeight="1" x14ac:dyDescent="0.4">
      <c r="A130" s="100">
        <v>162</v>
      </c>
      <c r="B130" s="116" t="s">
        <v>135</v>
      </c>
      <c r="C130" s="99" t="s">
        <v>17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21" customHeight="1" x14ac:dyDescent="0.4">
      <c r="A131" s="100">
        <v>90798</v>
      </c>
      <c r="B131" s="116" t="s">
        <v>136</v>
      </c>
      <c r="C131" s="99" t="s">
        <v>17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21" customHeight="1" x14ac:dyDescent="0.4">
      <c r="A132" s="100">
        <v>3352</v>
      </c>
      <c r="B132" s="116" t="s">
        <v>137</v>
      </c>
      <c r="C132" s="99" t="s">
        <v>17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21" customHeight="1" x14ac:dyDescent="0.4">
      <c r="A133" s="100">
        <v>361</v>
      </c>
      <c r="B133" s="116" t="s">
        <v>138</v>
      </c>
      <c r="C133" s="99" t="s">
        <v>17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21" customHeight="1" x14ac:dyDescent="0.4">
      <c r="A134" s="100">
        <v>4008</v>
      </c>
      <c r="B134" s="116" t="s">
        <v>139</v>
      </c>
      <c r="C134" s="99" t="s">
        <v>17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21" customHeight="1" x14ac:dyDescent="0.4">
      <c r="A135" s="100">
        <v>185</v>
      </c>
      <c r="B135" s="116" t="s">
        <v>140</v>
      </c>
      <c r="C135" s="99" t="s">
        <v>17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21" customHeight="1" x14ac:dyDescent="0.4">
      <c r="A136" s="100">
        <v>629189</v>
      </c>
      <c r="B136" s="116" t="s">
        <v>141</v>
      </c>
      <c r="C136" s="101" t="s">
        <v>17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21" customHeight="1" x14ac:dyDescent="0.4">
      <c r="A137" s="100">
        <v>1026</v>
      </c>
      <c r="B137" s="116" t="s">
        <v>142</v>
      </c>
      <c r="C137" s="101" t="s">
        <v>17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21" customHeight="1" x14ac:dyDescent="0.4">
      <c r="A138" s="100">
        <v>90489</v>
      </c>
      <c r="B138" s="116" t="s">
        <v>143</v>
      </c>
      <c r="C138" s="101" t="s">
        <v>22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21" customHeight="1" x14ac:dyDescent="0.4">
      <c r="A139" s="100">
        <v>3771</v>
      </c>
      <c r="B139" s="116" t="s">
        <v>144</v>
      </c>
      <c r="C139" s="101" t="s">
        <v>17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21" customHeight="1" x14ac:dyDescent="0.4">
      <c r="A140" s="100">
        <v>177</v>
      </c>
      <c r="B140" s="116" t="s">
        <v>145</v>
      </c>
      <c r="C140" s="99" t="s">
        <v>17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21" customHeight="1" x14ac:dyDescent="0.4">
      <c r="A141" s="100">
        <v>2914</v>
      </c>
      <c r="B141" s="116" t="s">
        <v>146</v>
      </c>
      <c r="C141" s="99" t="s">
        <v>17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21" customHeight="1" x14ac:dyDescent="0.4">
      <c r="A142" s="100">
        <v>2915</v>
      </c>
      <c r="B142" s="116" t="s">
        <v>147</v>
      </c>
      <c r="C142" s="99" t="s">
        <v>17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21" customHeight="1" x14ac:dyDescent="0.4">
      <c r="A143" s="100">
        <v>2916</v>
      </c>
      <c r="B143" s="116" t="s">
        <v>148</v>
      </c>
      <c r="C143" s="99" t="s">
        <v>17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21" customHeight="1" x14ac:dyDescent="0.4">
      <c r="A144" s="100">
        <v>2917</v>
      </c>
      <c r="B144" s="116" t="s">
        <v>149</v>
      </c>
      <c r="C144" s="99" t="s">
        <v>17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21" customHeight="1" x14ac:dyDescent="0.4">
      <c r="A145" s="100">
        <v>2904</v>
      </c>
      <c r="B145" s="116" t="s">
        <v>150</v>
      </c>
      <c r="C145" s="99" t="s">
        <v>17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21" customHeight="1" x14ac:dyDescent="0.4">
      <c r="A146" s="100">
        <v>2905</v>
      </c>
      <c r="B146" s="116" t="s">
        <v>151</v>
      </c>
      <c r="C146" s="99" t="s">
        <v>17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21" customHeight="1" x14ac:dyDescent="0.4">
      <c r="A147" s="100">
        <v>3057</v>
      </c>
      <c r="B147" s="116" t="s">
        <v>152</v>
      </c>
      <c r="C147" s="99" t="s">
        <v>17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21" customHeight="1" x14ac:dyDescent="0.4">
      <c r="A148" s="100">
        <v>4009</v>
      </c>
      <c r="B148" s="116" t="s">
        <v>153</v>
      </c>
      <c r="C148" s="99" t="s">
        <v>17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21" customHeight="1" x14ac:dyDescent="0.4">
      <c r="A149" s="100">
        <v>90346</v>
      </c>
      <c r="B149" s="116" t="s">
        <v>154</v>
      </c>
      <c r="C149" s="99" t="s">
        <v>17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21" customHeight="1" x14ac:dyDescent="0.4">
      <c r="A150" s="100">
        <v>2909</v>
      </c>
      <c r="B150" s="116" t="s">
        <v>155</v>
      </c>
      <c r="C150" s="99" t="s">
        <v>17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21" customHeight="1" x14ac:dyDescent="0.4">
      <c r="A151" s="100">
        <v>3059</v>
      </c>
      <c r="B151" s="116" t="s">
        <v>156</v>
      </c>
      <c r="C151" s="99" t="s">
        <v>17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21" customHeight="1" x14ac:dyDescent="0.4">
      <c r="A152" s="100">
        <v>90113</v>
      </c>
      <c r="B152" s="116" t="s">
        <v>157</v>
      </c>
      <c r="C152" s="99" t="s">
        <v>17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21" customHeight="1" x14ac:dyDescent="0.4">
      <c r="A153" s="100">
        <v>90114</v>
      </c>
      <c r="B153" s="116" t="s">
        <v>158</v>
      </c>
      <c r="C153" s="99" t="s">
        <v>17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21" customHeight="1" x14ac:dyDescent="0.4">
      <c r="A154" s="100">
        <v>90475</v>
      </c>
      <c r="B154" s="116" t="s">
        <v>159</v>
      </c>
      <c r="C154" s="99" t="s">
        <v>22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21" customHeight="1" x14ac:dyDescent="0.4">
      <c r="A155" s="100">
        <v>90474</v>
      </c>
      <c r="B155" s="116" t="s">
        <v>160</v>
      </c>
      <c r="C155" s="99" t="s">
        <v>22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21" customHeight="1" x14ac:dyDescent="0.4">
      <c r="A156" s="100">
        <v>90473</v>
      </c>
      <c r="B156" s="116" t="s">
        <v>161</v>
      </c>
      <c r="C156" s="99" t="s">
        <v>22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21" customHeight="1" x14ac:dyDescent="0.4">
      <c r="A157" s="100">
        <v>90471</v>
      </c>
      <c r="B157" s="116" t="s">
        <v>162</v>
      </c>
      <c r="C157" s="99" t="s">
        <v>22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21" customHeight="1" x14ac:dyDescent="0.4">
      <c r="A158" s="100">
        <v>90477</v>
      </c>
      <c r="B158" s="116" t="s">
        <v>163</v>
      </c>
      <c r="C158" s="99" t="s">
        <v>22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21" customHeight="1" x14ac:dyDescent="0.4">
      <c r="A159" s="100">
        <v>90476</v>
      </c>
      <c r="B159" s="116" t="s">
        <v>164</v>
      </c>
      <c r="C159" s="99" t="s">
        <v>22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21" customHeight="1" x14ac:dyDescent="0.4">
      <c r="A160" s="100">
        <v>4094</v>
      </c>
      <c r="B160" s="116" t="s">
        <v>165</v>
      </c>
      <c r="C160" s="99" t="s">
        <v>17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21" customHeight="1" x14ac:dyDescent="0.4">
      <c r="A161" s="100">
        <v>92196</v>
      </c>
      <c r="B161" s="116" t="s">
        <v>1347</v>
      </c>
      <c r="C161" s="99" t="s">
        <v>17</v>
      </c>
      <c r="D161" s="87"/>
      <c r="E161" s="87"/>
      <c r="F161" s="87"/>
      <c r="G161" s="87"/>
      <c r="H161" s="87"/>
      <c r="I161" s="87"/>
      <c r="J161" s="87"/>
      <c r="K161" s="87"/>
      <c r="L161" s="87"/>
      <c r="M161" s="87"/>
    </row>
    <row r="162" spans="1:13" ht="21" customHeight="1" x14ac:dyDescent="0.4">
      <c r="A162" s="100">
        <v>184</v>
      </c>
      <c r="B162" s="116" t="s">
        <v>166</v>
      </c>
      <c r="C162" s="99" t="s">
        <v>17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21" customHeight="1" x14ac:dyDescent="0.4">
      <c r="A163" s="100">
        <v>2921</v>
      </c>
      <c r="B163" s="116" t="s">
        <v>167</v>
      </c>
      <c r="C163" s="99" t="s">
        <v>17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21" customHeight="1" x14ac:dyDescent="0.4">
      <c r="A164" s="100">
        <v>2902</v>
      </c>
      <c r="B164" s="116" t="s">
        <v>168</v>
      </c>
      <c r="C164" s="99" t="s">
        <v>17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21" customHeight="1" x14ac:dyDescent="0.4">
      <c r="A165" s="100">
        <v>3032</v>
      </c>
      <c r="B165" s="116" t="s">
        <v>169</v>
      </c>
      <c r="C165" s="99" t="s">
        <v>17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21" customHeight="1" x14ac:dyDescent="0.4">
      <c r="A166" s="100">
        <v>90799</v>
      </c>
      <c r="B166" s="116" t="s">
        <v>1112</v>
      </c>
      <c r="C166" s="99" t="s">
        <v>17</v>
      </c>
      <c r="D166" s="87"/>
      <c r="E166" s="87"/>
      <c r="F166" s="87"/>
      <c r="G166" s="87"/>
      <c r="H166" s="87"/>
      <c r="I166" s="87"/>
      <c r="J166" s="87"/>
      <c r="K166" s="87"/>
      <c r="L166" s="87"/>
      <c r="M166" s="87"/>
    </row>
    <row r="167" spans="1:13" ht="21" customHeight="1" x14ac:dyDescent="0.4">
      <c r="A167" s="100">
        <v>2919</v>
      </c>
      <c r="B167" s="116" t="s">
        <v>170</v>
      </c>
      <c r="C167" s="99" t="s">
        <v>17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21" customHeight="1" x14ac:dyDescent="0.4">
      <c r="A168" s="100">
        <v>2920</v>
      </c>
      <c r="B168" s="116" t="s">
        <v>171</v>
      </c>
      <c r="C168" s="99" t="s">
        <v>17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21" customHeight="1" x14ac:dyDescent="0.4">
      <c r="A169" s="100">
        <v>90357</v>
      </c>
      <c r="B169" s="116" t="s">
        <v>172</v>
      </c>
      <c r="C169" s="99" t="s">
        <v>22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21" customHeight="1" x14ac:dyDescent="0.4">
      <c r="A170" s="100">
        <v>90357</v>
      </c>
      <c r="B170" s="116" t="s">
        <v>172</v>
      </c>
      <c r="C170" s="99" t="s">
        <v>22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21" customHeight="1" x14ac:dyDescent="0.4">
      <c r="A171" s="100">
        <v>90353</v>
      </c>
      <c r="B171" s="116" t="s">
        <v>173</v>
      </c>
      <c r="C171" s="99" t="s">
        <v>22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21" customHeight="1" x14ac:dyDescent="0.4">
      <c r="A172" s="105">
        <v>90356</v>
      </c>
      <c r="B172" s="119" t="s">
        <v>174</v>
      </c>
      <c r="C172" s="99" t="s">
        <v>22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21" customHeight="1" x14ac:dyDescent="0.4">
      <c r="A173" s="100">
        <v>2925</v>
      </c>
      <c r="B173" s="116" t="s">
        <v>175</v>
      </c>
      <c r="C173" s="99" t="s">
        <v>17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21" customHeight="1" x14ac:dyDescent="0.4">
      <c r="A174" s="100">
        <v>2923</v>
      </c>
      <c r="B174" s="116" t="s">
        <v>176</v>
      </c>
      <c r="C174" s="99" t="s">
        <v>17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21" customHeight="1" x14ac:dyDescent="0.4">
      <c r="A175" s="100">
        <v>630253</v>
      </c>
      <c r="B175" s="116" t="s">
        <v>177</v>
      </c>
      <c r="C175" s="99" t="s">
        <v>15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21" customHeight="1" x14ac:dyDescent="0.4">
      <c r="A176" s="100">
        <v>630253</v>
      </c>
      <c r="B176" s="116" t="s">
        <v>177</v>
      </c>
      <c r="C176" s="101" t="s">
        <v>15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21" customHeight="1" x14ac:dyDescent="0.4">
      <c r="A177" s="100">
        <v>90255</v>
      </c>
      <c r="B177" s="116" t="s">
        <v>178</v>
      </c>
      <c r="C177" s="99" t="s">
        <v>38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21" customHeight="1" x14ac:dyDescent="0.4">
      <c r="A178" s="100">
        <v>90256</v>
      </c>
      <c r="B178" s="116" t="s">
        <v>179</v>
      </c>
      <c r="C178" s="99" t="s">
        <v>38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21" customHeight="1" x14ac:dyDescent="0.4">
      <c r="A179" s="100">
        <v>222</v>
      </c>
      <c r="B179" s="116" t="s">
        <v>180</v>
      </c>
      <c r="C179" s="99" t="s">
        <v>38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21" customHeight="1" x14ac:dyDescent="0.4">
      <c r="A180" s="100">
        <v>2988</v>
      </c>
      <c r="B180" s="116" t="s">
        <v>181</v>
      </c>
      <c r="C180" s="99" t="s">
        <v>17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21" customHeight="1" x14ac:dyDescent="0.4">
      <c r="A181" s="100">
        <v>4370</v>
      </c>
      <c r="B181" s="116" t="s">
        <v>182</v>
      </c>
      <c r="C181" s="99" t="s">
        <v>17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21" customHeight="1" x14ac:dyDescent="0.4">
      <c r="A182" s="100">
        <v>90574</v>
      </c>
      <c r="B182" s="116" t="s">
        <v>183</v>
      </c>
      <c r="C182" s="99" t="s">
        <v>22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21" customHeight="1" x14ac:dyDescent="0.4">
      <c r="A183" s="100">
        <v>90573</v>
      </c>
      <c r="B183" s="116" t="s">
        <v>184</v>
      </c>
      <c r="C183" s="99" t="s">
        <v>22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21" customHeight="1" x14ac:dyDescent="0.4">
      <c r="A184" s="100">
        <v>90401</v>
      </c>
      <c r="B184" s="116" t="s">
        <v>185</v>
      </c>
      <c r="C184" s="99" t="s">
        <v>22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21" customHeight="1" x14ac:dyDescent="0.4">
      <c r="A185" s="101">
        <v>90404</v>
      </c>
      <c r="B185" s="116" t="s">
        <v>186</v>
      </c>
      <c r="C185" s="101" t="s">
        <v>22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21" customHeight="1" x14ac:dyDescent="0.4">
      <c r="A186" s="101">
        <v>464</v>
      </c>
      <c r="B186" s="121" t="s">
        <v>187</v>
      </c>
      <c r="C186" s="101" t="s">
        <v>17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21" customHeight="1" x14ac:dyDescent="0.4">
      <c r="A187" s="100">
        <v>35797</v>
      </c>
      <c r="B187" s="116" t="s">
        <v>188</v>
      </c>
      <c r="C187" s="99" t="s">
        <v>17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21" customHeight="1" x14ac:dyDescent="0.4">
      <c r="A188" s="100">
        <v>3060</v>
      </c>
      <c r="B188" s="116" t="s">
        <v>189</v>
      </c>
      <c r="C188" s="99" t="s">
        <v>17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21" customHeight="1" x14ac:dyDescent="0.4">
      <c r="A189" s="100">
        <v>90497</v>
      </c>
      <c r="B189" s="116" t="s">
        <v>190</v>
      </c>
      <c r="C189" s="99" t="s">
        <v>22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21" customHeight="1" x14ac:dyDescent="0.4">
      <c r="A190" s="100">
        <v>3062</v>
      </c>
      <c r="B190" s="116" t="s">
        <v>191</v>
      </c>
      <c r="C190" s="99" t="s">
        <v>17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21" customHeight="1" x14ac:dyDescent="0.4">
      <c r="A191" s="100">
        <v>3064</v>
      </c>
      <c r="B191" s="116" t="s">
        <v>192</v>
      </c>
      <c r="C191" s="99" t="s">
        <v>17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21" customHeight="1" x14ac:dyDescent="0.4">
      <c r="A192" s="100">
        <v>3065</v>
      </c>
      <c r="B192" s="116" t="s">
        <v>193</v>
      </c>
      <c r="C192" s="99" t="s">
        <v>17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21" customHeight="1" x14ac:dyDescent="0.4">
      <c r="A193" s="100">
        <v>90498</v>
      </c>
      <c r="B193" s="116" t="s">
        <v>194</v>
      </c>
      <c r="C193" s="99" t="s">
        <v>22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21" customHeight="1" x14ac:dyDescent="0.4">
      <c r="A194" s="100">
        <v>90499</v>
      </c>
      <c r="B194" s="116" t="s">
        <v>195</v>
      </c>
      <c r="C194" s="99" t="s">
        <v>22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21" customHeight="1" x14ac:dyDescent="0.4">
      <c r="A195" s="100">
        <v>90500</v>
      </c>
      <c r="B195" s="116" t="s">
        <v>196</v>
      </c>
      <c r="C195" s="99" t="s">
        <v>22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21" customHeight="1" x14ac:dyDescent="0.4">
      <c r="A196" s="100">
        <v>90501</v>
      </c>
      <c r="B196" s="116" t="s">
        <v>197</v>
      </c>
      <c r="C196" s="99" t="s">
        <v>22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21" customHeight="1" x14ac:dyDescent="0.4">
      <c r="A197" s="100">
        <v>90504</v>
      </c>
      <c r="B197" s="116" t="s">
        <v>198</v>
      </c>
      <c r="C197" s="99" t="s">
        <v>22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21" customHeight="1" x14ac:dyDescent="0.4">
      <c r="A198" s="100">
        <v>90505</v>
      </c>
      <c r="B198" s="116" t="s">
        <v>199</v>
      </c>
      <c r="C198" s="99" t="s">
        <v>22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21" customHeight="1" x14ac:dyDescent="0.4">
      <c r="A199" s="100">
        <v>90506</v>
      </c>
      <c r="B199" s="116" t="s">
        <v>200</v>
      </c>
      <c r="C199" s="99" t="s">
        <v>22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21" customHeight="1" x14ac:dyDescent="0.4">
      <c r="A200" s="100">
        <v>90508</v>
      </c>
      <c r="B200" s="116" t="s">
        <v>201</v>
      </c>
      <c r="C200" s="99" t="s">
        <v>22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21" customHeight="1" x14ac:dyDescent="0.4">
      <c r="A201" s="100">
        <v>90510</v>
      </c>
      <c r="B201" s="116" t="s">
        <v>202</v>
      </c>
      <c r="C201" s="99" t="s">
        <v>22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21" customHeight="1" x14ac:dyDescent="0.4">
      <c r="A202" s="100">
        <v>90502</v>
      </c>
      <c r="B202" s="116" t="s">
        <v>203</v>
      </c>
      <c r="C202" s="101" t="s">
        <v>22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21" customHeight="1" x14ac:dyDescent="0.4">
      <c r="A203" s="100">
        <v>189</v>
      </c>
      <c r="B203" s="116" t="s">
        <v>204</v>
      </c>
      <c r="C203" s="101" t="s">
        <v>17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21" customHeight="1" x14ac:dyDescent="0.4">
      <c r="A204" s="100">
        <v>91707</v>
      </c>
      <c r="B204" s="116" t="s">
        <v>205</v>
      </c>
      <c r="C204" s="101" t="s">
        <v>1113</v>
      </c>
      <c r="D204" s="87"/>
      <c r="E204" s="87"/>
      <c r="F204" s="87"/>
      <c r="G204" s="87"/>
      <c r="H204" s="87"/>
      <c r="I204" s="87"/>
      <c r="J204" s="87"/>
      <c r="K204" s="87"/>
      <c r="L204" s="87"/>
      <c r="M204" s="87"/>
    </row>
    <row r="205" spans="1:13" ht="21" customHeight="1" x14ac:dyDescent="0.4">
      <c r="A205" s="100">
        <v>190</v>
      </c>
      <c r="B205" s="116" t="s">
        <v>205</v>
      </c>
      <c r="C205" s="101" t="s">
        <v>17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21" customHeight="1" x14ac:dyDescent="0.4">
      <c r="A206" s="100">
        <v>191</v>
      </c>
      <c r="B206" s="116" t="s">
        <v>206</v>
      </c>
      <c r="C206" s="101" t="s">
        <v>17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21" customHeight="1" x14ac:dyDescent="0.4">
      <c r="A207" s="100">
        <v>193</v>
      </c>
      <c r="B207" s="116" t="s">
        <v>207</v>
      </c>
      <c r="C207" s="101" t="s">
        <v>17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21" customHeight="1" x14ac:dyDescent="0.4">
      <c r="A208" s="100">
        <v>199</v>
      </c>
      <c r="B208" s="116" t="s">
        <v>208</v>
      </c>
      <c r="C208" s="101" t="s">
        <v>17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21" customHeight="1" x14ac:dyDescent="0.4">
      <c r="A209" s="100">
        <v>197</v>
      </c>
      <c r="B209" s="116" t="s">
        <v>209</v>
      </c>
      <c r="C209" s="101" t="s">
        <v>17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21" customHeight="1" x14ac:dyDescent="0.4">
      <c r="A210" s="100">
        <v>196</v>
      </c>
      <c r="B210" s="116" t="s">
        <v>210</v>
      </c>
      <c r="C210" s="101" t="s">
        <v>17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21" customHeight="1" x14ac:dyDescent="0.4">
      <c r="A211" s="100">
        <v>195</v>
      </c>
      <c r="B211" s="116" t="s">
        <v>211</v>
      </c>
      <c r="C211" s="101" t="s">
        <v>17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21" customHeight="1" x14ac:dyDescent="0.4">
      <c r="A212" s="100">
        <v>3382</v>
      </c>
      <c r="B212" s="116" t="s">
        <v>212</v>
      </c>
      <c r="C212" s="101" t="s">
        <v>17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21" customHeight="1" x14ac:dyDescent="0.4">
      <c r="A213" s="100">
        <v>3203</v>
      </c>
      <c r="B213" s="116" t="s">
        <v>213</v>
      </c>
      <c r="C213" s="101" t="s">
        <v>17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21" customHeight="1" x14ac:dyDescent="0.4">
      <c r="A214" s="100">
        <v>2927</v>
      </c>
      <c r="B214" s="116" t="s">
        <v>214</v>
      </c>
      <c r="C214" s="101" t="s">
        <v>17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21" customHeight="1" x14ac:dyDescent="0.4">
      <c r="A215" s="100">
        <v>4166</v>
      </c>
      <c r="B215" s="116" t="s">
        <v>215</v>
      </c>
      <c r="C215" s="101" t="s">
        <v>17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21" customHeight="1" x14ac:dyDescent="0.4">
      <c r="A216" s="100">
        <v>192</v>
      </c>
      <c r="B216" s="116" t="s">
        <v>216</v>
      </c>
      <c r="C216" s="101" t="s">
        <v>17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21" customHeight="1" x14ac:dyDescent="0.4">
      <c r="A217" s="100">
        <v>2930</v>
      </c>
      <c r="B217" s="116" t="s">
        <v>217</v>
      </c>
      <c r="C217" s="101" t="s">
        <v>17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21" customHeight="1" x14ac:dyDescent="0.4">
      <c r="A218" s="100">
        <v>2928</v>
      </c>
      <c r="B218" s="116" t="s">
        <v>218</v>
      </c>
      <c r="C218" s="101" t="s">
        <v>17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21" customHeight="1" x14ac:dyDescent="0.4">
      <c r="A219" s="100">
        <v>2929</v>
      </c>
      <c r="B219" s="116" t="s">
        <v>219</v>
      </c>
      <c r="C219" s="101" t="s">
        <v>17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21" customHeight="1" x14ac:dyDescent="0.4">
      <c r="A220" s="100">
        <v>756</v>
      </c>
      <c r="B220" s="116" t="s">
        <v>220</v>
      </c>
      <c r="C220" s="101" t="s">
        <v>17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21" customHeight="1" x14ac:dyDescent="0.4">
      <c r="A221" s="100">
        <v>4092</v>
      </c>
      <c r="B221" s="116" t="s">
        <v>221</v>
      </c>
      <c r="C221" s="101" t="s">
        <v>17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21" customHeight="1" x14ac:dyDescent="0.4">
      <c r="A222" s="103">
        <v>32260</v>
      </c>
      <c r="B222" s="104" t="s">
        <v>222</v>
      </c>
      <c r="C222" s="101" t="s">
        <v>17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21" customHeight="1" x14ac:dyDescent="0.4">
      <c r="A223" s="105">
        <v>90406</v>
      </c>
      <c r="B223" s="119" t="s">
        <v>223</v>
      </c>
      <c r="C223" s="101" t="s">
        <v>17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21" customHeight="1" x14ac:dyDescent="0.4">
      <c r="A224" s="105">
        <v>90407</v>
      </c>
      <c r="B224" s="119" t="s">
        <v>224</v>
      </c>
      <c r="C224" s="101" t="s">
        <v>17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21" customHeight="1" x14ac:dyDescent="0.4">
      <c r="A225" s="140">
        <v>90567</v>
      </c>
      <c r="B225" s="141" t="s">
        <v>1348</v>
      </c>
      <c r="C225" s="142" t="s">
        <v>17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21" customHeight="1" x14ac:dyDescent="0.4">
      <c r="A226" s="100">
        <v>4211</v>
      </c>
      <c r="B226" s="116" t="s">
        <v>225</v>
      </c>
      <c r="C226" s="101" t="s">
        <v>17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21" customHeight="1" x14ac:dyDescent="0.4">
      <c r="A227" s="100">
        <v>92452</v>
      </c>
      <c r="B227" s="116" t="s">
        <v>1349</v>
      </c>
      <c r="C227" s="101" t="s">
        <v>17</v>
      </c>
      <c r="D227" s="87"/>
      <c r="E227" s="87"/>
      <c r="F227" s="87"/>
      <c r="G227" s="87"/>
      <c r="H227" s="87"/>
      <c r="I227" s="87"/>
      <c r="J227" s="87"/>
      <c r="K227" s="87"/>
      <c r="L227" s="87"/>
      <c r="M227" s="87"/>
    </row>
    <row r="228" spans="1:13" ht="21" customHeight="1" x14ac:dyDescent="0.4">
      <c r="A228" s="100">
        <v>90399</v>
      </c>
      <c r="B228" s="116" t="s">
        <v>226</v>
      </c>
      <c r="C228" s="101" t="s">
        <v>22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21" customHeight="1" x14ac:dyDescent="0.4">
      <c r="A229" s="100">
        <v>621996</v>
      </c>
      <c r="B229" s="116" t="s">
        <v>227</v>
      </c>
      <c r="C229" s="101" t="s">
        <v>17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21" customHeight="1" x14ac:dyDescent="0.4">
      <c r="A230" s="101">
        <v>37953</v>
      </c>
      <c r="B230" s="121" t="s">
        <v>228</v>
      </c>
      <c r="C230" s="101" t="s">
        <v>229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21" customHeight="1" x14ac:dyDescent="0.4">
      <c r="A231" s="100">
        <v>90391</v>
      </c>
      <c r="B231" s="116" t="s">
        <v>230</v>
      </c>
      <c r="C231" s="101" t="s">
        <v>38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21" customHeight="1" x14ac:dyDescent="0.4">
      <c r="A232" s="100">
        <v>90391</v>
      </c>
      <c r="B232" s="116" t="s">
        <v>230</v>
      </c>
      <c r="C232" s="101" t="s">
        <v>38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21" customHeight="1" x14ac:dyDescent="0.4">
      <c r="A233" s="101">
        <v>2437</v>
      </c>
      <c r="B233" s="121" t="s">
        <v>231</v>
      </c>
      <c r="C233" s="101" t="s">
        <v>15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21" customHeight="1" x14ac:dyDescent="0.4">
      <c r="A234" s="103">
        <v>3075</v>
      </c>
      <c r="B234" s="104" t="s">
        <v>232</v>
      </c>
      <c r="C234" s="101" t="s">
        <v>15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21" customHeight="1" x14ac:dyDescent="0.4">
      <c r="A235" s="101">
        <v>90661</v>
      </c>
      <c r="B235" s="121" t="s">
        <v>233</v>
      </c>
      <c r="C235" s="101" t="s">
        <v>22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21" customHeight="1" x14ac:dyDescent="0.4">
      <c r="A236" s="100">
        <v>90392</v>
      </c>
      <c r="B236" s="116" t="s">
        <v>234</v>
      </c>
      <c r="C236" s="101" t="s">
        <v>38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21" customHeight="1" x14ac:dyDescent="0.4">
      <c r="A237" s="101">
        <v>375</v>
      </c>
      <c r="B237" s="121" t="s">
        <v>235</v>
      </c>
      <c r="C237" s="101" t="s">
        <v>17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21" customHeight="1" x14ac:dyDescent="0.4">
      <c r="A238" s="101">
        <v>90415</v>
      </c>
      <c r="B238" s="121" t="s">
        <v>236</v>
      </c>
      <c r="C238" s="101" t="s">
        <v>22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21" customHeight="1" x14ac:dyDescent="0.4">
      <c r="A239" s="103">
        <v>90515</v>
      </c>
      <c r="B239" s="104" t="s">
        <v>237</v>
      </c>
      <c r="C239" s="101" t="s">
        <v>22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21" customHeight="1" x14ac:dyDescent="0.4">
      <c r="A240" s="100">
        <v>90448</v>
      </c>
      <c r="B240" s="116" t="s">
        <v>238</v>
      </c>
      <c r="C240" s="101" t="s">
        <v>22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21" customHeight="1" x14ac:dyDescent="0.4">
      <c r="A241" s="100">
        <v>203</v>
      </c>
      <c r="B241" s="116" t="s">
        <v>239</v>
      </c>
      <c r="C241" s="101" t="s">
        <v>17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21" customHeight="1" x14ac:dyDescent="0.4">
      <c r="A242" s="100">
        <v>203</v>
      </c>
      <c r="B242" s="116" t="s">
        <v>239</v>
      </c>
      <c r="C242" s="101" t="s">
        <v>17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21" customHeight="1" x14ac:dyDescent="0.4">
      <c r="A243" s="100">
        <v>3942</v>
      </c>
      <c r="B243" s="116" t="s">
        <v>240</v>
      </c>
      <c r="C243" s="101" t="s">
        <v>17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21" customHeight="1" x14ac:dyDescent="0.4">
      <c r="A244" s="100">
        <v>4249</v>
      </c>
      <c r="B244" s="116" t="s">
        <v>241</v>
      </c>
      <c r="C244" s="101" t="s">
        <v>17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21" customHeight="1" x14ac:dyDescent="0.4">
      <c r="A245" s="100">
        <v>201</v>
      </c>
      <c r="B245" s="116" t="s">
        <v>242</v>
      </c>
      <c r="C245" s="101" t="s">
        <v>17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21" customHeight="1" x14ac:dyDescent="0.4">
      <c r="A246" s="100">
        <v>660678</v>
      </c>
      <c r="B246" s="116" t="s">
        <v>243</v>
      </c>
      <c r="C246" s="101" t="s">
        <v>17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21" customHeight="1" x14ac:dyDescent="0.4">
      <c r="A247" s="100">
        <v>2939</v>
      </c>
      <c r="B247" s="116" t="s">
        <v>244</v>
      </c>
      <c r="C247" s="101" t="s">
        <v>17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21" customHeight="1" x14ac:dyDescent="0.4">
      <c r="A248" s="103">
        <v>2940</v>
      </c>
      <c r="B248" s="104" t="s">
        <v>245</v>
      </c>
      <c r="C248" s="101" t="s">
        <v>17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21" customHeight="1" x14ac:dyDescent="0.4">
      <c r="A249" s="100">
        <v>2941</v>
      </c>
      <c r="B249" s="116" t="s">
        <v>246</v>
      </c>
      <c r="C249" s="101" t="s">
        <v>17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21" customHeight="1" x14ac:dyDescent="0.4">
      <c r="A250" s="100">
        <v>3097</v>
      </c>
      <c r="B250" s="116" t="s">
        <v>247</v>
      </c>
      <c r="C250" s="101" t="s">
        <v>17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21" customHeight="1" x14ac:dyDescent="0.4">
      <c r="A251" s="101">
        <v>3097</v>
      </c>
      <c r="B251" s="121" t="s">
        <v>247</v>
      </c>
      <c r="C251" s="101" t="s">
        <v>17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21" customHeight="1" x14ac:dyDescent="0.4">
      <c r="A252" s="101">
        <v>90462</v>
      </c>
      <c r="B252" s="118" t="s">
        <v>248</v>
      </c>
      <c r="C252" s="101" t="s">
        <v>22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21" customHeight="1" x14ac:dyDescent="0.4">
      <c r="A253" s="100">
        <v>3033</v>
      </c>
      <c r="B253" s="116" t="s">
        <v>249</v>
      </c>
      <c r="C253" s="101" t="s">
        <v>17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21" customHeight="1" x14ac:dyDescent="0.4">
      <c r="A254" s="103">
        <v>90463</v>
      </c>
      <c r="B254" s="104" t="s">
        <v>250</v>
      </c>
      <c r="C254" s="101" t="s">
        <v>22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21" customHeight="1" x14ac:dyDescent="0.4">
      <c r="A255" s="101">
        <v>90463</v>
      </c>
      <c r="B255" s="121" t="s">
        <v>250</v>
      </c>
      <c r="C255" s="101" t="s">
        <v>22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21" customHeight="1" x14ac:dyDescent="0.4">
      <c r="A256" s="100">
        <v>629249</v>
      </c>
      <c r="B256" s="116" t="s">
        <v>251</v>
      </c>
      <c r="C256" s="101" t="s">
        <v>22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21" customHeight="1" x14ac:dyDescent="0.4">
      <c r="A257" s="100">
        <v>90580</v>
      </c>
      <c r="B257" s="116" t="s">
        <v>252</v>
      </c>
      <c r="C257" s="101" t="s">
        <v>17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21" customHeight="1" x14ac:dyDescent="0.4">
      <c r="A258" s="100">
        <v>90253</v>
      </c>
      <c r="B258" s="116" t="s">
        <v>253</v>
      </c>
      <c r="C258" s="101" t="s">
        <v>22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21" customHeight="1" x14ac:dyDescent="0.4">
      <c r="A259" s="101">
        <v>90275</v>
      </c>
      <c r="B259" s="122" t="s">
        <v>254</v>
      </c>
      <c r="C259" s="107" t="s">
        <v>22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21" customHeight="1" x14ac:dyDescent="0.4">
      <c r="A260" s="101">
        <v>208</v>
      </c>
      <c r="B260" s="121" t="s">
        <v>255</v>
      </c>
      <c r="C260" s="101" t="s">
        <v>17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21" customHeight="1" x14ac:dyDescent="0.4">
      <c r="A261" s="101">
        <v>3999</v>
      </c>
      <c r="B261" s="121" t="s">
        <v>256</v>
      </c>
      <c r="C261" s="101" t="s">
        <v>17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21" customHeight="1" x14ac:dyDescent="0.4">
      <c r="A262" s="100">
        <v>90295</v>
      </c>
      <c r="B262" s="116" t="s">
        <v>1341</v>
      </c>
      <c r="C262" s="101" t="s">
        <v>22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21" customHeight="1" x14ac:dyDescent="0.4">
      <c r="A263" s="100">
        <v>2945</v>
      </c>
      <c r="B263" s="116" t="s">
        <v>257</v>
      </c>
      <c r="C263" s="101" t="s">
        <v>17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21" customHeight="1" x14ac:dyDescent="0.4">
      <c r="A264" s="100">
        <v>90277</v>
      </c>
      <c r="B264" s="116" t="s">
        <v>258</v>
      </c>
      <c r="C264" s="101" t="s">
        <v>22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21" customHeight="1" x14ac:dyDescent="0.4">
      <c r="A265" s="100">
        <v>90279</v>
      </c>
      <c r="B265" s="116" t="s">
        <v>259</v>
      </c>
      <c r="C265" s="101" t="s">
        <v>22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21" customHeight="1" x14ac:dyDescent="0.4">
      <c r="A266" s="105">
        <v>2947</v>
      </c>
      <c r="B266" s="119" t="s">
        <v>260</v>
      </c>
      <c r="C266" s="108" t="s">
        <v>17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21" customHeight="1" x14ac:dyDescent="0.4">
      <c r="A267" s="105">
        <v>7599</v>
      </c>
      <c r="B267" s="119" t="s">
        <v>1342</v>
      </c>
      <c r="C267" s="108" t="s">
        <v>1113</v>
      </c>
      <c r="D267" s="87"/>
      <c r="E267" s="87"/>
      <c r="F267" s="87"/>
      <c r="G267" s="87"/>
      <c r="H267" s="87"/>
      <c r="I267" s="87"/>
      <c r="J267" s="87"/>
      <c r="K267" s="87"/>
      <c r="L267" s="87"/>
      <c r="M267" s="87"/>
    </row>
    <row r="268" spans="1:13" ht="21" customHeight="1" x14ac:dyDescent="0.4">
      <c r="A268" s="105">
        <v>666</v>
      </c>
      <c r="B268" s="119" t="s">
        <v>1114</v>
      </c>
      <c r="C268" s="108" t="s">
        <v>1113</v>
      </c>
      <c r="D268" s="87"/>
      <c r="E268" s="87"/>
      <c r="F268" s="87"/>
      <c r="G268" s="87"/>
      <c r="H268" s="87"/>
      <c r="I268" s="87"/>
      <c r="J268" s="87"/>
      <c r="K268" s="87"/>
      <c r="L268" s="87"/>
      <c r="M268" s="87"/>
    </row>
    <row r="269" spans="1:13" ht="21" customHeight="1" x14ac:dyDescent="0.4">
      <c r="A269" s="100">
        <v>4285</v>
      </c>
      <c r="B269" s="116" t="s">
        <v>261</v>
      </c>
      <c r="C269" s="101" t="s">
        <v>17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21" customHeight="1" x14ac:dyDescent="0.4">
      <c r="A270" s="100">
        <v>212</v>
      </c>
      <c r="B270" s="116" t="s">
        <v>262</v>
      </c>
      <c r="C270" s="101" t="s">
        <v>17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21" customHeight="1" x14ac:dyDescent="0.4">
      <c r="A271" s="100">
        <v>627951</v>
      </c>
      <c r="B271" s="116" t="s">
        <v>263</v>
      </c>
      <c r="C271" s="101" t="s">
        <v>17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21" customHeight="1" x14ac:dyDescent="0.4">
      <c r="A272" s="100">
        <v>90319</v>
      </c>
      <c r="B272" s="116" t="s">
        <v>264</v>
      </c>
      <c r="C272" s="101" t="s">
        <v>22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21" customHeight="1" x14ac:dyDescent="0.4">
      <c r="A273" s="100">
        <v>90320</v>
      </c>
      <c r="B273" s="116" t="s">
        <v>265</v>
      </c>
      <c r="C273" s="101" t="s">
        <v>22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21" customHeight="1" x14ac:dyDescent="0.4">
      <c r="A274" s="100">
        <v>660764</v>
      </c>
      <c r="B274" s="116" t="s">
        <v>266</v>
      </c>
      <c r="C274" s="101" t="s">
        <v>17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21" customHeight="1" x14ac:dyDescent="0.4">
      <c r="A275" s="100">
        <v>2953</v>
      </c>
      <c r="B275" s="116" t="s">
        <v>267</v>
      </c>
      <c r="C275" s="101" t="s">
        <v>17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21" customHeight="1" x14ac:dyDescent="0.4">
      <c r="A276" s="100">
        <v>2952</v>
      </c>
      <c r="B276" s="116" t="s">
        <v>268</v>
      </c>
      <c r="C276" s="101" t="s">
        <v>17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21" customHeight="1" x14ac:dyDescent="0.4">
      <c r="A277" s="100">
        <v>4484</v>
      </c>
      <c r="B277" s="116" t="s">
        <v>269</v>
      </c>
      <c r="C277" s="101" t="s">
        <v>17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21" customHeight="1" x14ac:dyDescent="0.4">
      <c r="A278" s="100">
        <v>2951</v>
      </c>
      <c r="B278" s="116" t="s">
        <v>270</v>
      </c>
      <c r="C278" s="101" t="s">
        <v>17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21" customHeight="1" x14ac:dyDescent="0.4">
      <c r="A279" s="100">
        <v>660816</v>
      </c>
      <c r="B279" s="116" t="s">
        <v>271</v>
      </c>
      <c r="C279" s="101" t="s">
        <v>17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21" customHeight="1" x14ac:dyDescent="0.4">
      <c r="A280" s="100">
        <v>660817</v>
      </c>
      <c r="B280" s="116" t="s">
        <v>272</v>
      </c>
      <c r="C280" s="101" t="s">
        <v>17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21" customHeight="1" x14ac:dyDescent="0.4">
      <c r="A281" s="100">
        <v>660811</v>
      </c>
      <c r="B281" s="116" t="s">
        <v>273</v>
      </c>
      <c r="C281" s="101" t="s">
        <v>17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21" customHeight="1" x14ac:dyDescent="0.4">
      <c r="A282" s="100">
        <v>3110</v>
      </c>
      <c r="B282" s="116" t="s">
        <v>274</v>
      </c>
      <c r="C282" s="101" t="s">
        <v>17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21" customHeight="1" x14ac:dyDescent="0.4">
      <c r="A283" s="100">
        <v>2948</v>
      </c>
      <c r="B283" s="116" t="s">
        <v>275</v>
      </c>
      <c r="C283" s="101" t="s">
        <v>17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21" customHeight="1" x14ac:dyDescent="0.4">
      <c r="A284" s="100">
        <v>2950</v>
      </c>
      <c r="B284" s="116" t="s">
        <v>276</v>
      </c>
      <c r="C284" s="101" t="s">
        <v>17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21" customHeight="1" x14ac:dyDescent="0.4">
      <c r="A285" s="100">
        <v>660778</v>
      </c>
      <c r="B285" s="116" t="s">
        <v>277</v>
      </c>
      <c r="C285" s="101" t="s">
        <v>17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21" customHeight="1" x14ac:dyDescent="0.4">
      <c r="A286" s="100">
        <v>660763</v>
      </c>
      <c r="B286" s="116" t="s">
        <v>278</v>
      </c>
      <c r="C286" s="101" t="s">
        <v>17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21" customHeight="1" x14ac:dyDescent="0.4">
      <c r="A287" s="100">
        <v>660768</v>
      </c>
      <c r="B287" s="116" t="s">
        <v>279</v>
      </c>
      <c r="C287" s="101" t="s">
        <v>17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21" customHeight="1" x14ac:dyDescent="0.4">
      <c r="A288" s="100">
        <v>90511</v>
      </c>
      <c r="B288" s="116" t="s">
        <v>280</v>
      </c>
      <c r="C288" s="101" t="s">
        <v>17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21" customHeight="1" x14ac:dyDescent="0.4">
      <c r="A289" s="100">
        <v>90512</v>
      </c>
      <c r="B289" s="116" t="s">
        <v>281</v>
      </c>
      <c r="C289" s="101" t="s">
        <v>22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21" customHeight="1" x14ac:dyDescent="0.4">
      <c r="A290" s="100">
        <v>660826</v>
      </c>
      <c r="B290" s="116" t="s">
        <v>282</v>
      </c>
      <c r="C290" s="101" t="s">
        <v>17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21" customHeight="1" x14ac:dyDescent="0.4">
      <c r="A291" s="101">
        <v>3887</v>
      </c>
      <c r="B291" s="121" t="s">
        <v>283</v>
      </c>
      <c r="C291" s="101" t="s">
        <v>17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21" customHeight="1" x14ac:dyDescent="0.4">
      <c r="A292" s="100">
        <v>3080</v>
      </c>
      <c r="B292" s="116" t="s">
        <v>284</v>
      </c>
      <c r="C292" s="101" t="s">
        <v>17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21" customHeight="1" x14ac:dyDescent="0.4">
      <c r="A293" s="101">
        <v>3569</v>
      </c>
      <c r="B293" s="121" t="s">
        <v>285</v>
      </c>
      <c r="C293" s="101" t="s">
        <v>17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21" customHeight="1" x14ac:dyDescent="0.4">
      <c r="A294" s="101">
        <v>91395</v>
      </c>
      <c r="B294" s="116" t="s">
        <v>286</v>
      </c>
      <c r="C294" s="101" t="s">
        <v>22</v>
      </c>
      <c r="D294" s="87"/>
      <c r="E294" s="87"/>
      <c r="F294" s="87"/>
      <c r="G294" s="87"/>
      <c r="H294" s="87"/>
      <c r="I294" s="87"/>
      <c r="J294" s="87"/>
      <c r="K294" s="87"/>
      <c r="L294" s="87"/>
      <c r="M294" s="87"/>
    </row>
    <row r="295" spans="1:13" ht="21" customHeight="1" x14ac:dyDescent="0.4">
      <c r="A295" s="100">
        <v>4135</v>
      </c>
      <c r="B295" s="116" t="s">
        <v>286</v>
      </c>
      <c r="C295" s="101" t="s">
        <v>17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21" customHeight="1" x14ac:dyDescent="0.4">
      <c r="A296" s="100">
        <v>90440</v>
      </c>
      <c r="B296" s="116" t="s">
        <v>287</v>
      </c>
      <c r="C296" s="101" t="s">
        <v>22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21" customHeight="1" x14ac:dyDescent="0.4">
      <c r="A297" s="101">
        <v>249</v>
      </c>
      <c r="B297" s="121" t="s">
        <v>288</v>
      </c>
      <c r="C297" s="101" t="s">
        <v>17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21" customHeight="1" x14ac:dyDescent="0.4">
      <c r="A298" s="100">
        <v>90441</v>
      </c>
      <c r="B298" s="116" t="s">
        <v>289</v>
      </c>
      <c r="C298" s="101" t="s">
        <v>22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21" customHeight="1" x14ac:dyDescent="0.4">
      <c r="A299" s="100">
        <v>90445</v>
      </c>
      <c r="B299" s="116" t="s">
        <v>290</v>
      </c>
      <c r="C299" s="101" t="s">
        <v>22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21" customHeight="1" x14ac:dyDescent="0.4">
      <c r="A300" s="100">
        <v>90443</v>
      </c>
      <c r="B300" s="116" t="s">
        <v>291</v>
      </c>
      <c r="C300" s="101" t="s">
        <v>22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21" customHeight="1" x14ac:dyDescent="0.4">
      <c r="A301" s="105">
        <v>90444</v>
      </c>
      <c r="B301" s="119" t="s">
        <v>292</v>
      </c>
      <c r="C301" s="108" t="s">
        <v>22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21" customHeight="1" x14ac:dyDescent="0.4">
      <c r="A302" s="105">
        <v>3403</v>
      </c>
      <c r="B302" s="119" t="s">
        <v>293</v>
      </c>
      <c r="C302" s="108" t="s">
        <v>22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21" customHeight="1" x14ac:dyDescent="0.4">
      <c r="A303" s="100">
        <v>2955</v>
      </c>
      <c r="B303" s="116" t="s">
        <v>294</v>
      </c>
      <c r="C303" s="101" t="s">
        <v>17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21" customHeight="1" x14ac:dyDescent="0.4">
      <c r="A304" s="100">
        <v>90210</v>
      </c>
      <c r="B304" s="116" t="s">
        <v>295</v>
      </c>
      <c r="C304" s="101" t="s">
        <v>22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21" customHeight="1" x14ac:dyDescent="0.4">
      <c r="A305" s="100">
        <v>90212</v>
      </c>
      <c r="B305" s="116" t="s">
        <v>1356</v>
      </c>
      <c r="C305" s="101" t="s">
        <v>22</v>
      </c>
      <c r="D305" s="87"/>
      <c r="E305" s="87"/>
      <c r="F305" s="87"/>
      <c r="G305" s="87"/>
      <c r="H305" s="87"/>
      <c r="I305" s="87"/>
      <c r="J305" s="87"/>
      <c r="K305" s="87"/>
      <c r="L305" s="87"/>
      <c r="M305" s="87"/>
    </row>
    <row r="306" spans="1:13" ht="21" customHeight="1" x14ac:dyDescent="0.4">
      <c r="A306" s="100">
        <v>3030</v>
      </c>
      <c r="B306" s="116" t="s">
        <v>296</v>
      </c>
      <c r="C306" s="101" t="s">
        <v>17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21" customHeight="1" x14ac:dyDescent="0.4">
      <c r="A307" s="103">
        <v>4097</v>
      </c>
      <c r="B307" s="119" t="s">
        <v>297</v>
      </c>
      <c r="C307" s="108" t="s">
        <v>17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21" customHeight="1" x14ac:dyDescent="0.4">
      <c r="A308" s="103">
        <v>3082</v>
      </c>
      <c r="B308" s="104" t="s">
        <v>298</v>
      </c>
      <c r="C308" s="101" t="s">
        <v>17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21" customHeight="1" x14ac:dyDescent="0.4">
      <c r="A309" s="100">
        <v>3984</v>
      </c>
      <c r="B309" s="116" t="s">
        <v>299</v>
      </c>
      <c r="C309" s="101" t="s">
        <v>17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21" customHeight="1" x14ac:dyDescent="0.4">
      <c r="A310" s="100">
        <v>3081</v>
      </c>
      <c r="B310" s="116" t="s">
        <v>300</v>
      </c>
      <c r="C310" s="101" t="s">
        <v>17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21" customHeight="1" x14ac:dyDescent="0.4">
      <c r="A311" s="100">
        <v>90374</v>
      </c>
      <c r="B311" s="116" t="s">
        <v>301</v>
      </c>
      <c r="C311" s="101" t="s">
        <v>22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21" customHeight="1" x14ac:dyDescent="0.4">
      <c r="A312" s="100">
        <v>90372</v>
      </c>
      <c r="B312" s="116" t="s">
        <v>302</v>
      </c>
      <c r="C312" s="101" t="s">
        <v>22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21" customHeight="1" x14ac:dyDescent="0.4">
      <c r="A313" s="100">
        <v>90373</v>
      </c>
      <c r="B313" s="116" t="s">
        <v>303</v>
      </c>
      <c r="C313" s="101" t="s">
        <v>22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21" customHeight="1" x14ac:dyDescent="0.4">
      <c r="A314" s="100">
        <v>670218</v>
      </c>
      <c r="B314" s="116" t="s">
        <v>304</v>
      </c>
      <c r="C314" s="101" t="s">
        <v>17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21" customHeight="1" x14ac:dyDescent="0.4">
      <c r="A315" s="100">
        <v>4493</v>
      </c>
      <c r="B315" s="116" t="s">
        <v>305</v>
      </c>
      <c r="C315" s="101" t="s">
        <v>17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21" customHeight="1" x14ac:dyDescent="0.4">
      <c r="A316" s="100">
        <v>4336</v>
      </c>
      <c r="B316" s="116" t="s">
        <v>306</v>
      </c>
      <c r="C316" s="101" t="s">
        <v>17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21" customHeight="1" x14ac:dyDescent="0.4">
      <c r="A317" s="100">
        <v>3012</v>
      </c>
      <c r="B317" s="116" t="s">
        <v>307</v>
      </c>
      <c r="C317" s="101" t="s">
        <v>17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21" customHeight="1" x14ac:dyDescent="0.4">
      <c r="A318" s="100">
        <v>3013</v>
      </c>
      <c r="B318" s="116" t="s">
        <v>308</v>
      </c>
      <c r="C318" s="101" t="s">
        <v>17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21" customHeight="1" x14ac:dyDescent="0.4">
      <c r="A319" s="100">
        <v>3643</v>
      </c>
      <c r="B319" s="116" t="s">
        <v>309</v>
      </c>
      <c r="C319" s="101" t="s">
        <v>17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21" customHeight="1" x14ac:dyDescent="0.4">
      <c r="A320" s="100">
        <v>3014</v>
      </c>
      <c r="B320" s="116" t="s">
        <v>310</v>
      </c>
      <c r="C320" s="101" t="s">
        <v>17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21" customHeight="1" x14ac:dyDescent="0.4">
      <c r="A321" s="100">
        <v>3015</v>
      </c>
      <c r="B321" s="116" t="s">
        <v>311</v>
      </c>
      <c r="C321" s="101" t="s">
        <v>17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21" customHeight="1" x14ac:dyDescent="0.4">
      <c r="A322" s="100">
        <v>3016</v>
      </c>
      <c r="B322" s="116" t="s">
        <v>312</v>
      </c>
      <c r="C322" s="101" t="s">
        <v>17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21" customHeight="1" x14ac:dyDescent="0.4">
      <c r="A323" s="100">
        <v>3017</v>
      </c>
      <c r="B323" s="116" t="s">
        <v>313</v>
      </c>
      <c r="C323" s="101" t="s">
        <v>17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21" customHeight="1" x14ac:dyDescent="0.4">
      <c r="A324" s="100">
        <v>3017</v>
      </c>
      <c r="B324" s="116" t="s">
        <v>313</v>
      </c>
      <c r="C324" s="101" t="s">
        <v>17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21" customHeight="1" x14ac:dyDescent="0.4">
      <c r="A325" s="103">
        <v>90359</v>
      </c>
      <c r="B325" s="104" t="s">
        <v>314</v>
      </c>
      <c r="C325" s="101" t="s">
        <v>22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21" customHeight="1" x14ac:dyDescent="0.4">
      <c r="A326" s="103">
        <v>90384</v>
      </c>
      <c r="B326" s="119" t="s">
        <v>315</v>
      </c>
      <c r="C326" s="108" t="s">
        <v>22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21" customHeight="1" x14ac:dyDescent="0.4">
      <c r="A327" s="101">
        <v>90359</v>
      </c>
      <c r="B327" s="121" t="s">
        <v>314</v>
      </c>
      <c r="C327" s="101" t="s">
        <v>22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21" customHeight="1" x14ac:dyDescent="0.4">
      <c r="A328" s="100">
        <v>90360</v>
      </c>
      <c r="B328" s="116" t="s">
        <v>316</v>
      </c>
      <c r="C328" s="101" t="s">
        <v>22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21" customHeight="1" x14ac:dyDescent="0.4">
      <c r="A329" s="100">
        <v>90361</v>
      </c>
      <c r="B329" s="116" t="s">
        <v>317</v>
      </c>
      <c r="C329" s="101" t="s">
        <v>22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21" customHeight="1" x14ac:dyDescent="0.4">
      <c r="A330" s="100">
        <v>90362</v>
      </c>
      <c r="B330" s="116" t="s">
        <v>318</v>
      </c>
      <c r="C330" s="101" t="s">
        <v>22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21" customHeight="1" x14ac:dyDescent="0.4">
      <c r="A331" s="100">
        <v>90363</v>
      </c>
      <c r="B331" s="116" t="s">
        <v>319</v>
      </c>
      <c r="C331" s="101" t="s">
        <v>22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21" customHeight="1" x14ac:dyDescent="0.4">
      <c r="A332" s="100">
        <v>90364</v>
      </c>
      <c r="B332" s="116" t="s">
        <v>320</v>
      </c>
      <c r="C332" s="101" t="s">
        <v>22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21" customHeight="1" x14ac:dyDescent="0.4">
      <c r="A333" s="100">
        <v>90365</v>
      </c>
      <c r="B333" s="116" t="s">
        <v>321</v>
      </c>
      <c r="C333" s="101" t="s">
        <v>22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21" customHeight="1" x14ac:dyDescent="0.4">
      <c r="A334" s="100">
        <v>90366</v>
      </c>
      <c r="B334" s="116" t="s">
        <v>322</v>
      </c>
      <c r="C334" s="101" t="s">
        <v>22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21" customHeight="1" x14ac:dyDescent="0.4">
      <c r="A335" s="100">
        <v>90367</v>
      </c>
      <c r="B335" s="116" t="s">
        <v>323</v>
      </c>
      <c r="C335" s="101" t="s">
        <v>22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21" customHeight="1" x14ac:dyDescent="0.4">
      <c r="A336" s="100">
        <v>90368</v>
      </c>
      <c r="B336" s="116" t="s">
        <v>324</v>
      </c>
      <c r="C336" s="101" t="s">
        <v>22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21" customHeight="1" x14ac:dyDescent="0.4">
      <c r="A337" s="100">
        <v>90358</v>
      </c>
      <c r="B337" s="116" t="s">
        <v>325</v>
      </c>
      <c r="C337" s="101" t="s">
        <v>22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21" customHeight="1" x14ac:dyDescent="0.4">
      <c r="A338" s="100">
        <v>90369</v>
      </c>
      <c r="B338" s="116" t="s">
        <v>326</v>
      </c>
      <c r="C338" s="101" t="s">
        <v>22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21" customHeight="1" x14ac:dyDescent="0.4">
      <c r="A339" s="100">
        <v>90369</v>
      </c>
      <c r="B339" s="116" t="s">
        <v>326</v>
      </c>
      <c r="C339" s="101" t="s">
        <v>22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21" customHeight="1" x14ac:dyDescent="0.4">
      <c r="A340" s="100">
        <v>90381</v>
      </c>
      <c r="B340" s="116" t="s">
        <v>327</v>
      </c>
      <c r="C340" s="101" t="s">
        <v>22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21" customHeight="1" x14ac:dyDescent="0.4">
      <c r="A341" s="100">
        <v>90370</v>
      </c>
      <c r="B341" s="116" t="s">
        <v>328</v>
      </c>
      <c r="C341" s="101" t="s">
        <v>22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21" customHeight="1" x14ac:dyDescent="0.4">
      <c r="A342" s="100">
        <v>90371</v>
      </c>
      <c r="B342" s="116" t="s">
        <v>329</v>
      </c>
      <c r="C342" s="101" t="s">
        <v>22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21" customHeight="1" x14ac:dyDescent="0.4">
      <c r="A343" s="100">
        <v>4538</v>
      </c>
      <c r="B343" s="116" t="s">
        <v>330</v>
      </c>
      <c r="C343" s="101" t="s">
        <v>17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21" customHeight="1" x14ac:dyDescent="0.4">
      <c r="A344" s="100">
        <v>90380</v>
      </c>
      <c r="B344" s="116" t="s">
        <v>331</v>
      </c>
      <c r="C344" s="101" t="s">
        <v>22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21" customHeight="1" x14ac:dyDescent="0.4">
      <c r="A345" s="100">
        <v>90382</v>
      </c>
      <c r="B345" s="116" t="s">
        <v>332</v>
      </c>
      <c r="C345" s="101" t="s">
        <v>22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21" customHeight="1" x14ac:dyDescent="0.4">
      <c r="A346" s="105">
        <v>90383</v>
      </c>
      <c r="B346" s="119" t="s">
        <v>333</v>
      </c>
      <c r="C346" s="108" t="s">
        <v>334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21" customHeight="1" x14ac:dyDescent="0.4">
      <c r="A347" s="100">
        <v>250</v>
      </c>
      <c r="B347" s="116" t="s">
        <v>335</v>
      </c>
      <c r="C347" s="101" t="s">
        <v>17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21" customHeight="1" x14ac:dyDescent="0.4">
      <c r="A348" s="100">
        <v>4318</v>
      </c>
      <c r="B348" s="116" t="s">
        <v>336</v>
      </c>
      <c r="C348" s="101" t="s">
        <v>17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21" customHeight="1" x14ac:dyDescent="0.4">
      <c r="A349" s="101">
        <v>630161</v>
      </c>
      <c r="B349" s="121" t="s">
        <v>337</v>
      </c>
      <c r="C349" s="101" t="s">
        <v>17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21" customHeight="1" x14ac:dyDescent="0.4">
      <c r="A350" s="103">
        <v>90447</v>
      </c>
      <c r="B350" s="104" t="s">
        <v>338</v>
      </c>
      <c r="C350" s="101" t="s">
        <v>22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21" customHeight="1" x14ac:dyDescent="0.4">
      <c r="A351" s="100">
        <v>90251</v>
      </c>
      <c r="B351" s="119" t="s">
        <v>339</v>
      </c>
      <c r="C351" s="101" t="s">
        <v>22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21" customHeight="1" x14ac:dyDescent="0.4">
      <c r="A352" s="100">
        <v>90252</v>
      </c>
      <c r="B352" s="116" t="s">
        <v>340</v>
      </c>
      <c r="C352" s="101" t="s">
        <v>22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21" customHeight="1" x14ac:dyDescent="0.4">
      <c r="A353" s="103">
        <v>2958</v>
      </c>
      <c r="B353" s="104" t="s">
        <v>341</v>
      </c>
      <c r="C353" s="107" t="s">
        <v>17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21" customHeight="1" x14ac:dyDescent="0.4">
      <c r="A354" s="100">
        <v>90621</v>
      </c>
      <c r="B354" s="116" t="s">
        <v>342</v>
      </c>
      <c r="C354" s="101" t="s">
        <v>229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21" customHeight="1" x14ac:dyDescent="0.4">
      <c r="A355" s="100">
        <v>90622</v>
      </c>
      <c r="B355" s="116" t="s">
        <v>343</v>
      </c>
      <c r="C355" s="101" t="s">
        <v>229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21" customHeight="1" x14ac:dyDescent="0.4">
      <c r="A356" s="103">
        <v>90249</v>
      </c>
      <c r="B356" s="104" t="s">
        <v>344</v>
      </c>
      <c r="C356" s="107" t="s">
        <v>22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21" customHeight="1" x14ac:dyDescent="0.4">
      <c r="A357" s="100">
        <v>90570</v>
      </c>
      <c r="B357" s="116" t="s">
        <v>345</v>
      </c>
      <c r="C357" s="101" t="s">
        <v>17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21" customHeight="1" x14ac:dyDescent="0.4">
      <c r="A358" s="100">
        <v>3018</v>
      </c>
      <c r="B358" s="116" t="s">
        <v>346</v>
      </c>
      <c r="C358" s="101" t="s">
        <v>17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21" customHeight="1" x14ac:dyDescent="0.4">
      <c r="A359" s="100">
        <v>90387</v>
      </c>
      <c r="B359" s="116" t="s">
        <v>347</v>
      </c>
      <c r="C359" s="101" t="s">
        <v>22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21" customHeight="1" x14ac:dyDescent="0.4">
      <c r="A360" s="100">
        <v>90183</v>
      </c>
      <c r="B360" s="116" t="s">
        <v>348</v>
      </c>
      <c r="C360" s="101" t="s">
        <v>17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21" customHeight="1" x14ac:dyDescent="0.4">
      <c r="A361" s="100">
        <v>90184</v>
      </c>
      <c r="B361" s="116" t="s">
        <v>349</v>
      </c>
      <c r="C361" s="101" t="s">
        <v>17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21" customHeight="1" x14ac:dyDescent="0.4">
      <c r="A362" s="100">
        <v>90186</v>
      </c>
      <c r="B362" s="116" t="s">
        <v>350</v>
      </c>
      <c r="C362" s="101" t="s">
        <v>17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21" customHeight="1" x14ac:dyDescent="0.4">
      <c r="A363" s="100">
        <v>90187</v>
      </c>
      <c r="B363" s="116" t="s">
        <v>351</v>
      </c>
      <c r="C363" s="101" t="s">
        <v>17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21" customHeight="1" x14ac:dyDescent="0.4">
      <c r="A364" s="100">
        <v>90187</v>
      </c>
      <c r="B364" s="116" t="s">
        <v>351</v>
      </c>
      <c r="C364" s="101" t="s">
        <v>17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21" customHeight="1" x14ac:dyDescent="0.4">
      <c r="A365" s="100">
        <v>90189</v>
      </c>
      <c r="B365" s="116" t="s">
        <v>352</v>
      </c>
      <c r="C365" s="101" t="s">
        <v>17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21" customHeight="1" x14ac:dyDescent="0.4">
      <c r="A366" s="100">
        <v>90190</v>
      </c>
      <c r="B366" s="116" t="s">
        <v>353</v>
      </c>
      <c r="C366" s="101" t="s">
        <v>17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21" customHeight="1" x14ac:dyDescent="0.4">
      <c r="A367" s="100">
        <v>90190</v>
      </c>
      <c r="B367" s="116" t="s">
        <v>353</v>
      </c>
      <c r="C367" s="101" t="s">
        <v>17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21" customHeight="1" x14ac:dyDescent="0.4">
      <c r="A368" s="100">
        <v>90191</v>
      </c>
      <c r="B368" s="116" t="s">
        <v>354</v>
      </c>
      <c r="C368" s="101" t="s">
        <v>17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21" customHeight="1" x14ac:dyDescent="0.4">
      <c r="A369" s="100">
        <v>90192</v>
      </c>
      <c r="B369" s="116" t="s">
        <v>355</v>
      </c>
      <c r="C369" s="101" t="s">
        <v>17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21" customHeight="1" x14ac:dyDescent="0.4">
      <c r="A370" s="100">
        <v>227</v>
      </c>
      <c r="B370" s="116" t="s">
        <v>356</v>
      </c>
      <c r="C370" s="101" t="s">
        <v>17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21" customHeight="1" x14ac:dyDescent="0.4">
      <c r="A371" s="100">
        <v>228</v>
      </c>
      <c r="B371" s="116" t="s">
        <v>357</v>
      </c>
      <c r="C371" s="101" t="s">
        <v>17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21" customHeight="1" x14ac:dyDescent="0.4">
      <c r="A372" s="100">
        <v>2789</v>
      </c>
      <c r="B372" s="116" t="s">
        <v>1343</v>
      </c>
      <c r="C372" s="101" t="s">
        <v>17</v>
      </c>
      <c r="D372" s="87"/>
      <c r="E372" s="87"/>
      <c r="F372" s="87"/>
      <c r="G372" s="87"/>
      <c r="H372" s="87"/>
      <c r="I372" s="87"/>
      <c r="J372" s="87"/>
      <c r="K372" s="87"/>
      <c r="L372" s="87"/>
      <c r="M372" s="87"/>
    </row>
    <row r="373" spans="1:13" ht="21" customHeight="1" x14ac:dyDescent="0.4">
      <c r="A373" s="100">
        <v>2995</v>
      </c>
      <c r="B373" s="116" t="s">
        <v>358</v>
      </c>
      <c r="C373" s="101" t="s">
        <v>17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21" customHeight="1" x14ac:dyDescent="0.4">
      <c r="A374" s="101">
        <v>670125</v>
      </c>
      <c r="B374" s="121" t="s">
        <v>359</v>
      </c>
      <c r="C374" s="101" t="s">
        <v>17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21" customHeight="1" x14ac:dyDescent="0.4">
      <c r="A375" s="100">
        <v>2990</v>
      </c>
      <c r="B375" s="116" t="s">
        <v>360</v>
      </c>
      <c r="C375" s="101" t="s">
        <v>17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21" customHeight="1" x14ac:dyDescent="0.4">
      <c r="A376" s="100">
        <v>2991</v>
      </c>
      <c r="B376" s="116" t="s">
        <v>361</v>
      </c>
      <c r="C376" s="101" t="s">
        <v>17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21" customHeight="1" x14ac:dyDescent="0.4">
      <c r="A377" s="100">
        <v>2991</v>
      </c>
      <c r="B377" s="116" t="s">
        <v>361</v>
      </c>
      <c r="C377" s="101" t="s">
        <v>17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21" customHeight="1" x14ac:dyDescent="0.4">
      <c r="A378" s="101">
        <v>3549</v>
      </c>
      <c r="B378" s="122" t="s">
        <v>362</v>
      </c>
      <c r="C378" s="107" t="s">
        <v>17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21" customHeight="1" x14ac:dyDescent="0.4">
      <c r="A379" s="100">
        <v>3549</v>
      </c>
      <c r="B379" s="116" t="s">
        <v>362</v>
      </c>
      <c r="C379" s="101" t="s">
        <v>17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21" customHeight="1" x14ac:dyDescent="0.4">
      <c r="A380" s="100">
        <v>3994</v>
      </c>
      <c r="B380" s="116" t="s">
        <v>363</v>
      </c>
      <c r="C380" s="101" t="s">
        <v>17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21" customHeight="1" x14ac:dyDescent="0.4">
      <c r="A381" s="100">
        <v>3847</v>
      </c>
      <c r="B381" s="116" t="s">
        <v>364</v>
      </c>
      <c r="C381" s="101" t="s">
        <v>17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21" customHeight="1" x14ac:dyDescent="0.4">
      <c r="A382" s="100">
        <v>234</v>
      </c>
      <c r="B382" s="116" t="s">
        <v>365</v>
      </c>
      <c r="C382" s="101" t="s">
        <v>17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21" customHeight="1" x14ac:dyDescent="0.4">
      <c r="A383" s="101">
        <v>670112</v>
      </c>
      <c r="B383" s="121" t="s">
        <v>366</v>
      </c>
      <c r="C383" s="101" t="s">
        <v>17</v>
      </c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21" customHeight="1" x14ac:dyDescent="0.4">
      <c r="A384" s="101">
        <v>670114</v>
      </c>
      <c r="B384" s="121" t="s">
        <v>367</v>
      </c>
      <c r="C384" s="101" t="s">
        <v>17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21" customHeight="1" x14ac:dyDescent="0.4">
      <c r="A385" s="101">
        <v>22793</v>
      </c>
      <c r="B385" s="114" t="s">
        <v>368</v>
      </c>
      <c r="C385" s="97" t="s">
        <v>17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21" customHeight="1" x14ac:dyDescent="0.4">
      <c r="A386" s="101">
        <v>22798</v>
      </c>
      <c r="B386" s="114" t="s">
        <v>369</v>
      </c>
      <c r="C386" s="97" t="s">
        <v>17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21" customHeight="1" x14ac:dyDescent="0.4">
      <c r="A387" s="100">
        <v>3884</v>
      </c>
      <c r="B387" s="116" t="s">
        <v>370</v>
      </c>
      <c r="C387" s="101" t="s">
        <v>17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21" customHeight="1" x14ac:dyDescent="0.4">
      <c r="A388" s="100">
        <v>238</v>
      </c>
      <c r="B388" s="116" t="s">
        <v>371</v>
      </c>
      <c r="C388" s="101" t="s">
        <v>17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21" customHeight="1" x14ac:dyDescent="0.4">
      <c r="A389" s="100">
        <v>3009</v>
      </c>
      <c r="B389" s="116" t="s">
        <v>372</v>
      </c>
      <c r="C389" s="101" t="s">
        <v>17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21" customHeight="1" x14ac:dyDescent="0.4">
      <c r="A390" s="100">
        <v>90200</v>
      </c>
      <c r="B390" s="116" t="s">
        <v>373</v>
      </c>
      <c r="C390" s="101" t="s">
        <v>229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21" customHeight="1" x14ac:dyDescent="0.4">
      <c r="A391" s="100">
        <v>3002</v>
      </c>
      <c r="B391" s="116" t="s">
        <v>374</v>
      </c>
      <c r="C391" s="101" t="s">
        <v>17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21" customHeight="1" x14ac:dyDescent="0.4">
      <c r="A392" s="100">
        <v>90193</v>
      </c>
      <c r="B392" s="116" t="s">
        <v>375</v>
      </c>
      <c r="C392" s="101" t="s">
        <v>17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21" customHeight="1" x14ac:dyDescent="0.4">
      <c r="A393" s="100">
        <v>90194</v>
      </c>
      <c r="B393" s="116" t="s">
        <v>376</v>
      </c>
      <c r="C393" s="101" t="s">
        <v>17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21" customHeight="1" x14ac:dyDescent="0.4">
      <c r="A394" s="100">
        <v>90195</v>
      </c>
      <c r="B394" s="116" t="s">
        <v>377</v>
      </c>
      <c r="C394" s="101" t="s">
        <v>17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21" customHeight="1" x14ac:dyDescent="0.4">
      <c r="A395" s="100">
        <v>90196</v>
      </c>
      <c r="B395" s="116" t="s">
        <v>378</v>
      </c>
      <c r="C395" s="101" t="s">
        <v>22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21" customHeight="1" x14ac:dyDescent="0.4">
      <c r="A396" s="100">
        <v>90197</v>
      </c>
      <c r="B396" s="116" t="s">
        <v>379</v>
      </c>
      <c r="C396" s="101" t="s">
        <v>17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21" customHeight="1" x14ac:dyDescent="0.4">
      <c r="A397" s="101">
        <v>90198</v>
      </c>
      <c r="B397" s="121" t="s">
        <v>380</v>
      </c>
      <c r="C397" s="101" t="s">
        <v>17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21" customHeight="1" x14ac:dyDescent="0.4">
      <c r="A398" s="100">
        <v>90199</v>
      </c>
      <c r="B398" s="116" t="s">
        <v>381</v>
      </c>
      <c r="C398" s="101" t="s">
        <v>17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21" customHeight="1" x14ac:dyDescent="0.4">
      <c r="A399" s="100">
        <v>90202</v>
      </c>
      <c r="B399" s="116" t="s">
        <v>382</v>
      </c>
      <c r="C399" s="101" t="s">
        <v>17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21" customHeight="1" x14ac:dyDescent="0.4">
      <c r="A400" s="100">
        <v>90202</v>
      </c>
      <c r="B400" s="116" t="s">
        <v>382</v>
      </c>
      <c r="C400" s="101" t="s">
        <v>17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21" customHeight="1" x14ac:dyDescent="0.4">
      <c r="A401" s="100">
        <v>90203</v>
      </c>
      <c r="B401" s="116" t="s">
        <v>383</v>
      </c>
      <c r="C401" s="101" t="s">
        <v>17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21" customHeight="1" x14ac:dyDescent="0.4">
      <c r="A402" s="100">
        <v>90203</v>
      </c>
      <c r="B402" s="116" t="s">
        <v>383</v>
      </c>
      <c r="C402" s="101" t="s">
        <v>17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21" customHeight="1" x14ac:dyDescent="0.4">
      <c r="A403" s="100">
        <v>90206</v>
      </c>
      <c r="B403" s="116" t="s">
        <v>384</v>
      </c>
      <c r="C403" s="101" t="s">
        <v>17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21" customHeight="1" x14ac:dyDescent="0.4">
      <c r="A404" s="100">
        <v>90586</v>
      </c>
      <c r="B404" s="116" t="s">
        <v>385</v>
      </c>
      <c r="C404" s="101" t="s">
        <v>229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21" customHeight="1" x14ac:dyDescent="0.4">
      <c r="A405" s="100">
        <v>630918</v>
      </c>
      <c r="B405" s="116" t="s">
        <v>386</v>
      </c>
      <c r="C405" s="101" t="s">
        <v>17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21" customHeight="1" x14ac:dyDescent="0.4">
      <c r="A406" s="100">
        <v>623159</v>
      </c>
      <c r="B406" s="116" t="s">
        <v>387</v>
      </c>
      <c r="C406" s="101" t="s">
        <v>17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21" customHeight="1" x14ac:dyDescent="0.4">
      <c r="A407" s="101">
        <v>623161</v>
      </c>
      <c r="B407" s="121" t="s">
        <v>388</v>
      </c>
      <c r="C407" s="101" t="s">
        <v>17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21" customHeight="1" x14ac:dyDescent="0.4">
      <c r="A408" s="100">
        <v>690241</v>
      </c>
      <c r="B408" s="116" t="s">
        <v>389</v>
      </c>
      <c r="C408" s="101" t="s">
        <v>22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21" customHeight="1" x14ac:dyDescent="0.4">
      <c r="A409" s="100">
        <v>638406</v>
      </c>
      <c r="B409" s="116" t="s">
        <v>390</v>
      </c>
      <c r="C409" s="101" t="s">
        <v>17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21" customHeight="1" x14ac:dyDescent="0.4">
      <c r="A410" s="101">
        <v>638406</v>
      </c>
      <c r="B410" s="121" t="s">
        <v>390</v>
      </c>
      <c r="C410" s="101" t="s">
        <v>17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21" customHeight="1" x14ac:dyDescent="0.4">
      <c r="A411" s="100">
        <v>638422</v>
      </c>
      <c r="B411" s="116" t="s">
        <v>391</v>
      </c>
      <c r="C411" s="101" t="s">
        <v>17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21" customHeight="1" x14ac:dyDescent="0.4">
      <c r="A412" s="103">
        <v>690001</v>
      </c>
      <c r="B412" s="104" t="s">
        <v>392</v>
      </c>
      <c r="C412" s="101" t="s">
        <v>17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21" customHeight="1" x14ac:dyDescent="0.4">
      <c r="A413" s="128">
        <v>90409</v>
      </c>
      <c r="B413" s="125" t="s">
        <v>1337</v>
      </c>
      <c r="C413" s="128" t="s">
        <v>22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21" customHeight="1" x14ac:dyDescent="0.4">
      <c r="A414" s="103">
        <v>2964</v>
      </c>
      <c r="B414" s="104" t="s">
        <v>393</v>
      </c>
      <c r="C414" s="107" t="s">
        <v>17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21" customHeight="1" x14ac:dyDescent="0.4">
      <c r="A415" s="100">
        <v>4487</v>
      </c>
      <c r="B415" s="116" t="s">
        <v>393</v>
      </c>
      <c r="C415" s="101" t="s">
        <v>17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21" customHeight="1" x14ac:dyDescent="0.4">
      <c r="A416" s="100">
        <v>3665</v>
      </c>
      <c r="B416" s="116" t="s">
        <v>394</v>
      </c>
      <c r="C416" s="101" t="s">
        <v>17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21" customHeight="1" x14ac:dyDescent="0.4">
      <c r="A417" s="100">
        <v>4296</v>
      </c>
      <c r="B417" s="116" t="s">
        <v>395</v>
      </c>
      <c r="C417" s="101" t="s">
        <v>17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21" customHeight="1" x14ac:dyDescent="0.4">
      <c r="A418" s="100">
        <v>3029</v>
      </c>
      <c r="B418" s="116" t="s">
        <v>396</v>
      </c>
      <c r="C418" s="101" t="s">
        <v>17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21" customHeight="1" x14ac:dyDescent="0.4">
      <c r="A419" s="100">
        <v>3029</v>
      </c>
      <c r="B419" s="116" t="s">
        <v>396</v>
      </c>
      <c r="C419" s="101" t="s">
        <v>17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21" customHeight="1" x14ac:dyDescent="0.4">
      <c r="A420" s="100">
        <v>406</v>
      </c>
      <c r="B420" s="116" t="s">
        <v>397</v>
      </c>
      <c r="C420" s="101" t="s">
        <v>17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21" customHeight="1" x14ac:dyDescent="0.4">
      <c r="A421" s="100">
        <v>90410</v>
      </c>
      <c r="B421" s="116" t="s">
        <v>398</v>
      </c>
      <c r="C421" s="101" t="s">
        <v>22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21" customHeight="1" x14ac:dyDescent="0.4">
      <c r="A422" s="100"/>
      <c r="B422" s="116"/>
      <c r="C422" s="101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21" customHeight="1" x14ac:dyDescent="0.4">
      <c r="A423" s="109">
        <v>627907</v>
      </c>
      <c r="B423" s="120" t="s">
        <v>399</v>
      </c>
      <c r="C423" s="110" t="s">
        <v>17</v>
      </c>
      <c r="D423" s="7"/>
      <c r="E423" s="7"/>
      <c r="F423" s="7"/>
      <c r="G423" s="7"/>
      <c r="H423" s="6"/>
      <c r="I423" s="6"/>
      <c r="J423" s="6"/>
      <c r="K423" s="6"/>
      <c r="L423" s="6"/>
      <c r="M423" s="6"/>
    </row>
    <row r="424" spans="1:13" ht="21" customHeight="1" x14ac:dyDescent="0.4">
      <c r="A424" s="100">
        <v>462</v>
      </c>
      <c r="B424" s="116" t="s">
        <v>400</v>
      </c>
      <c r="C424" s="101" t="s">
        <v>17</v>
      </c>
      <c r="D424" s="7"/>
      <c r="E424" s="7"/>
      <c r="F424" s="7"/>
      <c r="G424" s="7"/>
      <c r="H424" s="6"/>
      <c r="I424" s="6"/>
      <c r="J424" s="6"/>
      <c r="K424" s="6"/>
      <c r="L424" s="6"/>
      <c r="M424" s="6"/>
    </row>
    <row r="425" spans="1:13" ht="21" customHeight="1" x14ac:dyDescent="0.4">
      <c r="A425" s="100">
        <v>463</v>
      </c>
      <c r="B425" s="116" t="s">
        <v>401</v>
      </c>
      <c r="C425" s="101" t="s">
        <v>17</v>
      </c>
      <c r="D425" s="7"/>
      <c r="E425" s="7"/>
      <c r="F425" s="7"/>
      <c r="G425" s="7"/>
      <c r="H425" s="6"/>
      <c r="I425" s="6"/>
      <c r="J425" s="6"/>
      <c r="K425" s="6"/>
      <c r="L425" s="6"/>
      <c r="M425" s="6"/>
    </row>
    <row r="426" spans="1:13" ht="21" customHeight="1" x14ac:dyDescent="0.4">
      <c r="A426" s="100">
        <v>458</v>
      </c>
      <c r="B426" s="116" t="s">
        <v>402</v>
      </c>
      <c r="C426" s="101" t="s">
        <v>17</v>
      </c>
      <c r="D426" s="7"/>
      <c r="E426" s="7"/>
      <c r="F426" s="7"/>
      <c r="G426" s="7"/>
      <c r="H426" s="6"/>
      <c r="I426" s="6"/>
      <c r="J426" s="6"/>
      <c r="K426" s="6"/>
      <c r="L426" s="6"/>
      <c r="M426" s="6"/>
    </row>
    <row r="427" spans="1:13" ht="21" customHeight="1" x14ac:dyDescent="0.4">
      <c r="A427" s="100">
        <v>459</v>
      </c>
      <c r="B427" s="116" t="s">
        <v>403</v>
      </c>
      <c r="C427" s="101" t="s">
        <v>17</v>
      </c>
      <c r="D427" s="7"/>
      <c r="E427" s="7"/>
      <c r="F427" s="7"/>
      <c r="G427" s="7"/>
      <c r="H427" s="6"/>
      <c r="I427" s="6"/>
      <c r="J427" s="6"/>
      <c r="K427" s="6"/>
      <c r="L427" s="6"/>
      <c r="M427" s="6"/>
    </row>
    <row r="428" spans="1:13" ht="21" x14ac:dyDescent="0.4">
      <c r="A428" s="100">
        <v>460</v>
      </c>
      <c r="B428" s="116" t="s">
        <v>404</v>
      </c>
      <c r="C428" s="101" t="s">
        <v>17</v>
      </c>
      <c r="D428" s="7"/>
      <c r="E428" s="7"/>
      <c r="F428" s="7"/>
      <c r="G428" s="7"/>
      <c r="H428" s="6"/>
      <c r="I428" s="6"/>
      <c r="J428" s="6"/>
      <c r="K428" s="6"/>
      <c r="L428" s="6"/>
      <c r="M428" s="6"/>
    </row>
    <row r="429" spans="1:13" ht="20.25" customHeight="1" x14ac:dyDescent="0.4">
      <c r="A429" s="100">
        <v>461</v>
      </c>
      <c r="B429" s="116" t="s">
        <v>405</v>
      </c>
      <c r="C429" s="101" t="s">
        <v>17</v>
      </c>
      <c r="D429" s="7"/>
      <c r="E429" s="7"/>
      <c r="F429" s="7"/>
      <c r="G429" s="7"/>
      <c r="H429" s="6"/>
      <c r="I429" s="6"/>
      <c r="J429" s="6"/>
      <c r="K429" s="6"/>
      <c r="L429" s="6"/>
      <c r="M429" s="6"/>
    </row>
    <row r="430" spans="1:13" ht="21" customHeight="1" x14ac:dyDescent="0.4">
      <c r="A430" s="100">
        <v>621992</v>
      </c>
      <c r="B430" s="116" t="s">
        <v>406</v>
      </c>
      <c r="C430" s="101" t="s">
        <v>17</v>
      </c>
      <c r="D430" s="7"/>
      <c r="E430" s="7"/>
      <c r="F430" s="7"/>
      <c r="G430" s="7"/>
      <c r="H430" s="6"/>
      <c r="I430" s="6"/>
      <c r="J430" s="6"/>
      <c r="K430" s="6"/>
      <c r="L430" s="6"/>
      <c r="M430" s="6"/>
    </row>
    <row r="431" spans="1:13" ht="21" customHeight="1" x14ac:dyDescent="0.4">
      <c r="A431" s="100">
        <v>630572</v>
      </c>
      <c r="B431" s="116" t="s">
        <v>407</v>
      </c>
      <c r="C431" s="101" t="s">
        <v>17</v>
      </c>
      <c r="D431" s="7"/>
      <c r="E431" s="7"/>
      <c r="F431" s="7"/>
      <c r="G431" s="7"/>
      <c r="H431" s="6"/>
      <c r="I431" s="6"/>
      <c r="J431" s="6"/>
      <c r="K431" s="6"/>
      <c r="L431" s="6"/>
      <c r="M431" s="6"/>
    </row>
    <row r="432" spans="1:13" ht="21" customHeight="1" x14ac:dyDescent="0.4">
      <c r="A432" s="100">
        <v>3020</v>
      </c>
      <c r="B432" s="116" t="s">
        <v>408</v>
      </c>
      <c r="C432" s="101" t="s">
        <v>17</v>
      </c>
      <c r="D432" s="7"/>
      <c r="E432" s="7"/>
      <c r="F432" s="7"/>
      <c r="G432" s="7"/>
      <c r="H432" s="6"/>
      <c r="I432" s="6"/>
      <c r="J432" s="6"/>
      <c r="K432" s="6"/>
      <c r="L432" s="6"/>
      <c r="M432" s="6"/>
    </row>
    <row r="433" spans="1:13" ht="21" customHeight="1" x14ac:dyDescent="0.4">
      <c r="A433" s="100">
        <v>3021</v>
      </c>
      <c r="B433" s="116" t="s">
        <v>409</v>
      </c>
      <c r="C433" s="101" t="s">
        <v>17</v>
      </c>
      <c r="D433" s="7"/>
      <c r="E433" s="7"/>
      <c r="F433" s="7"/>
      <c r="G433" s="7"/>
      <c r="H433" s="6"/>
      <c r="I433" s="6"/>
      <c r="J433" s="6"/>
      <c r="K433" s="6"/>
      <c r="L433" s="6"/>
      <c r="M433" s="6"/>
    </row>
    <row r="434" spans="1:13" ht="21" customHeight="1" x14ac:dyDescent="0.4">
      <c r="A434" s="100">
        <v>4096</v>
      </c>
      <c r="B434" s="116" t="s">
        <v>410</v>
      </c>
      <c r="C434" s="101" t="s">
        <v>17</v>
      </c>
      <c r="D434" s="7"/>
      <c r="E434" s="7"/>
      <c r="F434" s="7"/>
      <c r="G434" s="7"/>
      <c r="H434" s="6"/>
      <c r="I434" s="6"/>
      <c r="J434" s="6"/>
      <c r="K434" s="6"/>
      <c r="L434" s="6"/>
      <c r="M434" s="6"/>
    </row>
    <row r="435" spans="1:13" ht="21" customHeight="1" x14ac:dyDescent="0.4">
      <c r="A435" s="100">
        <v>252</v>
      </c>
      <c r="B435" s="116" t="s">
        <v>411</v>
      </c>
      <c r="C435" s="101" t="s">
        <v>17</v>
      </c>
      <c r="D435" s="7"/>
      <c r="E435" s="7"/>
      <c r="F435" s="7"/>
      <c r="G435" s="7"/>
      <c r="H435" s="6"/>
      <c r="I435" s="6"/>
      <c r="J435" s="6"/>
      <c r="K435" s="6"/>
      <c r="L435" s="6"/>
      <c r="M435" s="6"/>
    </row>
    <row r="436" spans="1:13" ht="21" customHeight="1" x14ac:dyDescent="0.4">
      <c r="A436" s="111">
        <v>90519</v>
      </c>
      <c r="B436" s="123" t="s">
        <v>412</v>
      </c>
      <c r="C436" s="101" t="s">
        <v>22</v>
      </c>
      <c r="D436" s="7"/>
      <c r="E436" s="7"/>
      <c r="F436" s="7"/>
      <c r="G436" s="7"/>
      <c r="H436" s="6"/>
      <c r="I436" s="6"/>
      <c r="J436" s="6"/>
      <c r="K436" s="6"/>
      <c r="L436" s="6"/>
      <c r="M436" s="6"/>
    </row>
    <row r="437" spans="1:13" ht="21" customHeight="1" x14ac:dyDescent="0.4">
      <c r="A437" s="100">
        <v>3095</v>
      </c>
      <c r="B437" s="116" t="s">
        <v>413</v>
      </c>
      <c r="C437" s="101" t="s">
        <v>17</v>
      </c>
      <c r="D437" s="7"/>
      <c r="E437" s="7"/>
      <c r="F437" s="7"/>
      <c r="G437" s="7"/>
      <c r="H437" s="6"/>
      <c r="I437" s="6"/>
      <c r="J437" s="6"/>
      <c r="K437" s="6"/>
      <c r="L437" s="6"/>
      <c r="M437" s="6"/>
    </row>
    <row r="438" spans="1:13" ht="21" customHeight="1" x14ac:dyDescent="0.4">
      <c r="A438" s="100">
        <v>3096</v>
      </c>
      <c r="B438" s="116" t="s">
        <v>414</v>
      </c>
      <c r="C438" s="101" t="s">
        <v>17</v>
      </c>
      <c r="D438" s="7"/>
      <c r="E438" s="7"/>
      <c r="F438" s="7"/>
      <c r="G438" s="7"/>
      <c r="H438" s="6"/>
      <c r="I438" s="6"/>
      <c r="J438" s="6"/>
      <c r="K438" s="6"/>
      <c r="L438" s="6"/>
      <c r="M438" s="6"/>
    </row>
    <row r="439" spans="1:13" ht="21" customHeight="1" x14ac:dyDescent="0.4">
      <c r="A439" s="100">
        <v>90425</v>
      </c>
      <c r="B439" s="116" t="s">
        <v>415</v>
      </c>
      <c r="C439" s="101" t="s">
        <v>22</v>
      </c>
      <c r="D439" s="7"/>
      <c r="E439" s="7"/>
      <c r="F439" s="7"/>
      <c r="G439" s="7"/>
      <c r="H439" s="6"/>
      <c r="I439" s="6"/>
      <c r="J439" s="6"/>
      <c r="K439" s="6"/>
      <c r="L439" s="6"/>
      <c r="M439" s="6"/>
    </row>
    <row r="440" spans="1:13" ht="21" customHeight="1" x14ac:dyDescent="0.4">
      <c r="A440" s="100">
        <v>3037</v>
      </c>
      <c r="B440" s="116" t="s">
        <v>416</v>
      </c>
      <c r="C440" s="101" t="s">
        <v>17</v>
      </c>
      <c r="D440" s="7"/>
      <c r="E440" s="7"/>
      <c r="F440" s="7"/>
      <c r="G440" s="7"/>
      <c r="H440" s="6"/>
      <c r="I440" s="6"/>
      <c r="J440" s="6"/>
      <c r="K440" s="6"/>
      <c r="L440" s="6"/>
      <c r="M440" s="6"/>
    </row>
    <row r="441" spans="1:13" ht="21" customHeight="1" x14ac:dyDescent="0.4">
      <c r="A441" s="100">
        <v>90427</v>
      </c>
      <c r="B441" s="116" t="s">
        <v>417</v>
      </c>
      <c r="C441" s="101" t="s">
        <v>22</v>
      </c>
      <c r="D441" s="7"/>
      <c r="E441" s="7"/>
      <c r="F441" s="7"/>
      <c r="G441" s="7"/>
      <c r="H441" s="6"/>
      <c r="I441" s="6"/>
      <c r="J441" s="6"/>
      <c r="K441" s="6"/>
      <c r="L441" s="6"/>
      <c r="M441" s="6"/>
    </row>
    <row r="442" spans="1:13" ht="21" customHeight="1" x14ac:dyDescent="0.4">
      <c r="A442" s="100">
        <v>312</v>
      </c>
      <c r="B442" s="116" t="s">
        <v>418</v>
      </c>
      <c r="C442" s="101" t="s">
        <v>17</v>
      </c>
      <c r="D442" s="7"/>
      <c r="E442" s="7"/>
      <c r="F442" s="7"/>
      <c r="G442" s="7"/>
      <c r="H442" s="6"/>
      <c r="I442" s="6"/>
      <c r="J442" s="6"/>
      <c r="K442" s="6"/>
      <c r="L442" s="6"/>
      <c r="M442" s="6"/>
    </row>
    <row r="443" spans="1:13" ht="21" customHeight="1" x14ac:dyDescent="0.4">
      <c r="A443" s="100">
        <v>3039</v>
      </c>
      <c r="B443" s="116" t="s">
        <v>419</v>
      </c>
      <c r="C443" s="101" t="s">
        <v>17</v>
      </c>
      <c r="D443" s="7"/>
      <c r="E443" s="7"/>
      <c r="F443" s="7"/>
      <c r="G443" s="7"/>
      <c r="H443" s="6"/>
      <c r="I443" s="6"/>
      <c r="J443" s="6"/>
      <c r="K443" s="6"/>
      <c r="L443" s="6"/>
      <c r="M443" s="6"/>
    </row>
    <row r="444" spans="1:13" ht="21" customHeight="1" x14ac:dyDescent="0.4">
      <c r="A444" s="100">
        <v>90532</v>
      </c>
      <c r="B444" s="116" t="s">
        <v>420</v>
      </c>
      <c r="C444" s="101" t="s">
        <v>22</v>
      </c>
      <c r="D444" s="7"/>
      <c r="E444" s="7"/>
      <c r="F444" s="7"/>
      <c r="G444" s="7"/>
      <c r="H444" s="6"/>
      <c r="I444" s="6"/>
      <c r="J444" s="6"/>
      <c r="K444" s="6"/>
      <c r="L444" s="6"/>
      <c r="M444" s="6"/>
    </row>
    <row r="445" spans="1:13" ht="21" customHeight="1" x14ac:dyDescent="0.4">
      <c r="A445" s="100">
        <v>90533</v>
      </c>
      <c r="B445" s="116" t="s">
        <v>421</v>
      </c>
      <c r="C445" s="101" t="s">
        <v>22</v>
      </c>
      <c r="D445" s="7"/>
      <c r="E445" s="7"/>
      <c r="F445" s="7"/>
      <c r="G445" s="7"/>
      <c r="H445" s="6"/>
      <c r="I445" s="6"/>
      <c r="J445" s="6"/>
      <c r="K445" s="6"/>
      <c r="L445" s="6"/>
      <c r="M445" s="6"/>
    </row>
    <row r="446" spans="1:13" ht="21" customHeight="1" x14ac:dyDescent="0.4">
      <c r="A446" s="100">
        <v>4301</v>
      </c>
      <c r="B446" s="116" t="s">
        <v>422</v>
      </c>
      <c r="C446" s="101" t="s">
        <v>17</v>
      </c>
      <c r="D446" s="7"/>
      <c r="E446" s="7"/>
      <c r="F446" s="7"/>
      <c r="G446" s="7"/>
      <c r="H446" s="6"/>
      <c r="I446" s="6"/>
      <c r="J446" s="6"/>
      <c r="K446" s="6"/>
      <c r="L446" s="6"/>
      <c r="M446" s="6"/>
    </row>
    <row r="447" spans="1:13" ht="21" customHeight="1" x14ac:dyDescent="0.4">
      <c r="A447" s="100">
        <v>90421</v>
      </c>
      <c r="B447" s="116" t="s">
        <v>423</v>
      </c>
      <c r="C447" s="101" t="s">
        <v>22</v>
      </c>
      <c r="D447" s="7"/>
      <c r="E447" s="7"/>
      <c r="F447" s="7"/>
      <c r="G447" s="7"/>
      <c r="H447" s="6"/>
      <c r="I447" s="6"/>
      <c r="J447" s="6"/>
      <c r="K447" s="6"/>
      <c r="L447" s="6"/>
      <c r="M447" s="6"/>
    </row>
    <row r="448" spans="1:13" ht="21" customHeight="1" x14ac:dyDescent="0.4">
      <c r="A448" s="103">
        <v>625220</v>
      </c>
      <c r="B448" s="104" t="s">
        <v>424</v>
      </c>
      <c r="C448" s="101" t="s">
        <v>425</v>
      </c>
      <c r="D448" s="7"/>
      <c r="E448" s="7"/>
      <c r="F448" s="7"/>
      <c r="G448" s="7"/>
      <c r="H448" s="6"/>
      <c r="I448" s="6"/>
      <c r="J448" s="6"/>
      <c r="K448" s="6"/>
      <c r="L448" s="6"/>
      <c r="M448" s="6"/>
    </row>
    <row r="449" spans="1:13" ht="21" customHeight="1" x14ac:dyDescent="0.4">
      <c r="A449" s="100">
        <v>3146</v>
      </c>
      <c r="B449" s="116" t="s">
        <v>426</v>
      </c>
      <c r="C449" s="101" t="s">
        <v>17</v>
      </c>
      <c r="D449" s="8"/>
      <c r="E449" s="8"/>
      <c r="F449" s="8"/>
      <c r="G449" s="8"/>
      <c r="H449" s="6"/>
      <c r="I449" s="6"/>
      <c r="J449" s="6"/>
      <c r="K449" s="6"/>
      <c r="L449" s="6"/>
      <c r="M449" s="6"/>
    </row>
    <row r="450" spans="1:13" ht="21" customHeight="1" x14ac:dyDescent="0.4">
      <c r="A450" s="100">
        <v>95</v>
      </c>
      <c r="B450" s="116" t="s">
        <v>427</v>
      </c>
      <c r="C450" s="101" t="s">
        <v>17</v>
      </c>
      <c r="D450" s="8"/>
      <c r="E450" s="8"/>
      <c r="F450" s="8"/>
      <c r="G450" s="8"/>
      <c r="H450" s="6"/>
      <c r="I450" s="6"/>
      <c r="J450" s="6"/>
      <c r="K450" s="6"/>
      <c r="L450" s="6"/>
      <c r="M450" s="6"/>
    </row>
    <row r="451" spans="1:13" ht="21" customHeight="1" x14ac:dyDescent="0.4">
      <c r="A451" s="100">
        <v>341</v>
      </c>
      <c r="B451" s="116" t="s">
        <v>428</v>
      </c>
      <c r="C451" s="101" t="s">
        <v>17</v>
      </c>
      <c r="D451" s="8"/>
      <c r="E451" s="8"/>
      <c r="F451" s="8"/>
      <c r="G451" s="8"/>
      <c r="H451" s="6"/>
      <c r="I451" s="6"/>
      <c r="J451" s="6"/>
      <c r="K451" s="6"/>
      <c r="L451" s="6"/>
      <c r="M451" s="6"/>
    </row>
    <row r="452" spans="1:13" ht="21" customHeight="1" x14ac:dyDescent="0.4">
      <c r="A452" s="101">
        <v>629427</v>
      </c>
      <c r="B452" s="121" t="s">
        <v>429</v>
      </c>
      <c r="C452" s="101" t="s">
        <v>17</v>
      </c>
      <c r="D452" s="9"/>
      <c r="E452" s="9"/>
      <c r="F452" s="9"/>
      <c r="G452" s="9"/>
      <c r="H452" s="6"/>
      <c r="I452" s="6"/>
      <c r="J452" s="6"/>
      <c r="K452" s="6"/>
      <c r="L452" s="6"/>
      <c r="M452" s="6"/>
    </row>
    <row r="453" spans="1:13" ht="21" customHeight="1" x14ac:dyDescent="0.4">
      <c r="A453" s="100">
        <v>628113</v>
      </c>
      <c r="B453" s="116" t="s">
        <v>430</v>
      </c>
      <c r="C453" s="101" t="s">
        <v>17</v>
      </c>
      <c r="D453" s="9"/>
      <c r="E453" s="9"/>
      <c r="F453" s="9"/>
      <c r="G453" s="9"/>
      <c r="H453" s="6"/>
      <c r="I453" s="6"/>
      <c r="J453" s="6"/>
      <c r="K453" s="6"/>
      <c r="L453" s="6"/>
      <c r="M453" s="6"/>
    </row>
    <row r="454" spans="1:13" ht="21" customHeight="1" x14ac:dyDescent="0.4">
      <c r="A454" s="100">
        <v>90048</v>
      </c>
      <c r="B454" s="116" t="s">
        <v>431</v>
      </c>
      <c r="C454" s="101" t="s">
        <v>22</v>
      </c>
      <c r="D454" s="8"/>
      <c r="E454" s="8"/>
      <c r="F454" s="8"/>
      <c r="G454" s="8"/>
      <c r="H454" s="6"/>
      <c r="I454" s="6"/>
      <c r="J454" s="6"/>
      <c r="K454" s="6"/>
      <c r="L454" s="6"/>
      <c r="M454" s="6"/>
    </row>
    <row r="455" spans="1:13" ht="21" customHeight="1" x14ac:dyDescent="0.4">
      <c r="A455" s="100">
        <v>90049</v>
      </c>
      <c r="B455" s="116" t="s">
        <v>432</v>
      </c>
      <c r="C455" s="101" t="s">
        <v>22</v>
      </c>
      <c r="D455" s="8"/>
      <c r="E455" s="8"/>
      <c r="F455" s="8"/>
      <c r="G455" s="8"/>
      <c r="H455" s="6"/>
      <c r="I455" s="6"/>
      <c r="J455" s="6"/>
      <c r="K455" s="6"/>
      <c r="L455" s="6"/>
      <c r="M455" s="6"/>
    </row>
    <row r="456" spans="1:13" ht="21" customHeight="1" x14ac:dyDescent="0.4">
      <c r="A456" s="100">
        <v>90050</v>
      </c>
      <c r="B456" s="116" t="s">
        <v>433</v>
      </c>
      <c r="C456" s="101" t="s">
        <v>22</v>
      </c>
      <c r="D456" s="7"/>
      <c r="E456" s="7"/>
      <c r="F456" s="7"/>
      <c r="G456" s="7"/>
      <c r="H456" s="6"/>
      <c r="I456" s="6"/>
      <c r="J456" s="6"/>
      <c r="K456" s="6"/>
      <c r="L456" s="6"/>
      <c r="M456" s="6"/>
    </row>
    <row r="457" spans="1:13" ht="21" customHeight="1" x14ac:dyDescent="0.4">
      <c r="A457" s="100">
        <v>90051</v>
      </c>
      <c r="B457" s="116" t="s">
        <v>434</v>
      </c>
      <c r="C457" s="101" t="s">
        <v>22</v>
      </c>
      <c r="D457" s="7"/>
      <c r="E457" s="7"/>
      <c r="F457" s="7"/>
      <c r="G457" s="7"/>
      <c r="H457" s="6"/>
      <c r="I457" s="6"/>
      <c r="J457" s="6"/>
      <c r="K457" s="6"/>
      <c r="L457" s="6"/>
      <c r="M457" s="6"/>
    </row>
    <row r="458" spans="1:13" ht="21" customHeight="1" x14ac:dyDescent="0.4">
      <c r="A458" s="100">
        <v>90052</v>
      </c>
      <c r="B458" s="116" t="s">
        <v>435</v>
      </c>
      <c r="C458" s="101" t="s">
        <v>22</v>
      </c>
      <c r="D458" s="7"/>
      <c r="E458" s="7"/>
      <c r="F458" s="7"/>
      <c r="G458" s="7"/>
      <c r="H458" s="6"/>
      <c r="I458" s="6"/>
      <c r="J458" s="6"/>
      <c r="K458" s="6"/>
      <c r="L458" s="6"/>
      <c r="M458" s="6"/>
    </row>
    <row r="459" spans="1:13" ht="21" customHeight="1" x14ac:dyDescent="0.4">
      <c r="A459" s="100">
        <v>90053</v>
      </c>
      <c r="B459" s="116" t="s">
        <v>436</v>
      </c>
      <c r="C459" s="101" t="s">
        <v>22</v>
      </c>
      <c r="D459" s="7"/>
      <c r="E459" s="7"/>
      <c r="F459" s="7"/>
      <c r="G459" s="7"/>
      <c r="H459" s="6"/>
      <c r="I459" s="6"/>
      <c r="J459" s="6"/>
      <c r="K459" s="6"/>
      <c r="L459" s="6"/>
      <c r="M459" s="6"/>
    </row>
    <row r="460" spans="1:13" ht="21" customHeight="1" x14ac:dyDescent="0.4">
      <c r="A460" s="100">
        <v>90054</v>
      </c>
      <c r="B460" s="116" t="s">
        <v>437</v>
      </c>
      <c r="C460" s="101" t="s">
        <v>22</v>
      </c>
      <c r="D460" s="7"/>
      <c r="E460" s="7"/>
      <c r="F460" s="7"/>
      <c r="G460" s="7"/>
      <c r="H460" s="6"/>
      <c r="I460" s="6"/>
      <c r="J460" s="6"/>
      <c r="K460" s="6"/>
      <c r="L460" s="6"/>
      <c r="M460" s="6"/>
    </row>
    <row r="461" spans="1:13" ht="21" customHeight="1" x14ac:dyDescent="0.4">
      <c r="A461" s="100">
        <v>90055</v>
      </c>
      <c r="B461" s="116" t="s">
        <v>438</v>
      </c>
      <c r="C461" s="101" t="s">
        <v>22</v>
      </c>
      <c r="D461" s="7"/>
      <c r="E461" s="7"/>
      <c r="F461" s="7"/>
      <c r="G461" s="7"/>
      <c r="H461" s="6"/>
      <c r="I461" s="6"/>
      <c r="J461" s="6"/>
      <c r="K461" s="6"/>
      <c r="L461" s="6"/>
      <c r="M461" s="6"/>
    </row>
    <row r="462" spans="1:13" ht="21" customHeight="1" x14ac:dyDescent="0.4">
      <c r="A462" s="100">
        <v>90064</v>
      </c>
      <c r="B462" s="116" t="s">
        <v>439</v>
      </c>
      <c r="C462" s="101" t="s">
        <v>22</v>
      </c>
      <c r="D462" s="7"/>
      <c r="E462" s="7"/>
      <c r="F462" s="7"/>
      <c r="G462" s="7"/>
      <c r="H462" s="6"/>
      <c r="I462" s="6"/>
      <c r="J462" s="6"/>
      <c r="K462" s="6"/>
      <c r="L462" s="6"/>
      <c r="M462" s="6"/>
    </row>
    <row r="463" spans="1:13" ht="21" customHeight="1" x14ac:dyDescent="0.4">
      <c r="A463" s="100">
        <v>90065</v>
      </c>
      <c r="B463" s="116" t="s">
        <v>440</v>
      </c>
      <c r="C463" s="101" t="s">
        <v>22</v>
      </c>
      <c r="D463" s="7"/>
      <c r="E463" s="7"/>
      <c r="F463" s="7"/>
      <c r="G463" s="7"/>
      <c r="H463" s="6"/>
      <c r="I463" s="6"/>
      <c r="J463" s="6"/>
      <c r="K463" s="6"/>
      <c r="L463" s="6"/>
      <c r="M463" s="6"/>
    </row>
    <row r="464" spans="1:13" ht="21" customHeight="1" x14ac:dyDescent="0.4">
      <c r="A464" s="100">
        <v>90066</v>
      </c>
      <c r="B464" s="116" t="s">
        <v>441</v>
      </c>
      <c r="C464" s="101" t="s">
        <v>22</v>
      </c>
      <c r="D464" s="7"/>
      <c r="E464" s="7"/>
      <c r="F464" s="7"/>
      <c r="G464" s="7"/>
      <c r="H464" s="6"/>
      <c r="I464" s="6"/>
      <c r="J464" s="6"/>
      <c r="K464" s="6"/>
      <c r="L464" s="6"/>
      <c r="M464" s="6"/>
    </row>
    <row r="465" spans="1:17" ht="21" customHeight="1" x14ac:dyDescent="0.4">
      <c r="A465" s="100">
        <v>90067</v>
      </c>
      <c r="B465" s="124" t="s">
        <v>442</v>
      </c>
      <c r="C465" s="101" t="s">
        <v>22</v>
      </c>
      <c r="D465" s="7"/>
      <c r="E465" s="7"/>
      <c r="F465" s="7"/>
      <c r="G465" s="7"/>
      <c r="H465" s="6"/>
      <c r="I465" s="6"/>
      <c r="J465" s="6"/>
      <c r="K465" s="6"/>
      <c r="L465" s="6"/>
      <c r="M465" s="6"/>
    </row>
    <row r="466" spans="1:17" ht="21" customHeight="1" x14ac:dyDescent="0.4">
      <c r="A466" s="100">
        <v>90078</v>
      </c>
      <c r="B466" s="116" t="s">
        <v>443</v>
      </c>
      <c r="C466" s="101" t="s">
        <v>22</v>
      </c>
      <c r="D466" s="7"/>
      <c r="E466" s="7"/>
      <c r="F466" s="7"/>
      <c r="G466" s="7"/>
      <c r="H466" s="6"/>
      <c r="I466" s="6"/>
      <c r="J466" s="6"/>
      <c r="K466" s="6"/>
      <c r="L466" s="6"/>
      <c r="M466" s="6"/>
    </row>
    <row r="467" spans="1:17" ht="21" customHeight="1" x14ac:dyDescent="0.4">
      <c r="A467" s="100">
        <v>90080</v>
      </c>
      <c r="B467" s="116" t="s">
        <v>444</v>
      </c>
      <c r="C467" s="101" t="s">
        <v>22</v>
      </c>
      <c r="D467" s="7"/>
      <c r="E467" s="7"/>
      <c r="F467" s="7"/>
      <c r="G467" s="7"/>
      <c r="H467" s="6"/>
      <c r="I467" s="6"/>
      <c r="J467" s="6"/>
      <c r="K467" s="6"/>
      <c r="L467" s="6"/>
      <c r="M467" s="6"/>
    </row>
    <row r="468" spans="1:17" ht="21" customHeight="1" x14ac:dyDescent="0.4">
      <c r="A468" s="100">
        <v>90081</v>
      </c>
      <c r="B468" s="116" t="s">
        <v>445</v>
      </c>
      <c r="C468" s="101" t="s">
        <v>22</v>
      </c>
      <c r="D468" s="7"/>
      <c r="E468" s="7"/>
      <c r="F468" s="7"/>
      <c r="G468" s="7"/>
      <c r="H468" s="6"/>
      <c r="I468" s="6"/>
      <c r="J468" s="6"/>
      <c r="K468" s="6"/>
      <c r="L468" s="6"/>
      <c r="M468" s="6"/>
    </row>
    <row r="469" spans="1:17" ht="21" customHeight="1" x14ac:dyDescent="0.4">
      <c r="A469" s="100">
        <v>90082</v>
      </c>
      <c r="B469" s="116" t="s">
        <v>446</v>
      </c>
      <c r="C469" s="101" t="s">
        <v>22</v>
      </c>
      <c r="D469" s="7"/>
      <c r="E469" s="7"/>
      <c r="F469" s="7"/>
      <c r="G469" s="7"/>
      <c r="H469" s="6"/>
      <c r="I469" s="6"/>
      <c r="J469" s="6"/>
      <c r="K469" s="6"/>
      <c r="L469" s="6"/>
      <c r="M469" s="6"/>
    </row>
    <row r="470" spans="1:17" ht="21" customHeight="1" x14ac:dyDescent="0.4">
      <c r="A470" s="100">
        <v>90094</v>
      </c>
      <c r="B470" s="116" t="s">
        <v>447</v>
      </c>
      <c r="C470" s="101" t="s">
        <v>22</v>
      </c>
      <c r="D470" s="7"/>
      <c r="E470" s="7"/>
      <c r="F470" s="7"/>
      <c r="G470" s="7"/>
      <c r="H470" s="6"/>
      <c r="I470" s="6"/>
      <c r="J470" s="6"/>
      <c r="K470" s="6"/>
      <c r="L470" s="6"/>
      <c r="M470" s="6"/>
    </row>
    <row r="471" spans="1:17" ht="21" customHeight="1" x14ac:dyDescent="0.4">
      <c r="A471" s="100">
        <v>90094</v>
      </c>
      <c r="B471" s="116" t="s">
        <v>447</v>
      </c>
      <c r="C471" s="101" t="s">
        <v>22</v>
      </c>
      <c r="D471" s="7"/>
      <c r="E471" s="7"/>
      <c r="F471" s="7"/>
      <c r="G471" s="7"/>
      <c r="H471" s="6"/>
      <c r="I471" s="6"/>
      <c r="J471" s="6"/>
      <c r="K471" s="6"/>
      <c r="L471" s="6"/>
      <c r="M471" s="6"/>
    </row>
    <row r="472" spans="1:17" ht="21" customHeight="1" x14ac:dyDescent="0.4">
      <c r="A472" s="100">
        <v>90095</v>
      </c>
      <c r="B472" s="116" t="s">
        <v>448</v>
      </c>
      <c r="C472" s="101" t="s">
        <v>22</v>
      </c>
      <c r="D472" s="7"/>
      <c r="E472" s="7"/>
      <c r="F472" s="7"/>
      <c r="G472" s="7"/>
      <c r="H472" s="6"/>
      <c r="I472" s="6"/>
      <c r="J472" s="6"/>
      <c r="K472" s="6"/>
      <c r="L472" s="6"/>
      <c r="M472" s="6"/>
    </row>
    <row r="473" spans="1:17" ht="21" customHeight="1" x14ac:dyDescent="0.4">
      <c r="A473" s="100">
        <v>90096</v>
      </c>
      <c r="B473" s="116" t="s">
        <v>449</v>
      </c>
      <c r="C473" s="101" t="s">
        <v>22</v>
      </c>
      <c r="D473" s="7"/>
      <c r="E473" s="7"/>
      <c r="F473" s="7"/>
      <c r="G473" s="7"/>
      <c r="H473" s="87"/>
      <c r="I473" s="87"/>
      <c r="J473" s="87"/>
      <c r="K473" s="87"/>
      <c r="L473" s="87"/>
      <c r="M473" s="87"/>
    </row>
    <row r="474" spans="1:17" ht="21" customHeight="1" x14ac:dyDescent="0.4">
      <c r="A474" s="100">
        <v>90793</v>
      </c>
      <c r="B474" s="116" t="s">
        <v>713</v>
      </c>
      <c r="C474" s="101" t="s">
        <v>22</v>
      </c>
      <c r="D474" s="7"/>
      <c r="E474" s="7"/>
      <c r="F474" s="7"/>
      <c r="G474" s="7"/>
      <c r="H474" s="87"/>
      <c r="I474" s="87"/>
      <c r="J474" s="87"/>
      <c r="K474" s="87"/>
      <c r="L474" s="87"/>
      <c r="M474" s="87"/>
    </row>
    <row r="475" spans="1:17" ht="21" customHeight="1" x14ac:dyDescent="0.4">
      <c r="A475" s="100">
        <v>2530</v>
      </c>
      <c r="B475" s="116" t="s">
        <v>714</v>
      </c>
      <c r="C475" s="101" t="s">
        <v>22</v>
      </c>
      <c r="D475" s="7"/>
      <c r="E475" s="7"/>
      <c r="F475" s="7"/>
      <c r="G475" s="7"/>
      <c r="H475" s="87"/>
      <c r="I475" s="87"/>
      <c r="J475" s="87"/>
      <c r="K475" s="87"/>
      <c r="L475" s="87"/>
      <c r="M475" s="87"/>
    </row>
    <row r="476" spans="1:17" ht="21" customHeight="1" x14ac:dyDescent="0.4">
      <c r="A476" s="100">
        <v>90460</v>
      </c>
      <c r="B476" s="116" t="s">
        <v>715</v>
      </c>
      <c r="C476" s="101" t="s">
        <v>22</v>
      </c>
      <c r="D476" s="7"/>
      <c r="E476" s="7"/>
      <c r="F476" s="7"/>
      <c r="G476" s="7"/>
      <c r="H476" s="87"/>
      <c r="I476" s="87"/>
      <c r="J476" s="87"/>
      <c r="K476" s="87"/>
      <c r="L476" s="87"/>
      <c r="M476" s="87"/>
    </row>
    <row r="477" spans="1:17" ht="21" customHeight="1" x14ac:dyDescent="0.4">
      <c r="A477" s="100">
        <v>90461</v>
      </c>
      <c r="B477" s="116" t="s">
        <v>1345</v>
      </c>
      <c r="C477" s="101" t="s">
        <v>22</v>
      </c>
      <c r="D477" s="7"/>
      <c r="E477" s="7"/>
      <c r="F477" s="7"/>
      <c r="G477" s="7"/>
      <c r="H477" s="87"/>
      <c r="I477" s="87"/>
      <c r="J477" s="87"/>
      <c r="K477" s="87"/>
      <c r="L477" s="87"/>
      <c r="M477" s="87"/>
    </row>
    <row r="478" spans="1:17" ht="21" customHeight="1" x14ac:dyDescent="0.4">
      <c r="A478" s="100">
        <v>90645</v>
      </c>
      <c r="B478" s="116" t="s">
        <v>716</v>
      </c>
      <c r="C478" s="101" t="s">
        <v>22</v>
      </c>
      <c r="D478" s="7"/>
      <c r="E478" s="7"/>
      <c r="F478" s="7"/>
      <c r="G478" s="7"/>
      <c r="H478" s="87"/>
      <c r="I478" s="87"/>
      <c r="J478" s="87"/>
      <c r="K478" s="87"/>
      <c r="L478" s="87"/>
      <c r="M478" s="87"/>
    </row>
    <row r="479" spans="1:17" ht="21" customHeight="1" x14ac:dyDescent="0.4">
      <c r="A479" s="100">
        <v>90345</v>
      </c>
      <c r="B479" s="116" t="s">
        <v>717</v>
      </c>
      <c r="C479" s="101" t="s">
        <v>22</v>
      </c>
      <c r="D479" s="130">
        <v>10001448</v>
      </c>
      <c r="E479" s="131">
        <v>0.22500000000000001</v>
      </c>
      <c r="F479" s="131" t="s">
        <v>38</v>
      </c>
      <c r="G479" s="131" t="s">
        <v>718</v>
      </c>
      <c r="H479" s="87"/>
      <c r="I479" s="87"/>
      <c r="J479" s="87"/>
      <c r="K479" s="87"/>
      <c r="L479" s="87"/>
      <c r="M479" s="87"/>
      <c r="N479" s="87"/>
      <c r="O479" s="87"/>
      <c r="P479" s="87"/>
      <c r="Q479" s="87"/>
    </row>
    <row r="480" spans="1:17" ht="21" customHeight="1" x14ac:dyDescent="0.4">
      <c r="A480" s="100">
        <v>90645</v>
      </c>
      <c r="B480" s="116" t="s">
        <v>716</v>
      </c>
      <c r="C480" s="101"/>
      <c r="D480" s="130">
        <v>10001484</v>
      </c>
      <c r="E480" s="131">
        <v>0.09</v>
      </c>
      <c r="F480" s="131" t="s">
        <v>38</v>
      </c>
      <c r="G480" s="131" t="s">
        <v>718</v>
      </c>
      <c r="H480" s="88"/>
      <c r="I480" s="88"/>
      <c r="J480" s="88"/>
      <c r="K480" s="88"/>
      <c r="L480" s="87"/>
      <c r="M480" s="87"/>
      <c r="N480" s="87"/>
      <c r="O480" s="87"/>
      <c r="P480" s="87"/>
      <c r="Q480" s="87"/>
    </row>
    <row r="481" spans="1:13" ht="21" customHeight="1" x14ac:dyDescent="0.4">
      <c r="A481" s="103">
        <v>90379</v>
      </c>
      <c r="B481" s="116" t="s">
        <v>719</v>
      </c>
      <c r="C481" s="101"/>
      <c r="D481" s="127"/>
      <c r="E481" s="127"/>
      <c r="F481" s="127"/>
      <c r="G481" s="127"/>
      <c r="H481" s="6"/>
      <c r="I481" s="6"/>
      <c r="J481" s="6"/>
      <c r="K481" s="6"/>
      <c r="L481" s="6"/>
      <c r="M481" s="6"/>
    </row>
    <row r="482" spans="1:13" ht="21" customHeight="1" x14ac:dyDescent="0.4">
      <c r="A482" s="128">
        <v>90648</v>
      </c>
      <c r="B482" s="125" t="s">
        <v>1118</v>
      </c>
      <c r="C482" s="128" t="s">
        <v>17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21" customHeight="1" x14ac:dyDescent="0.4">
      <c r="A483" s="128">
        <v>90301</v>
      </c>
      <c r="B483" s="125" t="s">
        <v>1119</v>
      </c>
      <c r="C483" s="128" t="s">
        <v>22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21" customHeight="1" x14ac:dyDescent="0.4">
      <c r="A484" s="128">
        <v>90013</v>
      </c>
      <c r="B484" s="125" t="s">
        <v>1120</v>
      </c>
      <c r="C484" s="128" t="s">
        <v>22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21" customHeight="1" x14ac:dyDescent="0.4">
      <c r="A485" s="128">
        <v>113</v>
      </c>
      <c r="B485" s="125" t="s">
        <v>18</v>
      </c>
      <c r="C485" s="128" t="s">
        <v>17</v>
      </c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21" customHeight="1" x14ac:dyDescent="0.4">
      <c r="A486" s="128">
        <v>2814</v>
      </c>
      <c r="B486" s="125" t="s">
        <v>19</v>
      </c>
      <c r="C486" s="128" t="s">
        <v>17</v>
      </c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21" customHeight="1" x14ac:dyDescent="0.4">
      <c r="A487" s="128">
        <v>90315</v>
      </c>
      <c r="B487" s="125" t="s">
        <v>1121</v>
      </c>
      <c r="C487" s="128" t="s">
        <v>22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21" customHeight="1" x14ac:dyDescent="0.4">
      <c r="A488" s="128">
        <v>90308</v>
      </c>
      <c r="B488" s="125" t="s">
        <v>1122</v>
      </c>
      <c r="C488" s="128" t="s">
        <v>22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21" customHeight="1" x14ac:dyDescent="0.4">
      <c r="A489" s="128">
        <v>90309</v>
      </c>
      <c r="B489" s="125" t="s">
        <v>1123</v>
      </c>
      <c r="C489" s="128" t="s">
        <v>22</v>
      </c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21" customHeight="1" x14ac:dyDescent="0.4">
      <c r="A490" s="128">
        <v>90307</v>
      </c>
      <c r="B490" s="125" t="s">
        <v>1124</v>
      </c>
      <c r="C490" s="128" t="s">
        <v>22</v>
      </c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21" customHeight="1" x14ac:dyDescent="0.4">
      <c r="A491" s="128">
        <v>121</v>
      </c>
      <c r="B491" s="125" t="s">
        <v>20</v>
      </c>
      <c r="C491" s="128" t="s">
        <v>17</v>
      </c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21" customHeight="1" x14ac:dyDescent="0.4">
      <c r="A492" s="128">
        <v>90303</v>
      </c>
      <c r="B492" s="125" t="s">
        <v>1125</v>
      </c>
      <c r="C492" s="128" t="s">
        <v>22</v>
      </c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21" customHeight="1" x14ac:dyDescent="0.4">
      <c r="A493" s="128">
        <v>90305</v>
      </c>
      <c r="B493" s="125" t="s">
        <v>1126</v>
      </c>
      <c r="C493" s="128" t="s">
        <v>22</v>
      </c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21" customHeight="1" x14ac:dyDescent="0.4">
      <c r="A494" s="128">
        <v>2815</v>
      </c>
      <c r="B494" s="125" t="s">
        <v>32</v>
      </c>
      <c r="C494" s="128" t="s">
        <v>17</v>
      </c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21" customHeight="1" x14ac:dyDescent="0.4">
      <c r="A495" s="128">
        <v>2878</v>
      </c>
      <c r="B495" s="125" t="s">
        <v>1127</v>
      </c>
      <c r="C495" s="128" t="s">
        <v>17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21" customHeight="1" x14ac:dyDescent="0.4">
      <c r="A496" s="128">
        <v>90537</v>
      </c>
      <c r="B496" s="125" t="s">
        <v>1128</v>
      </c>
      <c r="C496" s="128" t="s">
        <v>22</v>
      </c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21" customHeight="1" x14ac:dyDescent="0.4">
      <c r="A497" s="128">
        <v>90538</v>
      </c>
      <c r="B497" s="125" t="s">
        <v>1129</v>
      </c>
      <c r="C497" s="128" t="s">
        <v>22</v>
      </c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21" customHeight="1" x14ac:dyDescent="0.4">
      <c r="A498" s="128">
        <v>90300</v>
      </c>
      <c r="B498" s="125" t="s">
        <v>1130</v>
      </c>
      <c r="C498" s="128" t="s">
        <v>38</v>
      </c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21" customHeight="1" x14ac:dyDescent="0.4">
      <c r="A499" s="128">
        <v>2966</v>
      </c>
      <c r="B499" s="125" t="s">
        <v>40</v>
      </c>
      <c r="C499" s="128" t="s">
        <v>17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21" customHeight="1" x14ac:dyDescent="0.4">
      <c r="A500" s="128">
        <v>90393</v>
      </c>
      <c r="B500" s="125" t="s">
        <v>1131</v>
      </c>
      <c r="C500" s="128" t="s">
        <v>22</v>
      </c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21" customHeight="1" x14ac:dyDescent="0.4">
      <c r="A501" s="128">
        <v>90893</v>
      </c>
      <c r="B501" s="125" t="s">
        <v>1132</v>
      </c>
      <c r="C501" s="128" t="s">
        <v>17</v>
      </c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21" customHeight="1" x14ac:dyDescent="0.4">
      <c r="A502" s="128">
        <v>90389</v>
      </c>
      <c r="B502" s="125" t="s">
        <v>1133</v>
      </c>
      <c r="C502" s="128" t="s">
        <v>22</v>
      </c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21" customHeight="1" x14ac:dyDescent="0.4">
      <c r="A503" s="128">
        <v>90540</v>
      </c>
      <c r="B503" s="125" t="s">
        <v>1134</v>
      </c>
      <c r="C503" s="128" t="s">
        <v>22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21" customHeight="1" x14ac:dyDescent="0.4">
      <c r="A504" s="128">
        <v>90542</v>
      </c>
      <c r="B504" s="125" t="s">
        <v>1135</v>
      </c>
      <c r="C504" s="128" t="s">
        <v>22</v>
      </c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21" customHeight="1" x14ac:dyDescent="0.4">
      <c r="A505" s="128">
        <v>90544</v>
      </c>
      <c r="B505" s="125" t="s">
        <v>1136</v>
      </c>
      <c r="C505" s="128" t="s">
        <v>22</v>
      </c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21" customHeight="1" x14ac:dyDescent="0.4">
      <c r="A506" s="128">
        <v>90513</v>
      </c>
      <c r="B506" s="125" t="s">
        <v>1137</v>
      </c>
      <c r="C506" s="128" t="s">
        <v>22</v>
      </c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21" customHeight="1" x14ac:dyDescent="0.4">
      <c r="A507" s="128">
        <v>90272</v>
      </c>
      <c r="B507" s="125" t="s">
        <v>1138</v>
      </c>
      <c r="C507" s="128" t="s">
        <v>15</v>
      </c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21" customHeight="1" x14ac:dyDescent="0.4">
      <c r="A508" s="128">
        <v>90290</v>
      </c>
      <c r="B508" s="125" t="s">
        <v>1139</v>
      </c>
      <c r="C508" s="128" t="s">
        <v>15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21" customHeight="1" x14ac:dyDescent="0.4">
      <c r="A509" s="128">
        <v>90287</v>
      </c>
      <c r="B509" s="125" t="s">
        <v>1140</v>
      </c>
      <c r="C509" s="128" t="s">
        <v>15</v>
      </c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21" customHeight="1" x14ac:dyDescent="0.4">
      <c r="A510" s="128">
        <v>90288</v>
      </c>
      <c r="B510" s="125" t="s">
        <v>1141</v>
      </c>
      <c r="C510" s="128" t="s">
        <v>15</v>
      </c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21" customHeight="1" x14ac:dyDescent="0.4">
      <c r="A511" s="128">
        <v>90289</v>
      </c>
      <c r="B511" s="125" t="s">
        <v>1142</v>
      </c>
      <c r="C511" s="128" t="s">
        <v>15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21" customHeight="1" x14ac:dyDescent="0.4">
      <c r="A512" s="128">
        <v>90259</v>
      </c>
      <c r="B512" s="125" t="s">
        <v>1143</v>
      </c>
      <c r="C512" s="128" t="s">
        <v>38</v>
      </c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21" customHeight="1" x14ac:dyDescent="0.4">
      <c r="A513" s="128">
        <v>90258</v>
      </c>
      <c r="B513" s="125" t="s">
        <v>1144</v>
      </c>
      <c r="C513" s="128" t="s">
        <v>38</v>
      </c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21" customHeight="1" x14ac:dyDescent="0.4">
      <c r="A514" s="128">
        <v>90261</v>
      </c>
      <c r="B514" s="125" t="s">
        <v>1145</v>
      </c>
      <c r="C514" s="128" t="s">
        <v>38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21" customHeight="1" x14ac:dyDescent="0.4">
      <c r="A515" s="128">
        <v>90263</v>
      </c>
      <c r="B515" s="125" t="s">
        <v>1146</v>
      </c>
      <c r="C515" s="128" t="s">
        <v>38</v>
      </c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21" customHeight="1" x14ac:dyDescent="0.4">
      <c r="A516" s="128">
        <v>90262</v>
      </c>
      <c r="B516" s="125" t="s">
        <v>1147</v>
      </c>
      <c r="C516" s="128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21" customHeight="1" x14ac:dyDescent="0.4">
      <c r="A517" s="128">
        <v>90264</v>
      </c>
      <c r="B517" s="125" t="s">
        <v>1148</v>
      </c>
      <c r="C517" s="128" t="s">
        <v>38</v>
      </c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21" customHeight="1" x14ac:dyDescent="0.4">
      <c r="A518" s="128">
        <v>90267</v>
      </c>
      <c r="B518" s="125" t="s">
        <v>1149</v>
      </c>
      <c r="C518" s="128" t="s">
        <v>15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21" customHeight="1" x14ac:dyDescent="0.4">
      <c r="A519" s="128">
        <v>90266</v>
      </c>
      <c r="B519" s="125" t="s">
        <v>1150</v>
      </c>
      <c r="C519" s="128" t="s">
        <v>15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21" customHeight="1" x14ac:dyDescent="0.4">
      <c r="A520" s="128">
        <v>90292</v>
      </c>
      <c r="B520" s="125" t="s">
        <v>1151</v>
      </c>
      <c r="C520" s="128" t="s">
        <v>15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21" customHeight="1" x14ac:dyDescent="0.4">
      <c r="A521" s="128">
        <v>90291</v>
      </c>
      <c r="B521" s="125" t="s">
        <v>1152</v>
      </c>
      <c r="C521" s="128" t="s">
        <v>15</v>
      </c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21" customHeight="1" x14ac:dyDescent="0.4">
      <c r="A522" s="128">
        <v>90294</v>
      </c>
      <c r="B522" s="125" t="s">
        <v>1153</v>
      </c>
      <c r="C522" s="128" t="s">
        <v>15</v>
      </c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21" customHeight="1" x14ac:dyDescent="0.4">
      <c r="A523" s="128">
        <v>91206</v>
      </c>
      <c r="B523" s="125" t="s">
        <v>1339</v>
      </c>
      <c r="C523" s="128" t="s">
        <v>15</v>
      </c>
      <c r="D523" s="87"/>
      <c r="E523" s="87"/>
      <c r="F523" s="87"/>
      <c r="G523" s="87"/>
      <c r="H523" s="87"/>
      <c r="I523" s="87"/>
      <c r="J523" s="87"/>
      <c r="K523" s="87"/>
      <c r="L523" s="87"/>
      <c r="M523" s="87"/>
    </row>
    <row r="524" spans="1:13" ht="21" customHeight="1" x14ac:dyDescent="0.4">
      <c r="A524" s="128">
        <v>91462</v>
      </c>
      <c r="B524" s="125" t="s">
        <v>1154</v>
      </c>
      <c r="C524" s="128" t="s">
        <v>15</v>
      </c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21" customHeight="1" x14ac:dyDescent="0.4">
      <c r="A525" s="128">
        <v>3098</v>
      </c>
      <c r="B525" s="125" t="s">
        <v>63</v>
      </c>
      <c r="C525" s="128" t="s">
        <v>15</v>
      </c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21" customHeight="1" x14ac:dyDescent="0.4">
      <c r="A526" s="128">
        <v>90887</v>
      </c>
      <c r="B526" s="125" t="s">
        <v>1155</v>
      </c>
      <c r="C526" s="128" t="s">
        <v>17</v>
      </c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21" customHeight="1" x14ac:dyDescent="0.4">
      <c r="A527" s="128">
        <v>90888</v>
      </c>
      <c r="B527" s="125" t="s">
        <v>1156</v>
      </c>
      <c r="C527" s="128" t="s">
        <v>17</v>
      </c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21" customHeight="1" x14ac:dyDescent="0.4">
      <c r="A528" s="128">
        <v>90968</v>
      </c>
      <c r="B528" s="125" t="s">
        <v>1157</v>
      </c>
      <c r="C528" s="128" t="s">
        <v>22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21" customHeight="1" x14ac:dyDescent="0.4">
      <c r="A529" s="128">
        <v>90586</v>
      </c>
      <c r="B529" s="125" t="s">
        <v>1158</v>
      </c>
      <c r="C529" s="128" t="s">
        <v>22</v>
      </c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21" customHeight="1" x14ac:dyDescent="0.4">
      <c r="A530" s="128">
        <v>90486</v>
      </c>
      <c r="B530" s="125" t="s">
        <v>84</v>
      </c>
      <c r="C530" s="128" t="s">
        <v>22</v>
      </c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21" customHeight="1" x14ac:dyDescent="0.4">
      <c r="A531" s="128">
        <v>90487</v>
      </c>
      <c r="B531" s="125" t="s">
        <v>85</v>
      </c>
      <c r="C531" s="128" t="s">
        <v>22</v>
      </c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21" customHeight="1" x14ac:dyDescent="0.4">
      <c r="A532" s="128">
        <v>90488</v>
      </c>
      <c r="B532" s="125" t="s">
        <v>86</v>
      </c>
      <c r="C532" s="128" t="s">
        <v>22</v>
      </c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21" customHeight="1" x14ac:dyDescent="0.4">
      <c r="A533" s="128">
        <v>90518</v>
      </c>
      <c r="B533" s="125" t="s">
        <v>1159</v>
      </c>
      <c r="C533" s="128" t="s">
        <v>22</v>
      </c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21" customHeight="1" x14ac:dyDescent="0.4">
      <c r="A534" s="128">
        <v>90547</v>
      </c>
      <c r="B534" s="125" t="s">
        <v>1160</v>
      </c>
      <c r="C534" s="128" t="s">
        <v>17</v>
      </c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21" customHeight="1" x14ac:dyDescent="0.4">
      <c r="A535" s="128">
        <v>90548</v>
      </c>
      <c r="B535" s="125" t="s">
        <v>1161</v>
      </c>
      <c r="C535" s="128" t="s">
        <v>17</v>
      </c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21" customHeight="1" x14ac:dyDescent="0.4">
      <c r="A536" s="128">
        <v>90550</v>
      </c>
      <c r="B536" s="125" t="s">
        <v>1162</v>
      </c>
      <c r="C536" s="128" t="s">
        <v>17</v>
      </c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21" customHeight="1" x14ac:dyDescent="0.4">
      <c r="A537" s="128">
        <v>90554</v>
      </c>
      <c r="B537" s="125" t="s">
        <v>1163</v>
      </c>
      <c r="C537" s="128" t="s">
        <v>17</v>
      </c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21" customHeight="1" x14ac:dyDescent="0.4">
      <c r="A538" s="128">
        <v>90553</v>
      </c>
      <c r="B538" s="125" t="s">
        <v>1164</v>
      </c>
      <c r="C538" s="128" t="s">
        <v>17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21" customHeight="1" x14ac:dyDescent="0.4">
      <c r="A539" s="128">
        <v>90556</v>
      </c>
      <c r="B539" s="125" t="s">
        <v>1165</v>
      </c>
      <c r="C539" s="128" t="s">
        <v>17</v>
      </c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21" customHeight="1" x14ac:dyDescent="0.4">
      <c r="A540" s="128">
        <v>90214</v>
      </c>
      <c r="B540" s="125" t="s">
        <v>1166</v>
      </c>
      <c r="C540" s="128" t="s">
        <v>22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21" customHeight="1" x14ac:dyDescent="0.4">
      <c r="A541" s="128">
        <v>90230</v>
      </c>
      <c r="B541" s="125" t="s">
        <v>1167</v>
      </c>
      <c r="C541" s="128" t="s">
        <v>22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21" customHeight="1" x14ac:dyDescent="0.4">
      <c r="A542" s="128">
        <v>90215</v>
      </c>
      <c r="B542" s="125" t="s">
        <v>1168</v>
      </c>
      <c r="C542" s="128" t="s">
        <v>22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21" customHeight="1" x14ac:dyDescent="0.4">
      <c r="A543" s="128">
        <v>90216</v>
      </c>
      <c r="B543" s="125" t="s">
        <v>1169</v>
      </c>
      <c r="C543" s="128" t="s">
        <v>22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21" customHeight="1" x14ac:dyDescent="0.4">
      <c r="A544" s="128">
        <v>90217</v>
      </c>
      <c r="B544" s="125" t="s">
        <v>1170</v>
      </c>
      <c r="C544" s="128" t="s">
        <v>22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21" customHeight="1" x14ac:dyDescent="0.4">
      <c r="A545" s="128">
        <v>90218</v>
      </c>
      <c r="B545" s="125" t="s">
        <v>1171</v>
      </c>
      <c r="C545" s="128" t="s">
        <v>22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21" customHeight="1" x14ac:dyDescent="0.4">
      <c r="A546" s="128">
        <v>90219</v>
      </c>
      <c r="B546" s="125" t="s">
        <v>1172</v>
      </c>
      <c r="C546" s="128" t="s">
        <v>22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21" customHeight="1" x14ac:dyDescent="0.4">
      <c r="A547" s="128">
        <v>90231</v>
      </c>
      <c r="B547" s="125" t="s">
        <v>1173</v>
      </c>
      <c r="C547" s="128" t="s">
        <v>22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21" customHeight="1" x14ac:dyDescent="0.4">
      <c r="A548" s="128">
        <v>90220</v>
      </c>
      <c r="B548" s="125" t="s">
        <v>1174</v>
      </c>
      <c r="C548" s="128" t="s">
        <v>22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21" customHeight="1" x14ac:dyDescent="0.4">
      <c r="A549" s="128">
        <v>90221</v>
      </c>
      <c r="B549" s="125" t="s">
        <v>1175</v>
      </c>
      <c r="C549" s="128" t="s">
        <v>22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21" customHeight="1" x14ac:dyDescent="0.4">
      <c r="A550" s="128">
        <v>90222</v>
      </c>
      <c r="B550" s="125" t="s">
        <v>1176</v>
      </c>
      <c r="C550" s="128" t="s">
        <v>22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21" customHeight="1" x14ac:dyDescent="0.4">
      <c r="A551" s="128">
        <v>90223</v>
      </c>
      <c r="B551" s="125" t="s">
        <v>1177</v>
      </c>
      <c r="C551" s="128" t="s">
        <v>22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21" customHeight="1" x14ac:dyDescent="0.4">
      <c r="A552" s="128">
        <v>90225</v>
      </c>
      <c r="B552" s="125" t="s">
        <v>1178</v>
      </c>
      <c r="C552" s="128" t="s">
        <v>22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21" customHeight="1" x14ac:dyDescent="0.4">
      <c r="A553" s="128">
        <v>90233</v>
      </c>
      <c r="B553" s="125" t="s">
        <v>1179</v>
      </c>
      <c r="C553" s="128" t="s">
        <v>22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21" customHeight="1" x14ac:dyDescent="0.4">
      <c r="A554" s="128">
        <v>90226</v>
      </c>
      <c r="B554" s="125" t="s">
        <v>1180</v>
      </c>
      <c r="C554" s="128" t="s">
        <v>22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21" customHeight="1" x14ac:dyDescent="0.4">
      <c r="A555" s="128">
        <v>90228</v>
      </c>
      <c r="B555" s="125" t="s">
        <v>1181</v>
      </c>
      <c r="C555" s="128" t="s">
        <v>22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21" customHeight="1" x14ac:dyDescent="0.4">
      <c r="A556" s="128">
        <v>90236</v>
      </c>
      <c r="B556" s="125" t="s">
        <v>1182</v>
      </c>
      <c r="C556" s="128" t="s">
        <v>22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21" customHeight="1" x14ac:dyDescent="0.4">
      <c r="A557" s="128">
        <v>159</v>
      </c>
      <c r="B557" s="125" t="s">
        <v>1183</v>
      </c>
      <c r="C557" s="128" t="s">
        <v>17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21" customHeight="1" x14ac:dyDescent="0.4">
      <c r="A558" s="128">
        <v>162</v>
      </c>
      <c r="B558" s="125" t="s">
        <v>135</v>
      </c>
      <c r="C558" s="128" t="s">
        <v>17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21" customHeight="1" x14ac:dyDescent="0.4">
      <c r="A559" s="128">
        <v>90471</v>
      </c>
      <c r="B559" s="125" t="s">
        <v>1184</v>
      </c>
      <c r="C559" s="128" t="s">
        <v>22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21" customHeight="1" x14ac:dyDescent="0.4">
      <c r="A560" s="128">
        <v>90472</v>
      </c>
      <c r="B560" s="125" t="s">
        <v>1185</v>
      </c>
      <c r="C560" s="128" t="s">
        <v>22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21" customHeight="1" x14ac:dyDescent="0.4">
      <c r="A561" s="128">
        <v>90473</v>
      </c>
      <c r="B561" s="125" t="s">
        <v>1186</v>
      </c>
      <c r="C561" s="128" t="s">
        <v>22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21" customHeight="1" x14ac:dyDescent="0.4">
      <c r="A562" s="128">
        <v>90474</v>
      </c>
      <c r="B562" s="125" t="s">
        <v>1187</v>
      </c>
      <c r="C562" s="128" t="s">
        <v>22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21" customHeight="1" x14ac:dyDescent="0.4">
      <c r="A563" s="128">
        <v>90476</v>
      </c>
      <c r="B563" s="125" t="s">
        <v>1188</v>
      </c>
      <c r="C563" s="128" t="s">
        <v>22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21" customHeight="1" x14ac:dyDescent="0.4">
      <c r="A564" s="128">
        <v>90477</v>
      </c>
      <c r="B564" s="125" t="s">
        <v>1189</v>
      </c>
      <c r="C564" s="128" t="s">
        <v>22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21" customHeight="1" x14ac:dyDescent="0.4">
      <c r="A565" s="128">
        <v>90478</v>
      </c>
      <c r="B565" s="125" t="s">
        <v>1190</v>
      </c>
      <c r="C565" s="128" t="s">
        <v>22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21" customHeight="1" x14ac:dyDescent="0.4">
      <c r="A566" s="128">
        <v>90804</v>
      </c>
      <c r="B566" s="125" t="s">
        <v>1191</v>
      </c>
      <c r="C566" s="128" t="s">
        <v>22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21" customHeight="1" x14ac:dyDescent="0.4">
      <c r="A567" s="128">
        <v>90342</v>
      </c>
      <c r="B567" s="125" t="s">
        <v>1192</v>
      </c>
      <c r="C567" s="128" t="s">
        <v>22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21" customHeight="1" x14ac:dyDescent="0.4">
      <c r="A568" s="128">
        <v>90490</v>
      </c>
      <c r="B568" s="125" t="s">
        <v>1193</v>
      </c>
      <c r="C568" s="128" t="s">
        <v>22</v>
      </c>
      <c r="D568" s="87"/>
      <c r="E568" s="87"/>
      <c r="F568" s="87"/>
      <c r="G568" s="87"/>
      <c r="H568" s="87"/>
      <c r="I568" s="87"/>
      <c r="J568" s="87"/>
      <c r="K568" s="87"/>
      <c r="L568" s="87"/>
      <c r="M568" s="87"/>
    </row>
    <row r="569" spans="1:13" ht="21" customHeight="1" x14ac:dyDescent="0.4">
      <c r="A569" s="128">
        <v>90796</v>
      </c>
      <c r="B569" s="125" t="s">
        <v>1336</v>
      </c>
      <c r="C569" s="128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21" customHeight="1" x14ac:dyDescent="0.4">
      <c r="A570" s="128">
        <v>90796</v>
      </c>
      <c r="B570" s="125" t="s">
        <v>1346</v>
      </c>
      <c r="C570" s="132" t="s">
        <v>22</v>
      </c>
      <c r="D570" s="87"/>
      <c r="E570" s="87"/>
      <c r="F570" s="87"/>
      <c r="G570" s="87"/>
      <c r="H570" s="87"/>
      <c r="I570" s="87"/>
      <c r="J570" s="87"/>
      <c r="K570" s="87"/>
      <c r="L570" s="87"/>
      <c r="M570" s="87"/>
    </row>
    <row r="571" spans="1:13" ht="21" customHeight="1" x14ac:dyDescent="0.4">
      <c r="A571" s="128">
        <v>90799</v>
      </c>
      <c r="B571" s="125" t="s">
        <v>1112</v>
      </c>
      <c r="C571" s="128" t="s">
        <v>22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21" customHeight="1" x14ac:dyDescent="0.4">
      <c r="A572" s="128">
        <v>90793</v>
      </c>
      <c r="B572" s="125" t="s">
        <v>713</v>
      </c>
      <c r="C572" s="128" t="s">
        <v>22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21" customHeight="1" x14ac:dyDescent="0.4">
      <c r="A573" s="128">
        <v>90790</v>
      </c>
      <c r="B573" s="125" t="s">
        <v>1194</v>
      </c>
      <c r="C573" s="128" t="s">
        <v>22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21" customHeight="1" x14ac:dyDescent="0.4">
      <c r="A574" s="128">
        <v>90791</v>
      </c>
      <c r="B574" s="125" t="s">
        <v>1195</v>
      </c>
      <c r="C574" s="128" t="s">
        <v>22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21" customHeight="1" x14ac:dyDescent="0.4">
      <c r="A575" s="128">
        <v>90787</v>
      </c>
      <c r="B575" s="125" t="s">
        <v>1196</v>
      </c>
      <c r="C575" s="128" t="s">
        <v>22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21" customHeight="1" x14ac:dyDescent="0.4">
      <c r="A576" s="128">
        <v>90797</v>
      </c>
      <c r="B576" s="125" t="s">
        <v>1197</v>
      </c>
      <c r="C576" s="128" t="s">
        <v>22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21" customHeight="1" x14ac:dyDescent="0.4">
      <c r="A577" s="128">
        <v>90798</v>
      </c>
      <c r="B577" s="125" t="s">
        <v>1198</v>
      </c>
      <c r="C577" s="128" t="s">
        <v>22</v>
      </c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21" customHeight="1" x14ac:dyDescent="0.4">
      <c r="A578" s="128">
        <v>90795</v>
      </c>
      <c r="B578" s="125" t="s">
        <v>1199</v>
      </c>
      <c r="C578" s="128" t="s">
        <v>22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21" customHeight="1" x14ac:dyDescent="0.4">
      <c r="A579" s="128">
        <v>90800</v>
      </c>
      <c r="B579" s="125" t="s">
        <v>1200</v>
      </c>
      <c r="C579" s="128" t="s">
        <v>22</v>
      </c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21" customHeight="1" x14ac:dyDescent="0.4">
      <c r="A580" s="128">
        <v>2914</v>
      </c>
      <c r="B580" s="125" t="s">
        <v>146</v>
      </c>
      <c r="C580" s="128" t="s">
        <v>17</v>
      </c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21" customHeight="1" x14ac:dyDescent="0.4">
      <c r="A581" s="128">
        <v>90347</v>
      </c>
      <c r="B581" s="125" t="s">
        <v>1340</v>
      </c>
      <c r="C581" s="128" t="s">
        <v>22</v>
      </c>
      <c r="D581" s="87"/>
      <c r="E581" s="87"/>
      <c r="F581" s="87"/>
      <c r="G581" s="87"/>
      <c r="H581" s="87"/>
      <c r="I581" s="87"/>
      <c r="J581" s="87"/>
      <c r="K581" s="87"/>
      <c r="L581" s="87"/>
      <c r="M581" s="87"/>
    </row>
    <row r="582" spans="1:13" ht="21" customHeight="1" x14ac:dyDescent="0.4">
      <c r="A582" s="128">
        <v>90348</v>
      </c>
      <c r="B582" s="125" t="s">
        <v>1201</v>
      </c>
      <c r="C582" s="128" t="s">
        <v>22</v>
      </c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21" customHeight="1" x14ac:dyDescent="0.4">
      <c r="A583" s="128">
        <v>90345</v>
      </c>
      <c r="B583" s="125" t="s">
        <v>717</v>
      </c>
      <c r="C583" s="128" t="s">
        <v>22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21" customHeight="1" x14ac:dyDescent="0.4">
      <c r="A584" s="128">
        <v>3032</v>
      </c>
      <c r="B584" s="125" t="s">
        <v>169</v>
      </c>
      <c r="C584" s="128" t="s">
        <v>17</v>
      </c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21" customHeight="1" x14ac:dyDescent="0.4">
      <c r="A585" s="128">
        <v>90353</v>
      </c>
      <c r="B585" s="125" t="s">
        <v>1202</v>
      </c>
      <c r="C585" s="128" t="s">
        <v>22</v>
      </c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21" customHeight="1" x14ac:dyDescent="0.4">
      <c r="A586" s="128">
        <v>90355</v>
      </c>
      <c r="B586" s="125" t="s">
        <v>1203</v>
      </c>
      <c r="C586" s="128" t="s">
        <v>22</v>
      </c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21" customHeight="1" x14ac:dyDescent="0.4">
      <c r="A587" s="128">
        <v>90356</v>
      </c>
      <c r="B587" s="125" t="s">
        <v>1204</v>
      </c>
      <c r="C587" s="128" t="s">
        <v>22</v>
      </c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21" customHeight="1" x14ac:dyDescent="0.4">
      <c r="A588" s="128">
        <v>90357</v>
      </c>
      <c r="B588" s="125" t="s">
        <v>1205</v>
      </c>
      <c r="C588" s="128" t="s">
        <v>22</v>
      </c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21" customHeight="1" x14ac:dyDescent="0.4">
      <c r="A589" s="128">
        <v>90460</v>
      </c>
      <c r="B589" s="125" t="s">
        <v>1206</v>
      </c>
      <c r="C589" s="128" t="s">
        <v>22</v>
      </c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21" customHeight="1" x14ac:dyDescent="0.4">
      <c r="A590" s="128">
        <v>90255</v>
      </c>
      <c r="B590" s="125" t="s">
        <v>1207</v>
      </c>
      <c r="C590" s="128" t="s">
        <v>15</v>
      </c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21" customHeight="1" x14ac:dyDescent="0.4">
      <c r="A591" s="128">
        <v>90256</v>
      </c>
      <c r="B591" s="125" t="s">
        <v>1208</v>
      </c>
      <c r="C591" s="128" t="s">
        <v>15</v>
      </c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21" customHeight="1" x14ac:dyDescent="0.4">
      <c r="A592" s="128">
        <v>2530</v>
      </c>
      <c r="B592" s="125" t="s">
        <v>1209</v>
      </c>
      <c r="C592" s="128" t="s">
        <v>17</v>
      </c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21" customHeight="1" x14ac:dyDescent="0.4">
      <c r="A593" s="128">
        <v>90401</v>
      </c>
      <c r="B593" s="125" t="s">
        <v>1210</v>
      </c>
      <c r="C593" s="128" t="s">
        <v>22</v>
      </c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21" customHeight="1" x14ac:dyDescent="0.4">
      <c r="A594" s="128">
        <v>90404</v>
      </c>
      <c r="B594" s="125" t="s">
        <v>1211</v>
      </c>
      <c r="C594" s="128" t="s">
        <v>22</v>
      </c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21" customHeight="1" x14ac:dyDescent="0.4">
      <c r="A595" s="128">
        <v>90573</v>
      </c>
      <c r="B595" s="125" t="s">
        <v>1212</v>
      </c>
      <c r="C595" s="128" t="s">
        <v>22</v>
      </c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21" customHeight="1" x14ac:dyDescent="0.4">
      <c r="A596" s="128">
        <v>35797</v>
      </c>
      <c r="B596" s="125" t="s">
        <v>188</v>
      </c>
      <c r="C596" s="128" t="s">
        <v>17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21" customHeight="1" x14ac:dyDescent="0.4">
      <c r="A597" s="128">
        <v>90497</v>
      </c>
      <c r="B597" s="125" t="s">
        <v>1213</v>
      </c>
      <c r="C597" s="128" t="s">
        <v>22</v>
      </c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21" customHeight="1" x14ac:dyDescent="0.4">
      <c r="A598" s="128">
        <v>90498</v>
      </c>
      <c r="B598" s="125" t="s">
        <v>1214</v>
      </c>
      <c r="C598" s="128" t="s">
        <v>22</v>
      </c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21" customHeight="1" x14ac:dyDescent="0.4">
      <c r="A599" s="128">
        <v>90499</v>
      </c>
      <c r="B599" s="125" t="s">
        <v>1215</v>
      </c>
      <c r="C599" s="128" t="s">
        <v>22</v>
      </c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21" customHeight="1" x14ac:dyDescent="0.4">
      <c r="A600" s="128">
        <v>90500</v>
      </c>
      <c r="B600" s="125" t="s">
        <v>1216</v>
      </c>
      <c r="C600" s="128" t="s">
        <v>22</v>
      </c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21" customHeight="1" x14ac:dyDescent="0.4">
      <c r="A601" s="128">
        <v>90501</v>
      </c>
      <c r="B601" s="125" t="s">
        <v>1217</v>
      </c>
      <c r="C601" s="128" t="s">
        <v>22</v>
      </c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21" customHeight="1" x14ac:dyDescent="0.4">
      <c r="A602" s="128">
        <v>90641</v>
      </c>
      <c r="B602" s="125" t="s">
        <v>1218</v>
      </c>
      <c r="C602" s="128" t="s">
        <v>22</v>
      </c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21" customHeight="1" x14ac:dyDescent="0.4">
      <c r="A603" s="128">
        <v>90643</v>
      </c>
      <c r="B603" s="125" t="s">
        <v>1219</v>
      </c>
      <c r="C603" s="128" t="s">
        <v>22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21" customHeight="1" x14ac:dyDescent="0.4">
      <c r="A604" s="128">
        <v>90645</v>
      </c>
      <c r="B604" s="125" t="s">
        <v>716</v>
      </c>
      <c r="C604" s="128" t="s">
        <v>22</v>
      </c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21" customHeight="1" x14ac:dyDescent="0.4">
      <c r="A605" s="128">
        <v>195</v>
      </c>
      <c r="B605" s="125" t="s">
        <v>1220</v>
      </c>
      <c r="C605" s="128" t="s">
        <v>17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21" customHeight="1" x14ac:dyDescent="0.4">
      <c r="A606" s="128">
        <v>194</v>
      </c>
      <c r="B606" s="125" t="s">
        <v>1221</v>
      </c>
      <c r="C606" s="128" t="s">
        <v>17</v>
      </c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21" customHeight="1" x14ac:dyDescent="0.4">
      <c r="A607" s="128">
        <v>192</v>
      </c>
      <c r="B607" s="125" t="s">
        <v>216</v>
      </c>
      <c r="C607" s="128" t="s">
        <v>17</v>
      </c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21" customHeight="1" x14ac:dyDescent="0.4">
      <c r="A608" s="128">
        <v>91707</v>
      </c>
      <c r="B608" s="125" t="s">
        <v>1220</v>
      </c>
      <c r="C608" s="128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21" customHeight="1" x14ac:dyDescent="0.4">
      <c r="A609" s="128">
        <v>2928</v>
      </c>
      <c r="B609" s="125" t="s">
        <v>218</v>
      </c>
      <c r="C609" s="128" t="s">
        <v>17</v>
      </c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21" customHeight="1" x14ac:dyDescent="0.4">
      <c r="A610" s="128">
        <v>90567</v>
      </c>
      <c r="B610" s="125" t="s">
        <v>1222</v>
      </c>
      <c r="C610" s="128" t="s">
        <v>17</v>
      </c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21" customHeight="1" x14ac:dyDescent="0.4">
      <c r="A611" s="128">
        <v>90399</v>
      </c>
      <c r="B611" s="125" t="s">
        <v>1223</v>
      </c>
      <c r="C611" s="128" t="s">
        <v>22</v>
      </c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21" customHeight="1" x14ac:dyDescent="0.4">
      <c r="A612" s="128">
        <v>90391</v>
      </c>
      <c r="B612" s="125" t="s">
        <v>1224</v>
      </c>
      <c r="C612" s="128" t="s">
        <v>38</v>
      </c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21" customHeight="1" x14ac:dyDescent="0.4">
      <c r="A613" s="128">
        <v>90392</v>
      </c>
      <c r="B613" s="125" t="s">
        <v>1225</v>
      </c>
      <c r="C613" s="128" t="s">
        <v>38</v>
      </c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21" customHeight="1" x14ac:dyDescent="0.4">
      <c r="A614" s="128">
        <v>90515</v>
      </c>
      <c r="B614" s="125" t="s">
        <v>1226</v>
      </c>
      <c r="C614" s="128" t="s">
        <v>22</v>
      </c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21" customHeight="1" x14ac:dyDescent="0.4">
      <c r="A615" s="128">
        <v>90448</v>
      </c>
      <c r="B615" s="125" t="s">
        <v>1227</v>
      </c>
      <c r="C615" s="128" t="s">
        <v>22</v>
      </c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21" customHeight="1" x14ac:dyDescent="0.4">
      <c r="A616" s="128">
        <v>90450</v>
      </c>
      <c r="B616" s="125" t="s">
        <v>1228</v>
      </c>
      <c r="C616" s="128" t="s">
        <v>22</v>
      </c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21" customHeight="1" x14ac:dyDescent="0.4">
      <c r="A617" s="128">
        <v>90451</v>
      </c>
      <c r="B617" s="125" t="s">
        <v>1229</v>
      </c>
      <c r="C617" s="128" t="s">
        <v>22</v>
      </c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21" customHeight="1" x14ac:dyDescent="0.4">
      <c r="A618" s="128">
        <v>90455</v>
      </c>
      <c r="B618" s="125" t="s">
        <v>1230</v>
      </c>
      <c r="C618" s="128" t="s">
        <v>22</v>
      </c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21" customHeight="1" x14ac:dyDescent="0.4">
      <c r="A619" s="128">
        <v>90456</v>
      </c>
      <c r="B619" s="125" t="s">
        <v>1231</v>
      </c>
      <c r="C619" s="128" t="s">
        <v>22</v>
      </c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21" customHeight="1" x14ac:dyDescent="0.4">
      <c r="A620" s="128">
        <v>2941</v>
      </c>
      <c r="B620" s="125" t="s">
        <v>246</v>
      </c>
      <c r="C620" s="128" t="s">
        <v>17</v>
      </c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21" customHeight="1" x14ac:dyDescent="0.4">
      <c r="A621" s="128">
        <v>90638</v>
      </c>
      <c r="B621" s="125" t="s">
        <v>1232</v>
      </c>
      <c r="C621" s="128" t="s">
        <v>22</v>
      </c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21" customHeight="1" x14ac:dyDescent="0.4">
      <c r="A622" s="128">
        <v>90462</v>
      </c>
      <c r="B622" s="125" t="s">
        <v>1233</v>
      </c>
      <c r="C622" s="128" t="s">
        <v>22</v>
      </c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21" customHeight="1" x14ac:dyDescent="0.4">
      <c r="A623" s="128">
        <v>90463</v>
      </c>
      <c r="B623" s="125" t="s">
        <v>1234</v>
      </c>
      <c r="C623" s="128" t="s">
        <v>22</v>
      </c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21" customHeight="1" x14ac:dyDescent="0.4">
      <c r="A624" s="128">
        <v>90277</v>
      </c>
      <c r="B624" s="125" t="s">
        <v>1235</v>
      </c>
      <c r="C624" s="128" t="s">
        <v>22</v>
      </c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21" customHeight="1" x14ac:dyDescent="0.4">
      <c r="A625" s="128">
        <v>90279</v>
      </c>
      <c r="B625" s="125" t="s">
        <v>1236</v>
      </c>
      <c r="C625" s="128" t="s">
        <v>22</v>
      </c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21" customHeight="1" x14ac:dyDescent="0.4">
      <c r="A626" s="128">
        <v>90253</v>
      </c>
      <c r="B626" s="125" t="s">
        <v>1237</v>
      </c>
      <c r="C626" s="128" t="s">
        <v>22</v>
      </c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21" customHeight="1" x14ac:dyDescent="0.4">
      <c r="A627" s="128">
        <v>90580</v>
      </c>
      <c r="B627" s="125" t="s">
        <v>1238</v>
      </c>
      <c r="C627" s="128" t="s">
        <v>22</v>
      </c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21" customHeight="1" x14ac:dyDescent="0.4">
      <c r="A628" s="128">
        <v>90275</v>
      </c>
      <c r="B628" s="125" t="s">
        <v>1239</v>
      </c>
      <c r="C628" s="128" t="s">
        <v>22</v>
      </c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21" customHeight="1" x14ac:dyDescent="0.4">
      <c r="A629" s="128">
        <v>90276</v>
      </c>
      <c r="B629" s="125" t="s">
        <v>1240</v>
      </c>
      <c r="C629" s="128" t="s">
        <v>22</v>
      </c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21" customHeight="1" x14ac:dyDescent="0.4">
      <c r="A630" s="128">
        <v>208</v>
      </c>
      <c r="B630" s="125" t="s">
        <v>1241</v>
      </c>
      <c r="C630" s="128" t="s">
        <v>17</v>
      </c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21" customHeight="1" x14ac:dyDescent="0.4">
      <c r="A631" s="128">
        <v>90295</v>
      </c>
      <c r="B631" s="125" t="s">
        <v>1242</v>
      </c>
      <c r="C631" s="128" t="s">
        <v>22</v>
      </c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21" customHeight="1" x14ac:dyDescent="0.4">
      <c r="A632" s="128">
        <v>90328</v>
      </c>
      <c r="B632" s="125" t="s">
        <v>1243</v>
      </c>
      <c r="C632" s="128" t="s">
        <v>22</v>
      </c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21" customHeight="1" x14ac:dyDescent="0.4">
      <c r="A633" s="128">
        <v>90320</v>
      </c>
      <c r="B633" s="125" t="s">
        <v>1244</v>
      </c>
      <c r="C633" s="128" t="s">
        <v>22</v>
      </c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21" customHeight="1" x14ac:dyDescent="0.4">
      <c r="A634" s="128">
        <v>90321</v>
      </c>
      <c r="B634" s="125" t="s">
        <v>1245</v>
      </c>
      <c r="C634" s="128" t="s">
        <v>22</v>
      </c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21" customHeight="1" x14ac:dyDescent="0.4">
      <c r="A635" s="128">
        <v>90318</v>
      </c>
      <c r="B635" s="125" t="s">
        <v>1246</v>
      </c>
      <c r="C635" s="128" t="s">
        <v>22</v>
      </c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21" customHeight="1" x14ac:dyDescent="0.4">
      <c r="A636" s="128">
        <v>90319</v>
      </c>
      <c r="B636" s="125" t="s">
        <v>1247</v>
      </c>
      <c r="C636" s="128" t="s">
        <v>22</v>
      </c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21" customHeight="1" x14ac:dyDescent="0.4">
      <c r="A637" s="128">
        <v>4285</v>
      </c>
      <c r="B637" s="125" t="s">
        <v>261</v>
      </c>
      <c r="C637" s="128" t="s">
        <v>17</v>
      </c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21" customHeight="1" x14ac:dyDescent="0.4">
      <c r="A638" s="128">
        <v>90581</v>
      </c>
      <c r="B638" s="125" t="s">
        <v>1248</v>
      </c>
      <c r="C638" s="128" t="s">
        <v>17</v>
      </c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21" customHeight="1" x14ac:dyDescent="0.4">
      <c r="A639" s="128">
        <v>90440</v>
      </c>
      <c r="B639" s="125" t="s">
        <v>1249</v>
      </c>
      <c r="C639" s="128" t="s">
        <v>22</v>
      </c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21" customHeight="1" x14ac:dyDescent="0.4">
      <c r="A640" s="128">
        <v>90441</v>
      </c>
      <c r="B640" s="125" t="s">
        <v>1250</v>
      </c>
      <c r="C640" s="128" t="s">
        <v>22</v>
      </c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21" customHeight="1" x14ac:dyDescent="0.4">
      <c r="A641" s="128">
        <v>90442</v>
      </c>
      <c r="B641" s="125" t="s">
        <v>1251</v>
      </c>
      <c r="C641" s="128" t="s">
        <v>22</v>
      </c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21" customHeight="1" x14ac:dyDescent="0.4">
      <c r="A642" s="128">
        <v>90445</v>
      </c>
      <c r="B642" s="125" t="s">
        <v>1252</v>
      </c>
      <c r="C642" s="128" t="s">
        <v>22</v>
      </c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21" customHeight="1" x14ac:dyDescent="0.4">
      <c r="A643" s="128">
        <v>90443</v>
      </c>
      <c r="B643" s="125" t="s">
        <v>1253</v>
      </c>
      <c r="C643" s="128" t="s">
        <v>22</v>
      </c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21" customHeight="1" x14ac:dyDescent="0.4">
      <c r="A644" s="128">
        <v>90444</v>
      </c>
      <c r="B644" s="125" t="s">
        <v>1254</v>
      </c>
      <c r="C644" s="128" t="s">
        <v>17</v>
      </c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21" customHeight="1" x14ac:dyDescent="0.4">
      <c r="A645" s="128">
        <v>90446</v>
      </c>
      <c r="B645" s="125" t="s">
        <v>1255</v>
      </c>
      <c r="C645" s="128" t="s">
        <v>22</v>
      </c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21" customHeight="1" x14ac:dyDescent="0.4">
      <c r="A646" s="128">
        <v>3081</v>
      </c>
      <c r="B646" s="125" t="s">
        <v>300</v>
      </c>
      <c r="C646" s="128" t="s">
        <v>17</v>
      </c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21" customHeight="1" x14ac:dyDescent="0.4">
      <c r="A647" s="128">
        <v>90374</v>
      </c>
      <c r="B647" s="125" t="s">
        <v>1256</v>
      </c>
      <c r="C647" s="128" t="s">
        <v>22</v>
      </c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21" customHeight="1" x14ac:dyDescent="0.4">
      <c r="A648" s="128">
        <v>90372</v>
      </c>
      <c r="B648" s="125" t="s">
        <v>1257</v>
      </c>
      <c r="C648" s="128" t="s">
        <v>22</v>
      </c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21" customHeight="1" x14ac:dyDescent="0.4">
      <c r="A649" s="128">
        <v>90373</v>
      </c>
      <c r="B649" s="125" t="s">
        <v>1258</v>
      </c>
      <c r="C649" s="128" t="s">
        <v>22</v>
      </c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21" customHeight="1" x14ac:dyDescent="0.4">
      <c r="A650" s="128">
        <v>90359</v>
      </c>
      <c r="B650" s="125" t="s">
        <v>1259</v>
      </c>
      <c r="C650" s="128" t="s">
        <v>22</v>
      </c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21" customHeight="1" x14ac:dyDescent="0.4">
      <c r="A651" s="128">
        <v>90360</v>
      </c>
      <c r="B651" s="125" t="s">
        <v>1260</v>
      </c>
      <c r="C651" s="128" t="s">
        <v>22</v>
      </c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21" customHeight="1" x14ac:dyDescent="0.4">
      <c r="A652" s="128">
        <v>90361</v>
      </c>
      <c r="B652" s="125" t="s">
        <v>1261</v>
      </c>
      <c r="C652" s="128" t="s">
        <v>22</v>
      </c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21" customHeight="1" x14ac:dyDescent="0.4">
      <c r="A653" s="128">
        <v>90362</v>
      </c>
      <c r="B653" s="125" t="s">
        <v>1262</v>
      </c>
      <c r="C653" s="128" t="s">
        <v>22</v>
      </c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21" customHeight="1" x14ac:dyDescent="0.4">
      <c r="A654" s="128">
        <v>90363</v>
      </c>
      <c r="B654" s="125" t="s">
        <v>1263</v>
      </c>
      <c r="C654" s="128" t="s">
        <v>22</v>
      </c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21" customHeight="1" x14ac:dyDescent="0.4">
      <c r="A655" s="128">
        <v>90364</v>
      </c>
      <c r="B655" s="125" t="s">
        <v>1264</v>
      </c>
      <c r="C655" s="128" t="s">
        <v>22</v>
      </c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21" customHeight="1" x14ac:dyDescent="0.4">
      <c r="A656" s="128">
        <v>90365</v>
      </c>
      <c r="B656" s="125" t="s">
        <v>1265</v>
      </c>
      <c r="C656" s="128" t="s">
        <v>22</v>
      </c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21" customHeight="1" x14ac:dyDescent="0.4">
      <c r="A657" s="128">
        <v>90366</v>
      </c>
      <c r="B657" s="125" t="s">
        <v>1266</v>
      </c>
      <c r="C657" s="128" t="s">
        <v>22</v>
      </c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21" customHeight="1" x14ac:dyDescent="0.4">
      <c r="A658" s="128">
        <v>3013</v>
      </c>
      <c r="B658" s="125" t="s">
        <v>308</v>
      </c>
      <c r="C658" s="128" t="s">
        <v>17</v>
      </c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21" customHeight="1" x14ac:dyDescent="0.4">
      <c r="A659" s="128">
        <v>3014</v>
      </c>
      <c r="B659" s="125" t="s">
        <v>310</v>
      </c>
      <c r="C659" s="128" t="s">
        <v>17</v>
      </c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21" customHeight="1" x14ac:dyDescent="0.4">
      <c r="A660" s="128">
        <v>3015</v>
      </c>
      <c r="B660" s="125" t="s">
        <v>311</v>
      </c>
      <c r="C660" s="128" t="s">
        <v>17</v>
      </c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21" customHeight="1" x14ac:dyDescent="0.4">
      <c r="A661" s="128">
        <v>3016</v>
      </c>
      <c r="B661" s="125" t="s">
        <v>312</v>
      </c>
      <c r="C661" s="128" t="s">
        <v>17</v>
      </c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21" customHeight="1" x14ac:dyDescent="0.4">
      <c r="A662" s="128">
        <v>90379</v>
      </c>
      <c r="B662" s="125" t="s">
        <v>719</v>
      </c>
      <c r="C662" s="128" t="s">
        <v>22</v>
      </c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21" customHeight="1" x14ac:dyDescent="0.4">
      <c r="A663" s="128">
        <v>90380</v>
      </c>
      <c r="B663" s="125" t="s">
        <v>1267</v>
      </c>
      <c r="C663" s="128" t="s">
        <v>22</v>
      </c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21" customHeight="1" x14ac:dyDescent="0.4">
      <c r="A664" s="128">
        <v>90382</v>
      </c>
      <c r="B664" s="125" t="s">
        <v>1268</v>
      </c>
      <c r="C664" s="128" t="s">
        <v>22</v>
      </c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21" customHeight="1" x14ac:dyDescent="0.4">
      <c r="A665" s="128">
        <v>4097</v>
      </c>
      <c r="B665" s="125" t="s">
        <v>1269</v>
      </c>
      <c r="C665" s="128" t="s">
        <v>17</v>
      </c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21" customHeight="1" x14ac:dyDescent="0.4">
      <c r="A666" s="128">
        <v>3853</v>
      </c>
      <c r="B666" s="125" t="s">
        <v>1270</v>
      </c>
      <c r="C666" s="128" t="s">
        <v>17</v>
      </c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21" customHeight="1" x14ac:dyDescent="0.4">
      <c r="A667" s="128">
        <v>90618</v>
      </c>
      <c r="B667" s="125" t="s">
        <v>1271</v>
      </c>
      <c r="C667" s="128" t="s">
        <v>22</v>
      </c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21" customHeight="1" x14ac:dyDescent="0.4">
      <c r="A668" s="128">
        <v>90207</v>
      </c>
      <c r="B668" s="125" t="s">
        <v>1272</v>
      </c>
      <c r="C668" s="128" t="s">
        <v>22</v>
      </c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21" customHeight="1" x14ac:dyDescent="0.4">
      <c r="A669" s="128">
        <v>90210</v>
      </c>
      <c r="B669" s="125" t="s">
        <v>1273</v>
      </c>
      <c r="C669" s="128" t="s">
        <v>22</v>
      </c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21" customHeight="1" x14ac:dyDescent="0.4">
      <c r="A670" s="128">
        <v>90212</v>
      </c>
      <c r="B670" s="125" t="s">
        <v>1274</v>
      </c>
      <c r="C670" s="128" t="s">
        <v>22</v>
      </c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21" customHeight="1" x14ac:dyDescent="0.4">
      <c r="A671" s="128">
        <v>90447</v>
      </c>
      <c r="B671" s="125" t="s">
        <v>1275</v>
      </c>
      <c r="C671" s="128" t="s">
        <v>22</v>
      </c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21" customHeight="1" x14ac:dyDescent="0.4">
      <c r="A672" s="128">
        <v>90621</v>
      </c>
      <c r="B672" s="125" t="s">
        <v>1276</v>
      </c>
      <c r="C672" s="128" t="s">
        <v>22</v>
      </c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21" customHeight="1" x14ac:dyDescent="0.4">
      <c r="A673" s="128">
        <v>90252</v>
      </c>
      <c r="B673" s="125" t="s">
        <v>1277</v>
      </c>
      <c r="C673" s="128" t="s">
        <v>22</v>
      </c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21" customHeight="1" x14ac:dyDescent="0.4">
      <c r="A674" s="128">
        <v>90249</v>
      </c>
      <c r="B674" s="125" t="s">
        <v>1278</v>
      </c>
      <c r="C674" s="128" t="s">
        <v>22</v>
      </c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21" customHeight="1" x14ac:dyDescent="0.4">
      <c r="A675" s="128">
        <v>2958</v>
      </c>
      <c r="B675" s="125" t="s">
        <v>1279</v>
      </c>
      <c r="C675" s="128" t="s">
        <v>17</v>
      </c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21" customHeight="1" x14ac:dyDescent="0.4">
      <c r="A676" s="128">
        <v>213</v>
      </c>
      <c r="B676" s="125" t="s">
        <v>1280</v>
      </c>
      <c r="C676" s="128" t="s">
        <v>17</v>
      </c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21" customHeight="1" x14ac:dyDescent="0.4">
      <c r="A677" s="128">
        <v>90585</v>
      </c>
      <c r="B677" s="125" t="s">
        <v>1338</v>
      </c>
      <c r="C677" s="128" t="s">
        <v>22</v>
      </c>
      <c r="D677" s="87"/>
      <c r="E677" s="87"/>
      <c r="F677" s="87"/>
      <c r="G677" s="87"/>
      <c r="H677" s="87"/>
      <c r="I677" s="87"/>
      <c r="J677" s="87"/>
      <c r="K677" s="87"/>
      <c r="L677" s="87"/>
      <c r="M677" s="87"/>
    </row>
    <row r="678" spans="1:13" ht="21" customHeight="1" x14ac:dyDescent="0.4">
      <c r="A678" s="128">
        <v>3018</v>
      </c>
      <c r="B678" s="125" t="s">
        <v>346</v>
      </c>
      <c r="C678" s="128" t="s">
        <v>17</v>
      </c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21" customHeight="1" x14ac:dyDescent="0.4">
      <c r="A679" s="128">
        <v>90388</v>
      </c>
      <c r="B679" s="125" t="s">
        <v>1281</v>
      </c>
      <c r="C679" s="128" t="s">
        <v>22</v>
      </c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21" customHeight="1" x14ac:dyDescent="0.4">
      <c r="A680" s="128">
        <v>227</v>
      </c>
      <c r="B680" s="125" t="s">
        <v>1282</v>
      </c>
      <c r="C680" s="128" t="s">
        <v>17</v>
      </c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21" customHeight="1" x14ac:dyDescent="0.4">
      <c r="A681" s="128">
        <v>90183</v>
      </c>
      <c r="B681" s="125" t="s">
        <v>1283</v>
      </c>
      <c r="C681" s="128" t="s">
        <v>17</v>
      </c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21" customHeight="1" x14ac:dyDescent="0.4">
      <c r="A682" s="128">
        <v>90184</v>
      </c>
      <c r="B682" s="125" t="s">
        <v>1284</v>
      </c>
      <c r="C682" s="128" t="s">
        <v>17</v>
      </c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21" customHeight="1" x14ac:dyDescent="0.4">
      <c r="A683" s="128">
        <v>90185</v>
      </c>
      <c r="B683" s="125" t="s">
        <v>1285</v>
      </c>
      <c r="C683" s="128" t="s">
        <v>17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21" customHeight="1" x14ac:dyDescent="0.4">
      <c r="A684" s="128">
        <v>90186</v>
      </c>
      <c r="B684" s="125" t="s">
        <v>1286</v>
      </c>
      <c r="C684" s="128" t="s">
        <v>17</v>
      </c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21" customHeight="1" x14ac:dyDescent="0.4">
      <c r="A685" s="128">
        <v>90187</v>
      </c>
      <c r="B685" s="125" t="s">
        <v>1287</v>
      </c>
      <c r="C685" s="128" t="s">
        <v>17</v>
      </c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21" customHeight="1" x14ac:dyDescent="0.4">
      <c r="A686" s="128">
        <v>90188</v>
      </c>
      <c r="B686" s="125" t="s">
        <v>1288</v>
      </c>
      <c r="C686" s="128" t="s">
        <v>17</v>
      </c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21" customHeight="1" x14ac:dyDescent="0.4">
      <c r="A687" s="128">
        <v>90189</v>
      </c>
      <c r="B687" s="125" t="s">
        <v>1289</v>
      </c>
      <c r="C687" s="128" t="s">
        <v>17</v>
      </c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21" customHeight="1" x14ac:dyDescent="0.4">
      <c r="A688" s="128">
        <v>90190</v>
      </c>
      <c r="B688" s="125" t="s">
        <v>1290</v>
      </c>
      <c r="C688" s="128" t="s">
        <v>17</v>
      </c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21" customHeight="1" x14ac:dyDescent="0.4">
      <c r="A689" s="128">
        <v>90191</v>
      </c>
      <c r="B689" s="125" t="s">
        <v>1291</v>
      </c>
      <c r="C689" s="128" t="s">
        <v>17</v>
      </c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21" customHeight="1" x14ac:dyDescent="0.4">
      <c r="A690" s="128">
        <v>90192</v>
      </c>
      <c r="B690" s="125" t="s">
        <v>1292</v>
      </c>
      <c r="C690" s="128" t="s">
        <v>17</v>
      </c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21" customHeight="1" x14ac:dyDescent="0.4">
      <c r="A691" s="128">
        <v>90193</v>
      </c>
      <c r="B691" s="125" t="s">
        <v>1293</v>
      </c>
      <c r="C691" s="128" t="s">
        <v>17</v>
      </c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21" customHeight="1" x14ac:dyDescent="0.4">
      <c r="A692" s="128">
        <v>90194</v>
      </c>
      <c r="B692" s="125" t="s">
        <v>1294</v>
      </c>
      <c r="C692" s="128" t="s">
        <v>17</v>
      </c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21" customHeight="1" x14ac:dyDescent="0.4">
      <c r="A693" s="128">
        <v>90195</v>
      </c>
      <c r="B693" s="125" t="s">
        <v>1295</v>
      </c>
      <c r="C693" s="128" t="s">
        <v>17</v>
      </c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21" customHeight="1" x14ac:dyDescent="0.4">
      <c r="A694" s="128">
        <v>90196</v>
      </c>
      <c r="B694" s="125" t="s">
        <v>1296</v>
      </c>
      <c r="C694" s="128" t="s">
        <v>17</v>
      </c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21" customHeight="1" x14ac:dyDescent="0.4">
      <c r="A695" s="128">
        <v>90197</v>
      </c>
      <c r="B695" s="125" t="s">
        <v>1297</v>
      </c>
      <c r="C695" s="128" t="s">
        <v>17</v>
      </c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21" customHeight="1" x14ac:dyDescent="0.4">
      <c r="A696" s="128">
        <v>90198</v>
      </c>
      <c r="B696" s="125" t="s">
        <v>1298</v>
      </c>
      <c r="C696" s="128" t="s">
        <v>17</v>
      </c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21" customHeight="1" x14ac:dyDescent="0.4">
      <c r="A697" s="128">
        <v>90199</v>
      </c>
      <c r="B697" s="125" t="s">
        <v>1299</v>
      </c>
      <c r="C697" s="128" t="s">
        <v>17</v>
      </c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21" customHeight="1" x14ac:dyDescent="0.4">
      <c r="A698" s="128">
        <v>90200</v>
      </c>
      <c r="B698" s="125" t="s">
        <v>1300</v>
      </c>
      <c r="C698" s="128" t="s">
        <v>17</v>
      </c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21" customHeight="1" x14ac:dyDescent="0.4">
      <c r="A699" s="128">
        <v>90201</v>
      </c>
      <c r="B699" s="125" t="s">
        <v>1301</v>
      </c>
      <c r="C699" s="128" t="s">
        <v>17</v>
      </c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21" customHeight="1" x14ac:dyDescent="0.4">
      <c r="A700" s="128">
        <v>90202</v>
      </c>
      <c r="B700" s="125" t="s">
        <v>1302</v>
      </c>
      <c r="C700" s="128" t="s">
        <v>17</v>
      </c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21" customHeight="1" x14ac:dyDescent="0.4">
      <c r="A701" s="128">
        <v>90203</v>
      </c>
      <c r="B701" s="125" t="s">
        <v>1303</v>
      </c>
      <c r="C701" s="128" t="s">
        <v>17</v>
      </c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21" customHeight="1" x14ac:dyDescent="0.4">
      <c r="A702" s="128">
        <v>90204</v>
      </c>
      <c r="B702" s="125" t="s">
        <v>1304</v>
      </c>
      <c r="C702" s="128" t="s">
        <v>17</v>
      </c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21" customHeight="1" x14ac:dyDescent="0.4">
      <c r="A703" s="128">
        <v>90205</v>
      </c>
      <c r="B703" s="125" t="s">
        <v>1305</v>
      </c>
      <c r="C703" s="128" t="s">
        <v>17</v>
      </c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21" customHeight="1" x14ac:dyDescent="0.4">
      <c r="A704" s="128">
        <v>90206</v>
      </c>
      <c r="B704" s="125" t="s">
        <v>1306</v>
      </c>
      <c r="C704" s="128" t="s">
        <v>17</v>
      </c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21" customHeight="1" x14ac:dyDescent="0.4">
      <c r="A705" s="128">
        <v>3009</v>
      </c>
      <c r="B705" s="125" t="s">
        <v>372</v>
      </c>
      <c r="C705" s="128" t="s">
        <v>17</v>
      </c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21" customHeight="1" x14ac:dyDescent="0.4">
      <c r="A706" s="128">
        <v>5485</v>
      </c>
      <c r="B706" s="125" t="s">
        <v>1307</v>
      </c>
      <c r="C706" s="128" t="s">
        <v>17</v>
      </c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21" customHeight="1" x14ac:dyDescent="0.4">
      <c r="A707" s="128">
        <v>2964</v>
      </c>
      <c r="B707" s="125" t="s">
        <v>393</v>
      </c>
      <c r="C707" s="128" t="s">
        <v>17</v>
      </c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21" customHeight="1" x14ac:dyDescent="0.4">
      <c r="A708" s="128">
        <v>3029</v>
      </c>
      <c r="B708" s="125" t="s">
        <v>396</v>
      </c>
      <c r="C708" s="128" t="s">
        <v>17</v>
      </c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21" customHeight="1" x14ac:dyDescent="0.4">
      <c r="A709" s="128">
        <v>90410</v>
      </c>
      <c r="B709" s="125" t="s">
        <v>398</v>
      </c>
      <c r="C709" s="128" t="s">
        <v>22</v>
      </c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21" customHeight="1" x14ac:dyDescent="0.4">
      <c r="A710" s="128">
        <v>90412</v>
      </c>
      <c r="B710" s="125" t="s">
        <v>1308</v>
      </c>
      <c r="C710" s="128" t="s">
        <v>22</v>
      </c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21" customHeight="1" x14ac:dyDescent="0.4">
      <c r="A711" s="128">
        <v>90413</v>
      </c>
      <c r="B711" s="125" t="s">
        <v>1309</v>
      </c>
      <c r="C711" s="128" t="s">
        <v>22</v>
      </c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21" customHeight="1" x14ac:dyDescent="0.4">
      <c r="A712" s="128">
        <v>90522</v>
      </c>
      <c r="B712" s="125" t="s">
        <v>409</v>
      </c>
      <c r="C712" s="128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21" customHeight="1" x14ac:dyDescent="0.4">
      <c r="A713" s="128">
        <v>3021</v>
      </c>
      <c r="B713" s="125" t="s">
        <v>409</v>
      </c>
      <c r="C713" s="128" t="s">
        <v>17</v>
      </c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21" customHeight="1" x14ac:dyDescent="0.4">
      <c r="A714" s="128">
        <v>90656</v>
      </c>
      <c r="B714" s="125" t="s">
        <v>1310</v>
      </c>
      <c r="C714" s="128" t="s">
        <v>22</v>
      </c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21" customHeight="1" x14ac:dyDescent="0.4">
      <c r="A715" s="128">
        <v>4096</v>
      </c>
      <c r="B715" s="125" t="s">
        <v>410</v>
      </c>
      <c r="C715" s="128" t="s">
        <v>17</v>
      </c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21" customHeight="1" x14ac:dyDescent="0.4">
      <c r="A716" s="128">
        <v>252</v>
      </c>
      <c r="B716" s="125" t="s">
        <v>411</v>
      </c>
      <c r="C716" s="128" t="s">
        <v>17</v>
      </c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21" customHeight="1" x14ac:dyDescent="0.4">
      <c r="A717" s="128">
        <v>90519</v>
      </c>
      <c r="B717" s="125" t="s">
        <v>1311</v>
      </c>
      <c r="C717" s="128" t="s">
        <v>22</v>
      </c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21" customHeight="1" x14ac:dyDescent="0.4">
      <c r="A718" s="128">
        <v>90520</v>
      </c>
      <c r="B718" s="125" t="s">
        <v>1312</v>
      </c>
      <c r="C718" s="128" t="s">
        <v>22</v>
      </c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21" customHeight="1" x14ac:dyDescent="0.4">
      <c r="A719" s="128">
        <v>3095</v>
      </c>
      <c r="B719" s="125" t="s">
        <v>413</v>
      </c>
      <c r="C719" s="128" t="s">
        <v>17</v>
      </c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21" customHeight="1" x14ac:dyDescent="0.4">
      <c r="A720" s="128">
        <v>3096</v>
      </c>
      <c r="B720" s="125" t="s">
        <v>414</v>
      </c>
      <c r="C720" s="128" t="s">
        <v>17</v>
      </c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21" customHeight="1" x14ac:dyDescent="0.4">
      <c r="A721" s="128">
        <v>90422</v>
      </c>
      <c r="B721" s="125" t="s">
        <v>1313</v>
      </c>
      <c r="C721" s="128" t="s">
        <v>22</v>
      </c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21" customHeight="1" x14ac:dyDescent="0.4">
      <c r="A722" s="128">
        <v>90423</v>
      </c>
      <c r="B722" s="125" t="s">
        <v>1314</v>
      </c>
      <c r="C722" s="128" t="s">
        <v>22</v>
      </c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21" customHeight="1" x14ac:dyDescent="0.4">
      <c r="A723" s="128">
        <v>90427</v>
      </c>
      <c r="B723" s="125" t="s">
        <v>1315</v>
      </c>
      <c r="C723" s="128" t="s">
        <v>22</v>
      </c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21" customHeight="1" x14ac:dyDescent="0.4">
      <c r="A724" s="128">
        <v>90530</v>
      </c>
      <c r="B724" s="125" t="s">
        <v>1316</v>
      </c>
      <c r="C724" s="128" t="s">
        <v>22</v>
      </c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21" customHeight="1" x14ac:dyDescent="0.4">
      <c r="A725" s="128">
        <v>90532</v>
      </c>
      <c r="B725" s="125" t="s">
        <v>1317</v>
      </c>
      <c r="C725" s="128" t="s">
        <v>22</v>
      </c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21" customHeight="1" x14ac:dyDescent="0.4">
      <c r="A726" s="128">
        <v>3037</v>
      </c>
      <c r="B726" s="125" t="s">
        <v>416</v>
      </c>
      <c r="C726" s="128" t="s">
        <v>17</v>
      </c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21" customHeight="1" x14ac:dyDescent="0.4">
      <c r="A727" s="128">
        <v>312</v>
      </c>
      <c r="B727" s="125" t="s">
        <v>418</v>
      </c>
      <c r="C727" s="128" t="s">
        <v>17</v>
      </c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21" customHeight="1" x14ac:dyDescent="0.4">
      <c r="A728" s="128">
        <v>3039</v>
      </c>
      <c r="B728" s="125" t="s">
        <v>419</v>
      </c>
      <c r="C728" s="128" t="s">
        <v>17</v>
      </c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21" customHeight="1" x14ac:dyDescent="0.4">
      <c r="A729" s="128">
        <v>4088</v>
      </c>
      <c r="B729" s="125" t="s">
        <v>1318</v>
      </c>
      <c r="C729" s="128" t="s">
        <v>17</v>
      </c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21" customHeight="1" x14ac:dyDescent="0.4">
      <c r="A730" s="128">
        <v>3146</v>
      </c>
      <c r="B730" s="125" t="s">
        <v>426</v>
      </c>
      <c r="C730" s="128" t="s">
        <v>17</v>
      </c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21" customHeight="1" x14ac:dyDescent="0.4">
      <c r="A731" s="128">
        <v>90064</v>
      </c>
      <c r="B731" s="125" t="s">
        <v>1319</v>
      </c>
      <c r="C731" s="128" t="s">
        <v>22</v>
      </c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21" customHeight="1" x14ac:dyDescent="0.4">
      <c r="A732" s="128">
        <v>90065</v>
      </c>
      <c r="B732" s="125" t="s">
        <v>1320</v>
      </c>
      <c r="C732" s="128" t="s">
        <v>22</v>
      </c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21" customHeight="1" x14ac:dyDescent="0.4">
      <c r="A733" s="128">
        <v>90066</v>
      </c>
      <c r="B733" s="125" t="s">
        <v>1321</v>
      </c>
      <c r="C733" s="128" t="s">
        <v>22</v>
      </c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21" customHeight="1" x14ac:dyDescent="0.4">
      <c r="A734" s="128">
        <v>90067</v>
      </c>
      <c r="B734" s="125" t="s">
        <v>1322</v>
      </c>
      <c r="C734" s="128" t="s">
        <v>22</v>
      </c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21" customHeight="1" x14ac:dyDescent="0.4">
      <c r="A735" s="128">
        <v>90094</v>
      </c>
      <c r="B735" s="125" t="s">
        <v>1323</v>
      </c>
      <c r="C735" s="128" t="s">
        <v>22</v>
      </c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21" customHeight="1" x14ac:dyDescent="0.4">
      <c r="A736" s="128">
        <v>90095</v>
      </c>
      <c r="B736" s="125" t="s">
        <v>1324</v>
      </c>
      <c r="C736" s="128" t="s">
        <v>22</v>
      </c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21" customHeight="1" x14ac:dyDescent="0.4">
      <c r="A737" s="128">
        <v>90096</v>
      </c>
      <c r="B737" s="125" t="s">
        <v>1325</v>
      </c>
      <c r="C737" s="128" t="s">
        <v>22</v>
      </c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21" customHeight="1" x14ac:dyDescent="0.4">
      <c r="A738" s="128">
        <v>90097</v>
      </c>
      <c r="B738" s="125" t="s">
        <v>1326</v>
      </c>
      <c r="C738" s="128" t="s">
        <v>22</v>
      </c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21" customHeight="1" x14ac:dyDescent="0.4">
      <c r="A739" s="128">
        <v>90048</v>
      </c>
      <c r="B739" s="125" t="s">
        <v>1327</v>
      </c>
      <c r="C739" s="128" t="s">
        <v>22</v>
      </c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21" customHeight="1" x14ac:dyDescent="0.4">
      <c r="A740" s="128">
        <v>90049</v>
      </c>
      <c r="B740" s="125" t="s">
        <v>1328</v>
      </c>
      <c r="C740" s="128" t="s">
        <v>22</v>
      </c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21" customHeight="1" x14ac:dyDescent="0.4">
      <c r="A741" s="128">
        <v>90050</v>
      </c>
      <c r="B741" s="125" t="s">
        <v>1329</v>
      </c>
      <c r="C741" s="128" t="s">
        <v>22</v>
      </c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21" customHeight="1" x14ac:dyDescent="0.4">
      <c r="A742" s="128">
        <v>90051</v>
      </c>
      <c r="B742" s="125" t="s">
        <v>1330</v>
      </c>
      <c r="C742" s="128" t="s">
        <v>22</v>
      </c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21" customHeight="1" x14ac:dyDescent="0.4">
      <c r="A743" s="128">
        <v>90053</v>
      </c>
      <c r="B743" s="125" t="s">
        <v>1331</v>
      </c>
      <c r="C743" s="128" t="s">
        <v>22</v>
      </c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21" customHeight="1" x14ac:dyDescent="0.4">
      <c r="A744" s="128">
        <v>90054</v>
      </c>
      <c r="B744" s="125" t="s">
        <v>1332</v>
      </c>
      <c r="C744" s="128" t="s">
        <v>22</v>
      </c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21" customHeight="1" x14ac:dyDescent="0.4">
      <c r="A745" s="128">
        <v>90055</v>
      </c>
      <c r="B745" s="125" t="s">
        <v>1333</v>
      </c>
      <c r="C745" s="128" t="s">
        <v>22</v>
      </c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21" customHeight="1" x14ac:dyDescent="0.4">
      <c r="A746" s="128">
        <v>90082</v>
      </c>
      <c r="B746" s="125" t="s">
        <v>1334</v>
      </c>
      <c r="C746" s="128" t="s">
        <v>22</v>
      </c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21" customHeight="1" x14ac:dyDescent="0.4">
      <c r="A747" s="128">
        <v>90083</v>
      </c>
      <c r="B747" s="125" t="s">
        <v>1335</v>
      </c>
      <c r="C747" s="128" t="s">
        <v>22</v>
      </c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21" customHeight="1" x14ac:dyDescent="0.4">
      <c r="A748" s="112"/>
      <c r="B748" s="113"/>
      <c r="C748" s="112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21" customHeight="1" x14ac:dyDescent="0.4">
      <c r="A749" s="112"/>
      <c r="B749" s="113"/>
      <c r="C749" s="112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21" customHeight="1" x14ac:dyDescent="0.4">
      <c r="A750" s="112"/>
      <c r="B750" s="113"/>
      <c r="C750" s="112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21" customHeight="1" x14ac:dyDescent="0.4">
      <c r="A751" s="112"/>
      <c r="B751" s="113"/>
      <c r="C751" s="112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21" customHeight="1" x14ac:dyDescent="0.4">
      <c r="A752" s="112"/>
      <c r="B752" s="113"/>
      <c r="C752" s="112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21" customHeight="1" x14ac:dyDescent="0.4">
      <c r="A753" s="112"/>
      <c r="B753" s="113"/>
      <c r="C753" s="112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21" customHeight="1" x14ac:dyDescent="0.4">
      <c r="A754" s="112"/>
      <c r="B754" s="113"/>
      <c r="C754" s="112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21" customHeight="1" x14ac:dyDescent="0.4">
      <c r="A755" s="112"/>
      <c r="B755" s="113"/>
      <c r="C755" s="112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21" customHeight="1" x14ac:dyDescent="0.4">
      <c r="A756" s="112"/>
      <c r="B756" s="113"/>
      <c r="C756" s="112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21" customHeight="1" x14ac:dyDescent="0.4">
      <c r="A757" s="112"/>
      <c r="B757" s="113"/>
      <c r="C757" s="112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21" customHeight="1" x14ac:dyDescent="0.4">
      <c r="A758" s="112"/>
      <c r="B758" s="113"/>
      <c r="C758" s="112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21" customHeight="1" x14ac:dyDescent="0.4">
      <c r="A759" s="112"/>
      <c r="B759" s="113"/>
      <c r="C759" s="112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21" customHeight="1" x14ac:dyDescent="0.4">
      <c r="A760" s="112"/>
      <c r="B760" s="113"/>
      <c r="C760" s="112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21" customHeight="1" x14ac:dyDescent="0.4">
      <c r="A761" s="112"/>
      <c r="B761" s="113"/>
      <c r="C761" s="112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21" customHeight="1" x14ac:dyDescent="0.4">
      <c r="A762" s="112"/>
      <c r="B762" s="113"/>
      <c r="C762" s="112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21" customHeight="1" x14ac:dyDescent="0.4">
      <c r="A763" s="112"/>
      <c r="B763" s="113"/>
      <c r="C763" s="112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21" customHeight="1" x14ac:dyDescent="0.4">
      <c r="A764" s="112"/>
      <c r="B764" s="113"/>
      <c r="C764" s="112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21" customHeight="1" x14ac:dyDescent="0.4">
      <c r="A765" s="112"/>
      <c r="B765" s="113"/>
      <c r="C765" s="112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21" customHeight="1" x14ac:dyDescent="0.4">
      <c r="A766" s="112"/>
      <c r="B766" s="113"/>
      <c r="C766" s="112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21" customHeight="1" x14ac:dyDescent="0.4">
      <c r="A767" s="112"/>
      <c r="B767" s="113"/>
      <c r="C767" s="112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21" customHeight="1" x14ac:dyDescent="0.4">
      <c r="A768" s="112"/>
      <c r="B768" s="113"/>
      <c r="C768" s="112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21" customHeight="1" x14ac:dyDescent="0.4">
      <c r="A769" s="112"/>
      <c r="B769" s="113"/>
      <c r="C769" s="112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21" customHeight="1" x14ac:dyDescent="0.4">
      <c r="A770" s="112"/>
      <c r="B770" s="113"/>
      <c r="C770" s="112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21" customHeight="1" x14ac:dyDescent="0.4">
      <c r="A771" s="112"/>
      <c r="B771" s="113"/>
      <c r="C771" s="112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21" customHeight="1" x14ac:dyDescent="0.4">
      <c r="A772" s="112"/>
      <c r="B772" s="113"/>
      <c r="C772" s="112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21" customHeight="1" x14ac:dyDescent="0.4">
      <c r="A773" s="112"/>
      <c r="B773" s="113"/>
      <c r="C773" s="112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21" customHeight="1" x14ac:dyDescent="0.4">
      <c r="A774" s="112"/>
      <c r="B774" s="113"/>
      <c r="C774" s="112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21" customHeight="1" x14ac:dyDescent="0.4">
      <c r="A775" s="112"/>
      <c r="B775" s="113"/>
      <c r="C775" s="112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21" customHeight="1" x14ac:dyDescent="0.4">
      <c r="A776" s="112"/>
      <c r="B776" s="113"/>
      <c r="C776" s="112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21" customHeight="1" x14ac:dyDescent="0.4">
      <c r="A777" s="112"/>
      <c r="B777" s="113"/>
      <c r="C777" s="112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21" customHeight="1" x14ac:dyDescent="0.4">
      <c r="A778" s="112"/>
      <c r="B778" s="113"/>
      <c r="C778" s="112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21" customHeight="1" x14ac:dyDescent="0.4">
      <c r="A779" s="112"/>
      <c r="B779" s="113"/>
      <c r="C779" s="112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21" customHeight="1" x14ac:dyDescent="0.4">
      <c r="A780" s="112"/>
      <c r="B780" s="113"/>
      <c r="C780" s="112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21" customHeight="1" x14ac:dyDescent="0.4">
      <c r="A781" s="112"/>
      <c r="B781" s="113"/>
      <c r="C781" s="112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21" customHeight="1" x14ac:dyDescent="0.4">
      <c r="A782" s="112"/>
      <c r="B782" s="113"/>
      <c r="C782" s="112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21" customHeight="1" x14ac:dyDescent="0.4">
      <c r="A783" s="112"/>
      <c r="B783" s="113"/>
      <c r="C783" s="112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21" customHeight="1" x14ac:dyDescent="0.4">
      <c r="A784" s="112"/>
      <c r="B784" s="113"/>
      <c r="C784" s="112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21" customHeight="1" x14ac:dyDescent="0.4">
      <c r="A785" s="112"/>
      <c r="B785" s="113"/>
      <c r="C785" s="112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21" customHeight="1" x14ac:dyDescent="0.4">
      <c r="A786" s="112"/>
      <c r="B786" s="113"/>
      <c r="C786" s="112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21" customHeight="1" x14ac:dyDescent="0.4">
      <c r="A787" s="112"/>
      <c r="B787" s="113"/>
      <c r="C787" s="112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21" customHeight="1" x14ac:dyDescent="0.4">
      <c r="A788" s="112"/>
      <c r="B788" s="113"/>
      <c r="C788" s="112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21" customHeight="1" x14ac:dyDescent="0.4">
      <c r="A789" s="112"/>
      <c r="B789" s="113"/>
      <c r="C789" s="112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21" customHeight="1" x14ac:dyDescent="0.4">
      <c r="A790" s="112"/>
      <c r="B790" s="113"/>
      <c r="C790" s="112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21" customHeight="1" x14ac:dyDescent="0.4">
      <c r="A791" s="112"/>
      <c r="B791" s="113"/>
      <c r="C791" s="112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21" customHeight="1" x14ac:dyDescent="0.4">
      <c r="A792" s="112"/>
      <c r="B792" s="113"/>
      <c r="C792" s="112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21" customHeight="1" x14ac:dyDescent="0.4">
      <c r="A793" s="112"/>
      <c r="B793" s="113"/>
      <c r="C793" s="112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21" customHeight="1" x14ac:dyDescent="0.4">
      <c r="A794" s="112"/>
      <c r="B794" s="113"/>
      <c r="C794" s="112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21" customHeight="1" x14ac:dyDescent="0.4">
      <c r="A795" s="112"/>
      <c r="B795" s="113"/>
      <c r="C795" s="112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21" customHeight="1" x14ac:dyDescent="0.4">
      <c r="A796" s="112"/>
      <c r="B796" s="113"/>
      <c r="C796" s="112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21" customHeight="1" x14ac:dyDescent="0.4">
      <c r="A797" s="112"/>
      <c r="B797" s="113"/>
      <c r="C797" s="112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21" customHeight="1" x14ac:dyDescent="0.4">
      <c r="A798" s="112"/>
      <c r="B798" s="113"/>
      <c r="C798" s="112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21" customHeight="1" x14ac:dyDescent="0.4">
      <c r="A799" s="112"/>
      <c r="B799" s="113"/>
      <c r="C799" s="112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21" customHeight="1" x14ac:dyDescent="0.4">
      <c r="A800" s="112"/>
      <c r="B800" s="113"/>
      <c r="C800" s="112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21" customHeight="1" x14ac:dyDescent="0.4">
      <c r="A801" s="112"/>
      <c r="B801" s="113"/>
      <c r="C801" s="112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21" customHeight="1" x14ac:dyDescent="0.4">
      <c r="A802" s="112"/>
      <c r="B802" s="113"/>
      <c r="C802" s="112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21" customHeight="1" x14ac:dyDescent="0.4">
      <c r="A803" s="112"/>
      <c r="B803" s="113"/>
      <c r="C803" s="112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21" customHeight="1" x14ac:dyDescent="0.4">
      <c r="A804" s="112"/>
      <c r="B804" s="113"/>
      <c r="C804" s="112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21" customHeight="1" x14ac:dyDescent="0.4">
      <c r="A805" s="112"/>
      <c r="B805" s="113"/>
      <c r="C805" s="112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21" customHeight="1" x14ac:dyDescent="0.4">
      <c r="A806" s="112"/>
      <c r="B806" s="113"/>
      <c r="C806" s="112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21" customHeight="1" x14ac:dyDescent="0.4">
      <c r="A807" s="112"/>
      <c r="B807" s="113"/>
      <c r="C807" s="112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21" customHeight="1" x14ac:dyDescent="0.4">
      <c r="A808" s="112"/>
      <c r="B808" s="113"/>
      <c r="C808" s="112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21" customHeight="1" x14ac:dyDescent="0.4">
      <c r="A809" s="112"/>
      <c r="B809" s="113"/>
      <c r="C809" s="112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21" customHeight="1" x14ac:dyDescent="0.4">
      <c r="A810" s="112"/>
      <c r="B810" s="113"/>
      <c r="C810" s="112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21" customHeight="1" x14ac:dyDescent="0.4">
      <c r="A811" s="112"/>
      <c r="B811" s="113"/>
      <c r="C811" s="112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21" customHeight="1" x14ac:dyDescent="0.4">
      <c r="A812" s="112"/>
      <c r="B812" s="113"/>
      <c r="C812" s="112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21" customHeight="1" x14ac:dyDescent="0.4">
      <c r="A813" s="112"/>
      <c r="B813" s="113"/>
      <c r="C813" s="112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21" customHeight="1" x14ac:dyDescent="0.4">
      <c r="A814" s="112"/>
      <c r="B814" s="113"/>
      <c r="C814" s="112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21" customHeight="1" x14ac:dyDescent="0.4">
      <c r="A815" s="112"/>
      <c r="B815" s="113"/>
      <c r="C815" s="112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21" customHeight="1" x14ac:dyDescent="0.4">
      <c r="A816" s="112"/>
      <c r="B816" s="113"/>
      <c r="C816" s="112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21" customHeight="1" x14ac:dyDescent="0.4">
      <c r="A817" s="112"/>
      <c r="B817" s="113"/>
      <c r="C817" s="112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21" customHeight="1" x14ac:dyDescent="0.4">
      <c r="A818" s="112"/>
      <c r="B818" s="113"/>
      <c r="C818" s="112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21" customHeight="1" x14ac:dyDescent="0.4">
      <c r="A819" s="112"/>
      <c r="B819" s="113"/>
      <c r="C819" s="112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21" customHeight="1" x14ac:dyDescent="0.4">
      <c r="A820" s="112"/>
      <c r="B820" s="113"/>
      <c r="C820" s="112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21" customHeight="1" x14ac:dyDescent="0.4">
      <c r="A821" s="112"/>
      <c r="B821" s="113"/>
      <c r="C821" s="112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21" customHeight="1" x14ac:dyDescent="0.4">
      <c r="A822" s="112"/>
      <c r="B822" s="113"/>
      <c r="C822" s="112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21" customHeight="1" x14ac:dyDescent="0.4">
      <c r="A823" s="112"/>
      <c r="B823" s="113"/>
      <c r="C823" s="112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21" customHeight="1" x14ac:dyDescent="0.4">
      <c r="A824" s="112"/>
      <c r="B824" s="113"/>
      <c r="C824" s="112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21" customHeight="1" x14ac:dyDescent="0.4">
      <c r="A825" s="112"/>
      <c r="B825" s="113"/>
      <c r="C825" s="112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21" customHeight="1" x14ac:dyDescent="0.4">
      <c r="A826" s="112"/>
      <c r="B826" s="113"/>
      <c r="C826" s="112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21" customHeight="1" x14ac:dyDescent="0.4">
      <c r="A827" s="112"/>
      <c r="B827" s="113"/>
      <c r="C827" s="112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21" customHeight="1" x14ac:dyDescent="0.4">
      <c r="A828" s="112"/>
      <c r="B828" s="113"/>
      <c r="C828" s="112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21" customHeight="1" x14ac:dyDescent="0.4">
      <c r="A829" s="112"/>
      <c r="B829" s="113"/>
      <c r="C829" s="112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21" customHeight="1" x14ac:dyDescent="0.4">
      <c r="A830" s="112"/>
      <c r="B830" s="113"/>
      <c r="C830" s="112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21" customHeight="1" x14ac:dyDescent="0.4">
      <c r="A831" s="112"/>
      <c r="B831" s="113"/>
      <c r="C831" s="112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21" customHeight="1" x14ac:dyDescent="0.4">
      <c r="A832" s="112"/>
      <c r="B832" s="113"/>
      <c r="C832" s="112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21" customHeight="1" x14ac:dyDescent="0.4">
      <c r="A833" s="112"/>
      <c r="B833" s="113"/>
      <c r="C833" s="112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21" customHeight="1" x14ac:dyDescent="0.4">
      <c r="A834" s="112"/>
      <c r="B834" s="113"/>
      <c r="C834" s="112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21" customHeight="1" x14ac:dyDescent="0.4">
      <c r="A835" s="112"/>
      <c r="B835" s="113"/>
      <c r="C835" s="112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21" customHeight="1" x14ac:dyDescent="0.4">
      <c r="A836" s="112"/>
      <c r="B836" s="113"/>
      <c r="C836" s="112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21" customHeight="1" x14ac:dyDescent="0.4">
      <c r="A837" s="112"/>
      <c r="B837" s="113"/>
      <c r="C837" s="112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21" customHeight="1" x14ac:dyDescent="0.4">
      <c r="A838" s="112"/>
      <c r="B838" s="113"/>
      <c r="C838" s="112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21" customHeight="1" x14ac:dyDescent="0.4">
      <c r="A839" s="112"/>
      <c r="B839" s="113"/>
      <c r="C839" s="112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21" customHeight="1" x14ac:dyDescent="0.4">
      <c r="A840" s="112"/>
      <c r="B840" s="113"/>
      <c r="C840" s="112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21" customHeight="1" x14ac:dyDescent="0.4">
      <c r="A841" s="112"/>
      <c r="B841" s="113"/>
      <c r="C841" s="112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21" customHeight="1" x14ac:dyDescent="0.4">
      <c r="A842" s="112"/>
      <c r="B842" s="113"/>
      <c r="C842" s="112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21" customHeight="1" x14ac:dyDescent="0.4">
      <c r="A843" s="112"/>
      <c r="B843" s="113"/>
      <c r="C843" s="112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21" customHeight="1" x14ac:dyDescent="0.4">
      <c r="A844" s="112"/>
      <c r="B844" s="113"/>
      <c r="C844" s="112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21" customHeight="1" x14ac:dyDescent="0.4">
      <c r="A845" s="112"/>
      <c r="B845" s="113"/>
      <c r="C845" s="112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21" customHeight="1" x14ac:dyDescent="0.4">
      <c r="A846" s="112"/>
      <c r="B846" s="113"/>
      <c r="C846" s="112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21" customHeight="1" x14ac:dyDescent="0.4">
      <c r="A847" s="112"/>
      <c r="B847" s="113"/>
      <c r="C847" s="112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21" customHeight="1" x14ac:dyDescent="0.4">
      <c r="A848" s="112"/>
      <c r="B848" s="113"/>
      <c r="C848" s="112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21" customHeight="1" x14ac:dyDescent="0.4">
      <c r="A849" s="112"/>
      <c r="B849" s="113"/>
      <c r="C849" s="112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21" customHeight="1" x14ac:dyDescent="0.4">
      <c r="A850" s="112"/>
      <c r="B850" s="113"/>
      <c r="C850" s="112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21" customHeight="1" x14ac:dyDescent="0.4">
      <c r="A851" s="112"/>
      <c r="B851" s="113"/>
      <c r="C851" s="112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21" customHeight="1" x14ac:dyDescent="0.4">
      <c r="A852" s="112"/>
      <c r="B852" s="113"/>
      <c r="C852" s="112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21" customHeight="1" x14ac:dyDescent="0.4">
      <c r="A853" s="112"/>
      <c r="B853" s="113"/>
      <c r="C853" s="112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21" customHeight="1" x14ac:dyDescent="0.4">
      <c r="A854" s="112"/>
      <c r="B854" s="113"/>
      <c r="C854" s="112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21" customHeight="1" x14ac:dyDescent="0.4">
      <c r="A855" s="112"/>
      <c r="B855" s="113"/>
      <c r="C855" s="112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21" customHeight="1" x14ac:dyDescent="0.4">
      <c r="A856" s="112"/>
      <c r="B856" s="113"/>
      <c r="C856" s="112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21" customHeight="1" x14ac:dyDescent="0.4">
      <c r="A857" s="112"/>
      <c r="B857" s="113"/>
      <c r="C857" s="112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21" customHeight="1" x14ac:dyDescent="0.4">
      <c r="A858" s="112"/>
      <c r="B858" s="113"/>
      <c r="C858" s="112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21" customHeight="1" x14ac:dyDescent="0.4">
      <c r="A859" s="112"/>
      <c r="B859" s="113"/>
      <c r="C859" s="112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21" customHeight="1" x14ac:dyDescent="0.4">
      <c r="A860" s="112"/>
      <c r="B860" s="113"/>
      <c r="C860" s="112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21" customHeight="1" x14ac:dyDescent="0.4">
      <c r="A861" s="112"/>
      <c r="B861" s="113"/>
      <c r="C861" s="112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21" customHeight="1" x14ac:dyDescent="0.4">
      <c r="A862" s="112"/>
      <c r="B862" s="113"/>
      <c r="C862" s="112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21" customHeight="1" x14ac:dyDescent="0.4">
      <c r="A863" s="112"/>
      <c r="B863" s="113"/>
      <c r="C863" s="112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21" customHeight="1" x14ac:dyDescent="0.4">
      <c r="A864" s="112"/>
      <c r="B864" s="113"/>
      <c r="C864" s="112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21" customHeight="1" x14ac:dyDescent="0.4">
      <c r="A865" s="112"/>
      <c r="B865" s="113"/>
      <c r="C865" s="112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21" customHeight="1" x14ac:dyDescent="0.4">
      <c r="A866" s="112"/>
      <c r="B866" s="113"/>
      <c r="C866" s="112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21" customHeight="1" x14ac:dyDescent="0.4">
      <c r="A867" s="112"/>
      <c r="B867" s="113"/>
      <c r="C867" s="112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21" customHeight="1" x14ac:dyDescent="0.4">
      <c r="A868" s="112"/>
      <c r="B868" s="113"/>
      <c r="C868" s="112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21" customHeight="1" x14ac:dyDescent="0.4">
      <c r="A869" s="112"/>
      <c r="B869" s="113"/>
      <c r="C869" s="112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21" customHeight="1" x14ac:dyDescent="0.4">
      <c r="A870" s="112"/>
      <c r="B870" s="113"/>
      <c r="C870" s="112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21" customHeight="1" x14ac:dyDescent="0.4">
      <c r="A871" s="112"/>
      <c r="B871" s="113"/>
      <c r="C871" s="112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21" customHeight="1" x14ac:dyDescent="0.4">
      <c r="A872" s="112"/>
      <c r="B872" s="113"/>
      <c r="C872" s="112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21" customHeight="1" x14ac:dyDescent="0.4">
      <c r="A873" s="112"/>
      <c r="B873" s="113"/>
      <c r="C873" s="112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21" customHeight="1" x14ac:dyDescent="0.4">
      <c r="A874" s="112"/>
      <c r="B874" s="113"/>
      <c r="C874" s="112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21" customHeight="1" x14ac:dyDescent="0.4">
      <c r="A875" s="112"/>
      <c r="B875" s="113"/>
      <c r="C875" s="112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21" customHeight="1" x14ac:dyDescent="0.4">
      <c r="A876" s="112"/>
      <c r="B876" s="113"/>
      <c r="C876" s="112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21" customHeight="1" x14ac:dyDescent="0.4">
      <c r="A877" s="112"/>
      <c r="B877" s="113"/>
      <c r="C877" s="112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21" customHeight="1" x14ac:dyDescent="0.4">
      <c r="A878" s="112"/>
      <c r="B878" s="113"/>
      <c r="C878" s="112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21" customHeight="1" x14ac:dyDescent="0.4">
      <c r="A879" s="112"/>
      <c r="B879" s="113"/>
      <c r="C879" s="112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21" customHeight="1" x14ac:dyDescent="0.4">
      <c r="A880" s="112"/>
      <c r="B880" s="113"/>
      <c r="C880" s="112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21" customHeight="1" x14ac:dyDescent="0.4">
      <c r="A881" s="112"/>
      <c r="B881" s="113"/>
      <c r="C881" s="112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21" customHeight="1" x14ac:dyDescent="0.4">
      <c r="A882" s="112"/>
      <c r="B882" s="113"/>
      <c r="C882" s="112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21" customHeight="1" x14ac:dyDescent="0.4">
      <c r="A883" s="112"/>
      <c r="B883" s="113"/>
      <c r="C883" s="112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21" customHeight="1" x14ac:dyDescent="0.4">
      <c r="A884" s="112"/>
      <c r="B884" s="113"/>
      <c r="C884" s="112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21" customHeight="1" x14ac:dyDescent="0.4">
      <c r="A885" s="112"/>
      <c r="B885" s="113"/>
      <c r="C885" s="112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21" customHeight="1" x14ac:dyDescent="0.4">
      <c r="A886" s="112"/>
      <c r="B886" s="113"/>
      <c r="C886" s="112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21" customHeight="1" x14ac:dyDescent="0.4">
      <c r="A887" s="112"/>
      <c r="B887" s="113"/>
      <c r="C887" s="112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21" customHeight="1" x14ac:dyDescent="0.4">
      <c r="A888" s="112"/>
      <c r="B888" s="113"/>
      <c r="C888" s="112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21" customHeight="1" x14ac:dyDescent="0.4">
      <c r="A889" s="112"/>
      <c r="B889" s="113"/>
      <c r="C889" s="112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21" customHeight="1" x14ac:dyDescent="0.4">
      <c r="A890" s="112"/>
      <c r="B890" s="113"/>
      <c r="C890" s="112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21" customHeight="1" x14ac:dyDescent="0.4">
      <c r="A891" s="112"/>
      <c r="B891" s="113"/>
      <c r="C891" s="112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21" customHeight="1" x14ac:dyDescent="0.4">
      <c r="A892" s="112"/>
      <c r="B892" s="113"/>
      <c r="C892" s="112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21" customHeight="1" x14ac:dyDescent="0.4">
      <c r="A893" s="112"/>
      <c r="B893" s="113"/>
      <c r="C893" s="112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21" customHeight="1" x14ac:dyDescent="0.4">
      <c r="A894" s="112"/>
      <c r="B894" s="113"/>
      <c r="C894" s="112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21" customHeight="1" x14ac:dyDescent="0.4">
      <c r="A895" s="112"/>
      <c r="B895" s="113"/>
      <c r="C895" s="112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21" customHeight="1" x14ac:dyDescent="0.4">
      <c r="A896" s="112"/>
      <c r="B896" s="113"/>
      <c r="C896" s="112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21" customHeight="1" x14ac:dyDescent="0.4">
      <c r="A897" s="112"/>
      <c r="B897" s="113"/>
      <c r="C897" s="112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21" customHeight="1" x14ac:dyDescent="0.4">
      <c r="A898" s="112"/>
      <c r="B898" s="113"/>
      <c r="C898" s="112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21" customHeight="1" x14ac:dyDescent="0.4">
      <c r="A899" s="112"/>
      <c r="B899" s="113"/>
      <c r="C899" s="112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21" customHeight="1" x14ac:dyDescent="0.4">
      <c r="A900" s="112"/>
      <c r="B900" s="113"/>
      <c r="C900" s="112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21" customHeight="1" x14ac:dyDescent="0.4">
      <c r="A901" s="112"/>
      <c r="B901" s="113"/>
      <c r="C901" s="112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21" customHeight="1" x14ac:dyDescent="0.4">
      <c r="A902" s="112"/>
      <c r="B902" s="113"/>
      <c r="C902" s="112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21" customHeight="1" x14ac:dyDescent="0.4">
      <c r="A903" s="112"/>
      <c r="B903" s="113"/>
      <c r="C903" s="112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21" customHeight="1" x14ac:dyDescent="0.4">
      <c r="A904" s="112"/>
      <c r="B904" s="113"/>
      <c r="C904" s="112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21" customHeight="1" x14ac:dyDescent="0.4">
      <c r="A905" s="112"/>
      <c r="B905" s="113"/>
      <c r="C905" s="112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21" customHeight="1" x14ac:dyDescent="0.4">
      <c r="A906" s="112"/>
      <c r="B906" s="113"/>
      <c r="C906" s="112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21" customHeight="1" x14ac:dyDescent="0.4">
      <c r="A907" s="112"/>
      <c r="B907" s="113"/>
      <c r="C907" s="112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21" customHeight="1" x14ac:dyDescent="0.4">
      <c r="A908" s="112"/>
      <c r="B908" s="113"/>
      <c r="C908" s="112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21" customHeight="1" x14ac:dyDescent="0.4">
      <c r="A909" s="112"/>
      <c r="B909" s="113"/>
      <c r="C909" s="112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21" customHeight="1" x14ac:dyDescent="0.4">
      <c r="A910" s="112"/>
      <c r="B910" s="113"/>
      <c r="C910" s="112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21" customHeight="1" x14ac:dyDescent="0.4">
      <c r="A911" s="112"/>
      <c r="B911" s="113"/>
      <c r="C911" s="112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21" customHeight="1" x14ac:dyDescent="0.4">
      <c r="A912" s="112"/>
      <c r="B912" s="113"/>
      <c r="C912" s="112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21" customHeight="1" x14ac:dyDescent="0.4">
      <c r="A913" s="112"/>
      <c r="B913" s="113"/>
      <c r="C913" s="112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21" customHeight="1" x14ac:dyDescent="0.4">
      <c r="A914" s="112"/>
      <c r="B914" s="113"/>
      <c r="C914" s="112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21" customHeight="1" x14ac:dyDescent="0.4">
      <c r="A915" s="112"/>
      <c r="B915" s="113"/>
      <c r="C915" s="112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21" customHeight="1" x14ac:dyDescent="0.4">
      <c r="A916" s="112"/>
      <c r="B916" s="113"/>
      <c r="C916" s="112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21" customHeight="1" x14ac:dyDescent="0.4">
      <c r="A917" s="112"/>
      <c r="B917" s="113"/>
      <c r="C917" s="112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21" customHeight="1" x14ac:dyDescent="0.4">
      <c r="A918" s="112"/>
      <c r="B918" s="113"/>
      <c r="C918" s="112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21" customHeight="1" x14ac:dyDescent="0.4">
      <c r="A919" s="112"/>
      <c r="B919" s="113"/>
      <c r="C919" s="112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21" customHeight="1" x14ac:dyDescent="0.4">
      <c r="A920" s="112"/>
      <c r="B920" s="113"/>
      <c r="C920" s="112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21" customHeight="1" x14ac:dyDescent="0.4">
      <c r="A921" s="112"/>
      <c r="B921" s="113"/>
      <c r="C921" s="112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21" customHeight="1" x14ac:dyDescent="0.4">
      <c r="A922" s="112"/>
      <c r="B922" s="113"/>
      <c r="C922" s="112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21" customHeight="1" x14ac:dyDescent="0.4">
      <c r="A923" s="112"/>
      <c r="B923" s="113"/>
      <c r="C923" s="112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21" customHeight="1" x14ac:dyDescent="0.4">
      <c r="A924" s="112"/>
      <c r="B924" s="113"/>
      <c r="C924" s="112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21" customHeight="1" x14ac:dyDescent="0.4">
      <c r="A925" s="112"/>
      <c r="B925" s="113"/>
      <c r="C925" s="112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21" customHeight="1" x14ac:dyDescent="0.4">
      <c r="A926" s="112"/>
      <c r="B926" s="113"/>
      <c r="C926" s="112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21" customHeight="1" x14ac:dyDescent="0.4">
      <c r="A927" s="112"/>
      <c r="B927" s="113"/>
      <c r="C927" s="112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21" customHeight="1" x14ac:dyDescent="0.4">
      <c r="A928" s="112"/>
      <c r="B928" s="113"/>
      <c r="C928" s="112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21" customHeight="1" x14ac:dyDescent="0.4">
      <c r="A929" s="112"/>
      <c r="B929" s="113"/>
      <c r="C929" s="112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21" customHeight="1" x14ac:dyDescent="0.4">
      <c r="A930" s="112"/>
      <c r="B930" s="113"/>
      <c r="C930" s="112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21" customHeight="1" x14ac:dyDescent="0.4">
      <c r="A931" s="112"/>
      <c r="B931" s="113"/>
      <c r="C931" s="112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21" customHeight="1" x14ac:dyDescent="0.4">
      <c r="A932" s="112"/>
      <c r="B932" s="113"/>
      <c r="C932" s="112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21" customHeight="1" x14ac:dyDescent="0.4">
      <c r="A933" s="112"/>
      <c r="B933" s="113"/>
      <c r="C933" s="112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21" customHeight="1" x14ac:dyDescent="0.4">
      <c r="A934" s="112"/>
      <c r="B934" s="113"/>
      <c r="C934" s="112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21" customHeight="1" x14ac:dyDescent="0.4">
      <c r="A935" s="112"/>
      <c r="B935" s="113"/>
      <c r="C935" s="112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21" customHeight="1" x14ac:dyDescent="0.4">
      <c r="A936" s="112"/>
      <c r="B936" s="113"/>
      <c r="C936" s="112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21" customHeight="1" x14ac:dyDescent="0.4">
      <c r="A937" s="112"/>
      <c r="B937" s="113"/>
      <c r="C937" s="112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21" customHeight="1" x14ac:dyDescent="0.4">
      <c r="A938" s="112"/>
      <c r="B938" s="113"/>
      <c r="C938" s="112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21" customHeight="1" x14ac:dyDescent="0.4">
      <c r="A939" s="112"/>
      <c r="B939" s="113"/>
      <c r="C939" s="112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21" customHeight="1" x14ac:dyDescent="0.4">
      <c r="A940" s="112"/>
      <c r="B940" s="113"/>
      <c r="C940" s="112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21" customHeight="1" x14ac:dyDescent="0.4">
      <c r="A941" s="112"/>
      <c r="B941" s="113"/>
      <c r="C941" s="112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21" customHeight="1" x14ac:dyDescent="0.4">
      <c r="A942" s="112"/>
      <c r="B942" s="113"/>
      <c r="C942" s="112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21" customHeight="1" x14ac:dyDescent="0.4">
      <c r="A943" s="112"/>
      <c r="B943" s="113"/>
      <c r="C943" s="112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21" customHeight="1" x14ac:dyDescent="0.4">
      <c r="A944" s="112"/>
      <c r="B944" s="113"/>
      <c r="C944" s="112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21" customHeight="1" x14ac:dyDescent="0.4">
      <c r="A945" s="112"/>
      <c r="B945" s="113"/>
      <c r="C945" s="112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21" customHeight="1" x14ac:dyDescent="0.4">
      <c r="A946" s="112"/>
      <c r="B946" s="113"/>
      <c r="C946" s="112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21" customHeight="1" x14ac:dyDescent="0.4">
      <c r="A947" s="112"/>
      <c r="B947" s="113"/>
      <c r="C947" s="112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21" customHeight="1" x14ac:dyDescent="0.4">
      <c r="A948" s="112"/>
      <c r="B948" s="113"/>
      <c r="C948" s="112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21" customHeight="1" x14ac:dyDescent="0.4">
      <c r="A949" s="112"/>
      <c r="B949" s="113"/>
      <c r="C949" s="112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21" customHeight="1" x14ac:dyDescent="0.4">
      <c r="A950" s="112"/>
      <c r="B950" s="113"/>
      <c r="C950" s="112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21" customHeight="1" x14ac:dyDescent="0.4">
      <c r="A951" s="112"/>
      <c r="B951" s="113"/>
      <c r="C951" s="112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21" customHeight="1" x14ac:dyDescent="0.4">
      <c r="A952" s="112"/>
      <c r="B952" s="113"/>
      <c r="C952" s="112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21" customHeight="1" x14ac:dyDescent="0.4">
      <c r="A953" s="112"/>
      <c r="B953" s="113"/>
      <c r="C953" s="112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21" customHeight="1" x14ac:dyDescent="0.4">
      <c r="A954" s="112"/>
      <c r="B954" s="113"/>
      <c r="C954" s="112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21" customHeight="1" x14ac:dyDescent="0.4">
      <c r="A955" s="112"/>
      <c r="B955" s="113"/>
      <c r="C955" s="112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21" customHeight="1" x14ac:dyDescent="0.4">
      <c r="A956" s="112"/>
      <c r="B956" s="113"/>
      <c r="C956" s="112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21" customHeight="1" x14ac:dyDescent="0.4">
      <c r="A957" s="112"/>
      <c r="B957" s="113"/>
      <c r="C957" s="112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21" customHeight="1" x14ac:dyDescent="0.4">
      <c r="A958" s="112"/>
      <c r="B958" s="113"/>
      <c r="C958" s="112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21" customHeight="1" x14ac:dyDescent="0.4">
      <c r="A959" s="112"/>
      <c r="B959" s="113"/>
      <c r="C959" s="112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21" customHeight="1" x14ac:dyDescent="0.4">
      <c r="A960" s="112"/>
      <c r="B960" s="113"/>
      <c r="C960" s="112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21" customHeight="1" x14ac:dyDescent="0.4">
      <c r="A961" s="112"/>
      <c r="B961" s="113"/>
      <c r="C961" s="112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21" customHeight="1" x14ac:dyDescent="0.4">
      <c r="A962" s="112"/>
      <c r="B962" s="113"/>
      <c r="C962" s="112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21" customHeight="1" x14ac:dyDescent="0.4">
      <c r="A963" s="112"/>
      <c r="B963" s="113"/>
      <c r="C963" s="112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21" customHeight="1" x14ac:dyDescent="0.4">
      <c r="A964" s="112"/>
      <c r="B964" s="113"/>
      <c r="C964" s="112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21" customHeight="1" x14ac:dyDescent="0.4">
      <c r="A965" s="112"/>
      <c r="B965" s="113"/>
      <c r="C965" s="112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21" customHeight="1" x14ac:dyDescent="0.4">
      <c r="A966" s="112"/>
      <c r="B966" s="113"/>
      <c r="C966" s="112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21" customHeight="1" x14ac:dyDescent="0.4">
      <c r="A967" s="112"/>
      <c r="B967" s="113"/>
      <c r="C967" s="112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21" customHeight="1" x14ac:dyDescent="0.4">
      <c r="A968" s="112"/>
      <c r="B968" s="113"/>
      <c r="C968" s="112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21" customHeight="1" x14ac:dyDescent="0.4">
      <c r="A969" s="112"/>
      <c r="B969" s="113"/>
      <c r="C969" s="112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21" customHeight="1" x14ac:dyDescent="0.4">
      <c r="A970" s="112"/>
      <c r="B970" s="113"/>
      <c r="C970" s="112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21" customHeight="1" x14ac:dyDescent="0.4">
      <c r="A971" s="112"/>
      <c r="B971" s="113"/>
      <c r="C971" s="112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21" customHeight="1" x14ac:dyDescent="0.4">
      <c r="A972" s="112"/>
      <c r="B972" s="113"/>
      <c r="C972" s="112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21" customHeight="1" x14ac:dyDescent="0.4">
      <c r="A973" s="112"/>
      <c r="B973" s="113"/>
      <c r="C973" s="112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21" customHeight="1" x14ac:dyDescent="0.4">
      <c r="A974" s="112"/>
      <c r="B974" s="113"/>
      <c r="C974" s="112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21" customHeight="1" x14ac:dyDescent="0.4">
      <c r="A975" s="112"/>
      <c r="B975" s="113"/>
      <c r="C975" s="112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21" customHeight="1" x14ac:dyDescent="0.4">
      <c r="A976" s="112"/>
      <c r="B976" s="113"/>
      <c r="C976" s="112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21" customHeight="1" x14ac:dyDescent="0.4">
      <c r="A977" s="112"/>
      <c r="B977" s="113"/>
      <c r="C977" s="112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21" customHeight="1" x14ac:dyDescent="0.4">
      <c r="A978" s="112"/>
      <c r="B978" s="113"/>
      <c r="C978" s="112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21" customHeight="1" x14ac:dyDescent="0.4">
      <c r="A979" s="112"/>
      <c r="B979" s="113"/>
      <c r="C979" s="112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21" customHeight="1" x14ac:dyDescent="0.4">
      <c r="A980" s="112"/>
      <c r="B980" s="113"/>
      <c r="C980" s="112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21" customHeight="1" x14ac:dyDescent="0.4">
      <c r="A981" s="112"/>
      <c r="B981" s="113"/>
      <c r="C981" s="112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21" customHeight="1" x14ac:dyDescent="0.4">
      <c r="A982" s="112"/>
      <c r="B982" s="113"/>
      <c r="C982" s="112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21" customHeight="1" x14ac:dyDescent="0.4">
      <c r="A983" s="112"/>
      <c r="B983" s="113"/>
      <c r="C983" s="112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21" customHeight="1" x14ac:dyDescent="0.4">
      <c r="A984" s="112"/>
      <c r="B984" s="113"/>
      <c r="C984" s="112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21" customHeight="1" x14ac:dyDescent="0.4">
      <c r="A985" s="112"/>
      <c r="B985" s="113"/>
      <c r="C985" s="112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21" customHeight="1" x14ac:dyDescent="0.4">
      <c r="A986" s="112"/>
      <c r="B986" s="113"/>
      <c r="C986" s="112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21" customHeight="1" x14ac:dyDescent="0.4">
      <c r="A987" s="112"/>
      <c r="B987" s="113"/>
      <c r="C987" s="112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21" customHeight="1" x14ac:dyDescent="0.4">
      <c r="A988" s="112"/>
      <c r="B988" s="113"/>
      <c r="C988" s="112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21" customHeight="1" x14ac:dyDescent="0.4">
      <c r="A989" s="112"/>
      <c r="B989" s="113"/>
      <c r="C989" s="112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21" customHeight="1" x14ac:dyDescent="0.4">
      <c r="A990" s="112"/>
      <c r="B990" s="113"/>
      <c r="C990" s="112"/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21" customHeight="1" x14ac:dyDescent="0.4">
      <c r="A991" s="112"/>
      <c r="B991" s="113"/>
      <c r="C991" s="112"/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21" customHeight="1" x14ac:dyDescent="0.4">
      <c r="A992" s="112"/>
      <c r="B992" s="113"/>
      <c r="C992" s="112"/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21" customHeight="1" x14ac:dyDescent="0.4">
      <c r="A993" s="112"/>
      <c r="B993" s="113"/>
      <c r="C993" s="112"/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21" customHeight="1" x14ac:dyDescent="0.4">
      <c r="A994" s="112"/>
      <c r="B994" s="113"/>
      <c r="C994" s="112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21" customHeight="1" x14ac:dyDescent="0.4">
      <c r="A995" s="112"/>
      <c r="B995" s="113"/>
      <c r="C995" s="112"/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21" customHeight="1" x14ac:dyDescent="0.4">
      <c r="A996" s="112"/>
      <c r="B996" s="113"/>
      <c r="C996" s="112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21" customHeight="1" x14ac:dyDescent="0.4">
      <c r="A997" s="112"/>
      <c r="B997" s="113"/>
      <c r="C997" s="112"/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21" customHeight="1" x14ac:dyDescent="0.4">
      <c r="A998" s="112"/>
      <c r="B998" s="113"/>
      <c r="C998" s="112"/>
      <c r="D998" s="6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21" customHeight="1" x14ac:dyDescent="0.4">
      <c r="A999" s="112"/>
      <c r="B999" s="113"/>
      <c r="C999" s="112"/>
      <c r="D999" s="6"/>
      <c r="E999" s="6"/>
      <c r="F999" s="6"/>
      <c r="G999" s="6"/>
      <c r="H999" s="6"/>
      <c r="I999" s="6"/>
      <c r="J999" s="6"/>
      <c r="K999" s="6"/>
      <c r="L999" s="6"/>
      <c r="M999" s="6"/>
    </row>
    <row r="1000" spans="1:13" ht="21" customHeight="1" x14ac:dyDescent="0.4">
      <c r="A1000" s="112"/>
      <c r="B1000" s="113"/>
      <c r="C1000" s="112"/>
      <c r="D1000" s="6"/>
      <c r="E1000" s="6"/>
      <c r="F1000" s="6"/>
      <c r="G1000" s="6"/>
      <c r="H1000" s="6"/>
      <c r="I1000" s="6"/>
      <c r="J1000" s="6"/>
      <c r="K1000" s="6"/>
      <c r="L1000" s="6"/>
      <c r="M1000" s="6"/>
    </row>
    <row r="1001" spans="1:13" ht="21" customHeight="1" x14ac:dyDescent="0.4">
      <c r="A1001" s="112"/>
      <c r="B1001" s="113"/>
      <c r="C1001" s="112"/>
      <c r="D1001" s="6"/>
      <c r="E1001" s="6"/>
      <c r="F1001" s="6"/>
      <c r="G1001" s="6"/>
      <c r="H1001" s="6"/>
      <c r="I1001" s="6"/>
      <c r="J1001" s="6"/>
      <c r="K1001" s="6"/>
      <c r="L1001" s="6"/>
      <c r="M1001" s="6"/>
    </row>
    <row r="1002" spans="1:13" ht="21" customHeight="1" x14ac:dyDescent="0.4">
      <c r="A1002" s="112"/>
      <c r="B1002" s="113"/>
      <c r="C1002" s="112"/>
      <c r="D1002" s="6"/>
      <c r="E1002" s="6"/>
      <c r="F1002" s="6"/>
      <c r="G1002" s="6"/>
      <c r="H1002" s="6"/>
      <c r="I1002" s="6"/>
      <c r="J1002" s="6"/>
      <c r="K1002" s="6"/>
      <c r="L1002" s="6"/>
      <c r="M1002" s="6"/>
    </row>
    <row r="1003" spans="1:13" ht="21" customHeight="1" x14ac:dyDescent="0.4">
      <c r="A1003" s="112"/>
      <c r="B1003" s="113"/>
      <c r="C1003" s="112"/>
      <c r="D1003" s="6"/>
      <c r="E1003" s="6"/>
      <c r="F1003" s="6"/>
      <c r="G1003" s="6"/>
      <c r="H1003" s="6"/>
      <c r="I1003" s="6"/>
      <c r="J1003" s="6"/>
      <c r="K1003" s="6"/>
      <c r="L1003" s="6"/>
      <c r="M1003" s="6"/>
    </row>
    <row r="1004" spans="1:13" ht="21" customHeight="1" x14ac:dyDescent="0.4">
      <c r="A1004" s="112"/>
      <c r="B1004" s="113"/>
      <c r="C1004" s="112"/>
      <c r="D1004" s="6"/>
      <c r="E1004" s="6"/>
      <c r="F1004" s="6"/>
      <c r="G1004" s="6"/>
      <c r="H1004" s="6"/>
      <c r="I1004" s="6"/>
      <c r="J1004" s="6"/>
      <c r="K1004" s="6"/>
      <c r="L1004" s="6"/>
      <c r="M1004" s="6"/>
    </row>
    <row r="1005" spans="1:13" ht="21" customHeight="1" x14ac:dyDescent="0.4">
      <c r="A1005" s="112"/>
      <c r="B1005" s="113"/>
      <c r="C1005" s="112"/>
      <c r="D1005" s="6"/>
      <c r="E1005" s="6"/>
      <c r="F1005" s="6"/>
      <c r="G1005" s="6"/>
      <c r="H1005" s="6"/>
      <c r="I1005" s="6"/>
      <c r="J1005" s="6"/>
      <c r="K1005" s="6"/>
      <c r="L1005" s="6"/>
      <c r="M1005" s="6"/>
    </row>
    <row r="1006" spans="1:13" ht="21" customHeight="1" x14ac:dyDescent="0.4">
      <c r="A1006" s="112"/>
      <c r="B1006" s="113"/>
      <c r="C1006" s="112"/>
      <c r="D1006" s="6"/>
      <c r="E1006" s="6"/>
      <c r="F1006" s="6"/>
      <c r="G1006" s="6"/>
      <c r="H1006" s="6"/>
      <c r="I1006" s="6"/>
      <c r="J1006" s="6"/>
      <c r="K1006" s="6"/>
      <c r="L1006" s="6"/>
      <c r="M1006" s="6"/>
    </row>
    <row r="1007" spans="1:13" ht="21" customHeight="1" x14ac:dyDescent="0.4">
      <c r="A1007" s="112"/>
      <c r="B1007" s="113"/>
      <c r="C1007" s="112"/>
      <c r="D1007" s="6"/>
      <c r="E1007" s="6"/>
      <c r="F1007" s="6"/>
      <c r="G1007" s="6"/>
      <c r="H1007" s="6"/>
      <c r="I1007" s="6"/>
      <c r="J1007" s="6"/>
      <c r="K1007" s="6"/>
      <c r="L1007" s="6"/>
      <c r="M1007" s="6"/>
    </row>
    <row r="1008" spans="1:13" ht="21" customHeight="1" x14ac:dyDescent="0.4">
      <c r="A1008" s="112"/>
      <c r="B1008" s="113"/>
      <c r="C1008" s="112"/>
      <c r="D1008" s="6"/>
      <c r="E1008" s="6"/>
      <c r="F1008" s="6"/>
      <c r="G1008" s="6"/>
      <c r="H1008" s="6"/>
      <c r="I1008" s="6"/>
      <c r="J1008" s="6"/>
      <c r="K1008" s="6"/>
      <c r="L1008" s="6"/>
      <c r="M1008" s="6"/>
    </row>
    <row r="1009" spans="1:13" ht="21" customHeight="1" x14ac:dyDescent="0.4">
      <c r="A1009" s="112"/>
      <c r="B1009" s="113"/>
      <c r="C1009" s="112"/>
      <c r="D1009" s="6"/>
      <c r="E1009" s="6"/>
      <c r="F1009" s="6"/>
      <c r="G1009" s="6"/>
      <c r="H1009" s="6"/>
      <c r="I1009" s="6"/>
      <c r="J1009" s="6"/>
      <c r="K1009" s="6"/>
      <c r="L1009" s="6"/>
      <c r="M1009" s="6"/>
    </row>
    <row r="1010" spans="1:13" ht="21" customHeight="1" x14ac:dyDescent="0.4">
      <c r="A1010" s="112"/>
      <c r="B1010" s="113"/>
      <c r="C1010" s="112"/>
      <c r="D1010" s="6"/>
      <c r="E1010" s="6"/>
      <c r="F1010" s="6"/>
      <c r="G1010" s="6"/>
      <c r="H1010" s="6"/>
      <c r="I1010" s="6"/>
      <c r="J1010" s="6"/>
      <c r="K1010" s="6"/>
      <c r="L1010" s="6"/>
      <c r="M1010" s="6"/>
    </row>
    <row r="1011" spans="1:13" ht="21" customHeight="1" x14ac:dyDescent="0.4">
      <c r="A1011" s="112"/>
      <c r="B1011" s="113"/>
      <c r="C1011" s="112"/>
      <c r="D1011" s="6"/>
      <c r="E1011" s="6"/>
      <c r="F1011" s="6"/>
      <c r="G1011" s="6"/>
      <c r="H1011" s="6"/>
      <c r="I1011" s="6"/>
      <c r="J1011" s="6"/>
      <c r="K1011" s="6"/>
      <c r="L1011" s="6"/>
      <c r="M1011" s="6"/>
    </row>
    <row r="1012" spans="1:13" ht="21" customHeight="1" x14ac:dyDescent="0.4">
      <c r="A1012" s="112"/>
      <c r="B1012" s="113"/>
      <c r="C1012" s="112"/>
      <c r="D1012" s="6"/>
      <c r="E1012" s="6"/>
      <c r="F1012" s="6"/>
      <c r="G1012" s="6"/>
      <c r="H1012" s="6"/>
      <c r="I1012" s="6"/>
      <c r="J1012" s="6"/>
      <c r="K1012" s="6"/>
      <c r="L1012" s="6"/>
      <c r="M1012" s="6"/>
    </row>
    <row r="1013" spans="1:13" ht="21" customHeight="1" x14ac:dyDescent="0.4">
      <c r="A1013" s="112"/>
      <c r="B1013" s="113"/>
      <c r="C1013" s="112"/>
      <c r="D1013" s="6"/>
      <c r="E1013" s="6"/>
      <c r="F1013" s="6"/>
      <c r="G1013" s="6"/>
      <c r="H1013" s="6"/>
      <c r="I1013" s="6"/>
      <c r="J1013" s="6"/>
      <c r="K1013" s="6"/>
      <c r="L1013" s="6"/>
      <c r="M1013" s="6"/>
    </row>
    <row r="1014" spans="1:13" ht="21" customHeight="1" x14ac:dyDescent="0.4">
      <c r="A1014" s="112"/>
      <c r="B1014" s="113"/>
      <c r="C1014" s="112"/>
      <c r="D1014" s="6"/>
      <c r="E1014" s="6"/>
      <c r="F1014" s="6"/>
      <c r="G1014" s="6"/>
      <c r="H1014" s="6"/>
      <c r="I1014" s="6"/>
      <c r="J1014" s="6"/>
      <c r="K1014" s="6"/>
      <c r="L1014" s="6"/>
      <c r="M1014" s="6"/>
    </row>
    <row r="1015" spans="1:13" ht="21" customHeight="1" x14ac:dyDescent="0.4">
      <c r="A1015" s="112"/>
      <c r="B1015" s="113"/>
      <c r="C1015" s="112"/>
      <c r="D1015" s="6"/>
      <c r="E1015" s="6"/>
      <c r="F1015" s="6"/>
      <c r="G1015" s="6"/>
      <c r="H1015" s="6"/>
      <c r="I1015" s="6"/>
      <c r="J1015" s="6"/>
      <c r="K1015" s="6"/>
      <c r="L1015" s="6"/>
      <c r="M1015" s="6"/>
    </row>
    <row r="1016" spans="1:13" ht="21" customHeight="1" x14ac:dyDescent="0.4">
      <c r="A1016" s="112"/>
      <c r="B1016" s="113"/>
      <c r="C1016" s="112"/>
      <c r="D1016" s="6"/>
      <c r="E1016" s="6"/>
      <c r="F1016" s="6"/>
      <c r="G1016" s="6"/>
      <c r="H1016" s="6"/>
      <c r="I1016" s="6"/>
      <c r="J1016" s="6"/>
      <c r="K1016" s="6"/>
      <c r="L1016" s="6"/>
      <c r="M1016" s="6"/>
    </row>
    <row r="1017" spans="1:13" ht="21" customHeight="1" x14ac:dyDescent="0.4">
      <c r="A1017" s="112"/>
      <c r="B1017" s="113"/>
      <c r="C1017" s="112"/>
      <c r="D1017" s="6"/>
      <c r="E1017" s="6"/>
      <c r="F1017" s="6"/>
      <c r="G1017" s="6"/>
      <c r="H1017" s="6"/>
      <c r="I1017" s="6"/>
      <c r="J1017" s="6"/>
      <c r="K1017" s="6"/>
      <c r="L1017" s="6"/>
      <c r="M1017" s="6"/>
    </row>
    <row r="1018" spans="1:13" ht="21" customHeight="1" x14ac:dyDescent="0.4">
      <c r="A1018" s="112"/>
      <c r="B1018" s="113"/>
      <c r="C1018" s="112"/>
      <c r="D1018" s="6"/>
      <c r="E1018" s="6"/>
      <c r="F1018" s="6"/>
      <c r="G1018" s="6"/>
      <c r="H1018" s="6"/>
      <c r="I1018" s="6"/>
      <c r="J1018" s="6"/>
      <c r="K1018" s="6"/>
      <c r="L1018" s="6"/>
      <c r="M1018" s="6"/>
    </row>
    <row r="1019" spans="1:13" ht="21" customHeight="1" x14ac:dyDescent="0.4">
      <c r="A1019" s="112"/>
      <c r="B1019" s="113"/>
      <c r="C1019" s="112"/>
      <c r="D1019" s="6"/>
      <c r="E1019" s="6"/>
      <c r="F1019" s="6"/>
      <c r="G1019" s="6"/>
      <c r="H1019" s="6"/>
      <c r="I1019" s="6"/>
      <c r="J1019" s="6"/>
      <c r="K1019" s="6"/>
      <c r="L1019" s="6"/>
      <c r="M1019" s="6"/>
    </row>
    <row r="1020" spans="1:13" ht="21" customHeight="1" x14ac:dyDescent="0.4">
      <c r="A1020" s="112"/>
      <c r="B1020" s="113"/>
      <c r="C1020" s="112"/>
      <c r="D1020" s="6"/>
      <c r="E1020" s="6"/>
      <c r="F1020" s="6"/>
      <c r="G1020" s="6"/>
      <c r="H1020" s="6"/>
      <c r="I1020" s="6"/>
      <c r="J1020" s="6"/>
      <c r="K1020" s="6"/>
      <c r="L1020" s="6"/>
      <c r="M1020" s="6"/>
    </row>
    <row r="1021" spans="1:13" ht="21" customHeight="1" x14ac:dyDescent="0.4">
      <c r="A1021" s="112"/>
      <c r="B1021" s="113"/>
      <c r="C1021" s="112"/>
      <c r="D1021" s="6"/>
      <c r="E1021" s="6"/>
      <c r="F1021" s="6"/>
      <c r="G1021" s="6"/>
      <c r="H1021" s="6"/>
      <c r="I1021" s="6"/>
      <c r="J1021" s="6"/>
      <c r="K1021" s="6"/>
      <c r="L1021" s="6"/>
      <c r="M1021" s="6"/>
    </row>
    <row r="1022" spans="1:13" ht="21" customHeight="1" x14ac:dyDescent="0.4">
      <c r="A1022" s="112"/>
      <c r="B1022" s="113"/>
      <c r="C1022" s="112"/>
      <c r="D1022" s="6"/>
      <c r="E1022" s="6"/>
      <c r="F1022" s="6"/>
      <c r="G1022" s="6"/>
      <c r="H1022" s="6"/>
      <c r="I1022" s="6"/>
      <c r="J1022" s="6"/>
      <c r="K1022" s="6"/>
      <c r="L1022" s="6"/>
      <c r="M1022" s="6"/>
    </row>
    <row r="1023" spans="1:13" ht="21" customHeight="1" x14ac:dyDescent="0.4">
      <c r="A1023" s="112"/>
      <c r="B1023" s="113"/>
      <c r="C1023" s="112"/>
      <c r="D1023" s="6"/>
      <c r="E1023" s="6"/>
      <c r="F1023" s="6"/>
      <c r="G1023" s="6"/>
      <c r="H1023" s="6"/>
      <c r="I1023" s="6"/>
      <c r="J1023" s="6"/>
      <c r="K1023" s="6"/>
      <c r="L1023" s="6"/>
      <c r="M1023" s="6"/>
    </row>
    <row r="1024" spans="1:13" ht="15" customHeight="1" x14ac:dyDescent="0.3">
      <c r="A1024" s="112"/>
      <c r="B1024" s="113"/>
      <c r="C1024" s="112"/>
    </row>
  </sheetData>
  <autoFilter ref="A1:G747" xr:uid="{00000000-0001-0000-0100-000000000000}"/>
  <pageMargins left="0.511811023622047" right="0.511811023622047" top="0" bottom="0" header="0" footer="0"/>
  <pageSetup orientation="portrait" r:id="rId1"/>
  <colBreaks count="1" manualBreakCount="1">
    <brk id="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showGridLines="0" topLeftCell="K1" zoomScale="85" zoomScaleNormal="85" workbookViewId="0">
      <pane ySplit="2" topLeftCell="A3" activePane="bottomLeft" state="frozen"/>
      <selection pane="bottomLeft" activeCell="Q3" sqref="Q3"/>
    </sheetView>
  </sheetViews>
  <sheetFormatPr defaultColWidth="14.44140625" defaultRowHeight="15" customHeight="1" x14ac:dyDescent="0.3"/>
  <cols>
    <col min="1" max="1" width="11" customWidth="1"/>
    <col min="2" max="4" width="13" customWidth="1"/>
    <col min="5" max="5" width="18.44140625" customWidth="1"/>
    <col min="6" max="6" width="18.88671875" customWidth="1"/>
    <col min="7" max="7" width="17.5546875" customWidth="1"/>
    <col min="8" max="8" width="19.109375" customWidth="1"/>
    <col min="9" max="9" width="22.33203125" customWidth="1"/>
    <col min="10" max="10" width="20.33203125" bestFit="1" customWidth="1"/>
    <col min="11" max="11" width="10.88671875" customWidth="1"/>
    <col min="12" max="12" width="22.109375" customWidth="1"/>
    <col min="13" max="13" width="24.5546875" customWidth="1"/>
    <col min="14" max="14" width="21.33203125" customWidth="1"/>
    <col min="15" max="15" width="16.5546875" customWidth="1"/>
    <col min="16" max="16" width="21" customWidth="1"/>
    <col min="17" max="17" width="18.44140625" customWidth="1"/>
    <col min="18" max="18" width="22.6640625" customWidth="1"/>
    <col min="19" max="19" width="26.109375" customWidth="1"/>
    <col min="20" max="20" width="9" customWidth="1"/>
  </cols>
  <sheetData>
    <row r="1" spans="1:20" ht="48.9" customHeight="1" x14ac:dyDescent="0.3">
      <c r="A1" s="147" t="s">
        <v>635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0">
        <f>SUM(N3:N4)</f>
        <v>0</v>
      </c>
      <c r="O1" s="11">
        <f>SUM(O3:O4)</f>
        <v>0</v>
      </c>
      <c r="P1" s="12">
        <f>SUM(P3:P4)</f>
        <v>0</v>
      </c>
      <c r="Q1" s="13"/>
      <c r="R1" s="14"/>
      <c r="S1" s="14"/>
      <c r="T1" s="15"/>
    </row>
    <row r="2" spans="1:20" ht="41.4" x14ac:dyDescent="0.3">
      <c r="A2" s="16" t="s">
        <v>636</v>
      </c>
      <c r="B2" s="17" t="s">
        <v>637</v>
      </c>
      <c r="C2" s="16" t="s">
        <v>638</v>
      </c>
      <c r="D2" s="17" t="s">
        <v>639</v>
      </c>
      <c r="E2" s="18" t="s">
        <v>0</v>
      </c>
      <c r="F2" s="16" t="s">
        <v>640</v>
      </c>
      <c r="G2" s="16" t="s">
        <v>641</v>
      </c>
      <c r="H2" s="16" t="s">
        <v>642</v>
      </c>
      <c r="I2" s="16" t="s">
        <v>643</v>
      </c>
      <c r="J2" s="16" t="s">
        <v>704</v>
      </c>
      <c r="K2" s="16" t="s">
        <v>644</v>
      </c>
      <c r="L2" s="16" t="s">
        <v>705</v>
      </c>
      <c r="M2" s="16" t="s">
        <v>645</v>
      </c>
      <c r="N2" s="16" t="s">
        <v>646</v>
      </c>
      <c r="O2" s="19" t="s">
        <v>647</v>
      </c>
      <c r="P2" s="20" t="s">
        <v>648</v>
      </c>
      <c r="Q2" s="21" t="s">
        <v>649</v>
      </c>
      <c r="R2" s="22" t="s">
        <v>650</v>
      </c>
      <c r="S2" s="16" t="s">
        <v>651</v>
      </c>
      <c r="T2" s="14"/>
    </row>
    <row r="3" spans="1:20" ht="15.6" x14ac:dyDescent="0.3">
      <c r="A3" s="85">
        <v>44707</v>
      </c>
      <c r="B3" s="24">
        <v>44707</v>
      </c>
      <c r="C3" s="23">
        <v>2022000901</v>
      </c>
      <c r="D3" s="24">
        <v>44698</v>
      </c>
      <c r="E3" s="23" t="s">
        <v>712</v>
      </c>
      <c r="F3" s="25" t="s">
        <v>652</v>
      </c>
      <c r="G3" s="83" t="s">
        <v>706</v>
      </c>
      <c r="H3" s="83" t="s">
        <v>707</v>
      </c>
      <c r="I3" s="84"/>
      <c r="J3" s="86" t="s">
        <v>710</v>
      </c>
      <c r="K3" s="26"/>
      <c r="L3" s="83" t="s">
        <v>711</v>
      </c>
      <c r="M3" s="84" t="s">
        <v>709</v>
      </c>
      <c r="N3" s="27">
        <f>'ENG LVCBO1'!AK37</f>
        <v>0</v>
      </c>
      <c r="O3" s="27"/>
      <c r="P3" s="27">
        <f>O3-N3</f>
        <v>0</v>
      </c>
      <c r="Q3" s="28"/>
      <c r="R3" s="29"/>
      <c r="S3" s="30"/>
      <c r="T3" s="14"/>
    </row>
    <row r="4" spans="1:20" ht="15.6" x14ac:dyDescent="0.3">
      <c r="A4" s="23"/>
      <c r="B4" s="24"/>
      <c r="C4" s="23"/>
      <c r="D4" s="31"/>
      <c r="E4" s="23"/>
      <c r="F4" s="32"/>
      <c r="G4" s="25"/>
      <c r="H4" s="25"/>
      <c r="I4" s="26"/>
      <c r="J4" s="25"/>
      <c r="K4" s="26"/>
      <c r="L4" s="25"/>
      <c r="M4" s="25"/>
      <c r="N4" s="33"/>
      <c r="O4" s="34"/>
      <c r="P4" s="27">
        <f>O4-N4</f>
        <v>0</v>
      </c>
      <c r="Q4" s="28"/>
      <c r="R4" s="29"/>
      <c r="S4" s="35"/>
      <c r="T4" s="14"/>
    </row>
  </sheetData>
  <mergeCells count="1">
    <mergeCell ref="A1:M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  <pageSetUpPr fitToPage="1"/>
  </sheetPr>
  <dimension ref="A1:G582"/>
  <sheetViews>
    <sheetView workbookViewId="0">
      <selection activeCell="E2" sqref="E2"/>
    </sheetView>
  </sheetViews>
  <sheetFormatPr defaultColWidth="14.44140625" defaultRowHeight="15" customHeight="1" x14ac:dyDescent="0.3"/>
  <cols>
    <col min="1" max="2" width="15" customWidth="1"/>
    <col min="3" max="3" width="43.109375" customWidth="1"/>
    <col min="4" max="4" width="9.109375" customWidth="1"/>
    <col min="5" max="5" width="4.6640625" customWidth="1"/>
    <col min="6" max="6" width="16.5546875" bestFit="1" customWidth="1"/>
    <col min="7" max="7" width="4.6640625" customWidth="1"/>
  </cols>
  <sheetData>
    <row r="1" spans="1:7" ht="14.4" x14ac:dyDescent="0.3">
      <c r="A1" s="89" t="s">
        <v>450</v>
      </c>
      <c r="B1" s="93"/>
      <c r="C1" s="92"/>
      <c r="D1" s="92"/>
      <c r="E1" s="92"/>
      <c r="F1" s="94">
        <v>295.917647058824</v>
      </c>
      <c r="G1" s="90"/>
    </row>
    <row r="2" spans="1:7" s="139" customFormat="1" ht="33.75" customHeight="1" x14ac:dyDescent="0.3">
      <c r="A2" s="136" t="s">
        <v>451</v>
      </c>
      <c r="B2" s="137" t="s">
        <v>452</v>
      </c>
      <c r="C2" s="138" t="s">
        <v>453</v>
      </c>
      <c r="D2" s="138" t="s">
        <v>454</v>
      </c>
      <c r="E2" s="138" t="s">
        <v>455</v>
      </c>
      <c r="F2" s="138" t="s">
        <v>456</v>
      </c>
    </row>
    <row r="3" spans="1:7" ht="14.4" x14ac:dyDescent="0.3">
      <c r="A3" s="144">
        <v>92525</v>
      </c>
      <c r="B3" s="91" t="s">
        <v>457</v>
      </c>
      <c r="C3" s="144" t="s">
        <v>998</v>
      </c>
      <c r="D3" s="139"/>
      <c r="E3" s="91">
        <v>0.02</v>
      </c>
      <c r="F3" s="145">
        <v>1</v>
      </c>
    </row>
    <row r="4" spans="1:7" ht="14.4" x14ac:dyDescent="0.3">
      <c r="A4" s="144">
        <v>6046</v>
      </c>
      <c r="B4" s="91"/>
      <c r="C4" s="144" t="s">
        <v>789</v>
      </c>
      <c r="E4" s="91">
        <v>6</v>
      </c>
      <c r="F4" s="145">
        <v>38.28</v>
      </c>
    </row>
    <row r="5" spans="1:7" ht="14.4" x14ac:dyDescent="0.3">
      <c r="A5" s="144">
        <v>6071</v>
      </c>
      <c r="B5" s="91"/>
      <c r="C5" s="144" t="s">
        <v>686</v>
      </c>
      <c r="E5" s="91">
        <v>0.06</v>
      </c>
      <c r="F5" s="145">
        <v>95.72</v>
      </c>
    </row>
    <row r="6" spans="1:7" ht="14.4" x14ac:dyDescent="0.3">
      <c r="A6" s="144">
        <v>6073</v>
      </c>
      <c r="B6" s="91"/>
      <c r="C6" s="144" t="s">
        <v>509</v>
      </c>
      <c r="E6" s="91">
        <v>0.01</v>
      </c>
      <c r="F6" s="145">
        <v>124.44</v>
      </c>
    </row>
    <row r="7" spans="1:7" ht="14.4" x14ac:dyDescent="0.3">
      <c r="A7" s="144">
        <v>6074</v>
      </c>
      <c r="B7" s="91"/>
      <c r="C7" s="144" t="s">
        <v>510</v>
      </c>
      <c r="E7" s="91">
        <v>0.02</v>
      </c>
      <c r="F7" s="145">
        <v>124.44</v>
      </c>
    </row>
    <row r="8" spans="1:7" ht="14.4" x14ac:dyDescent="0.3">
      <c r="A8" s="144">
        <v>6083</v>
      </c>
      <c r="B8" s="91"/>
      <c r="C8" s="144" t="s">
        <v>968</v>
      </c>
      <c r="E8" s="91">
        <v>0.01</v>
      </c>
      <c r="F8" s="145">
        <v>95.72</v>
      </c>
    </row>
    <row r="9" spans="1:7" ht="14.4" x14ac:dyDescent="0.3">
      <c r="A9" s="144">
        <v>6137</v>
      </c>
      <c r="B9" s="91"/>
      <c r="C9" s="144" t="s">
        <v>804</v>
      </c>
      <c r="E9" s="91">
        <v>0.37</v>
      </c>
      <c r="F9" s="145">
        <v>2758.72</v>
      </c>
    </row>
    <row r="10" spans="1:7" ht="14.4" x14ac:dyDescent="0.3">
      <c r="A10" s="144">
        <v>6220</v>
      </c>
      <c r="B10" s="91"/>
      <c r="C10" s="144" t="s">
        <v>743</v>
      </c>
      <c r="E10" s="91">
        <v>0.42</v>
      </c>
      <c r="F10" s="145">
        <v>143.58000000000001</v>
      </c>
    </row>
    <row r="11" spans="1:7" ht="14.4" x14ac:dyDescent="0.3">
      <c r="A11" s="144">
        <v>6227</v>
      </c>
      <c r="B11" s="91"/>
      <c r="C11" s="144" t="s">
        <v>875</v>
      </c>
      <c r="E11" s="91">
        <v>0.42</v>
      </c>
      <c r="F11" s="145">
        <v>191.44</v>
      </c>
    </row>
    <row r="12" spans="1:7" ht="14.4" x14ac:dyDescent="0.3">
      <c r="A12" s="144">
        <v>6235</v>
      </c>
      <c r="B12" s="91"/>
      <c r="C12" s="144" t="s">
        <v>841</v>
      </c>
      <c r="E12" s="91">
        <v>1.19</v>
      </c>
      <c r="F12" s="145">
        <v>9.58</v>
      </c>
    </row>
    <row r="13" spans="1:7" ht="14.4" x14ac:dyDescent="0.3">
      <c r="A13" s="144">
        <v>6252</v>
      </c>
      <c r="B13" s="91"/>
      <c r="C13" s="144" t="s">
        <v>721</v>
      </c>
      <c r="E13" s="91">
        <v>0.36</v>
      </c>
      <c r="F13" s="145">
        <v>17.23</v>
      </c>
    </row>
    <row r="14" spans="1:7" ht="14.4" x14ac:dyDescent="0.3">
      <c r="A14" s="144">
        <v>6281</v>
      </c>
      <c r="B14" s="91"/>
      <c r="C14" s="144" t="s">
        <v>1075</v>
      </c>
      <c r="E14" s="91">
        <v>0.43</v>
      </c>
      <c r="F14" s="145">
        <v>95.72</v>
      </c>
    </row>
    <row r="15" spans="1:7" ht="14.4" x14ac:dyDescent="0.3">
      <c r="A15" s="144">
        <v>6298</v>
      </c>
      <c r="B15" s="91"/>
      <c r="C15" s="144" t="s">
        <v>1051</v>
      </c>
      <c r="E15" s="91">
        <v>1</v>
      </c>
      <c r="F15" s="145">
        <v>19.14</v>
      </c>
    </row>
    <row r="16" spans="1:7" ht="14.4" x14ac:dyDescent="0.3">
      <c r="A16" s="144">
        <v>6317</v>
      </c>
      <c r="B16" s="91"/>
      <c r="C16" s="144" t="s">
        <v>1029</v>
      </c>
      <c r="E16" s="91">
        <v>0.35</v>
      </c>
      <c r="F16" s="145">
        <v>287.17</v>
      </c>
    </row>
    <row r="17" spans="1:6" ht="14.4" x14ac:dyDescent="0.3">
      <c r="A17" s="144">
        <v>6325</v>
      </c>
      <c r="B17" s="91"/>
      <c r="C17" s="144" t="s">
        <v>781</v>
      </c>
      <c r="E17" s="91">
        <v>0.06</v>
      </c>
      <c r="F17" s="145">
        <v>478.61</v>
      </c>
    </row>
    <row r="18" spans="1:6" ht="14.4" x14ac:dyDescent="0.3">
      <c r="A18" s="144">
        <v>6332</v>
      </c>
      <c r="B18" s="91"/>
      <c r="C18" s="144" t="s">
        <v>969</v>
      </c>
      <c r="E18" s="91">
        <v>0.5</v>
      </c>
      <c r="F18" s="145">
        <v>1435.83</v>
      </c>
    </row>
    <row r="19" spans="1:6" ht="14.4" x14ac:dyDescent="0.3">
      <c r="A19" s="144">
        <v>6344</v>
      </c>
      <c r="B19" s="91"/>
      <c r="C19" s="144" t="s">
        <v>908</v>
      </c>
      <c r="E19" s="91">
        <v>0.5</v>
      </c>
      <c r="F19" s="145">
        <v>1359.25</v>
      </c>
    </row>
    <row r="20" spans="1:6" ht="14.4" x14ac:dyDescent="0.3">
      <c r="A20" s="144">
        <v>6346</v>
      </c>
      <c r="B20" s="91"/>
      <c r="C20" s="144" t="s">
        <v>924</v>
      </c>
      <c r="E20" s="91">
        <v>2</v>
      </c>
      <c r="F20" s="145">
        <v>191.44</v>
      </c>
    </row>
    <row r="21" spans="1:6" ht="14.4" x14ac:dyDescent="0.3">
      <c r="A21" s="144">
        <v>6352</v>
      </c>
      <c r="B21" s="91"/>
      <c r="C21" s="144" t="s">
        <v>912</v>
      </c>
      <c r="E21" s="91">
        <v>0.79</v>
      </c>
      <c r="F21" s="145">
        <v>9.58</v>
      </c>
    </row>
    <row r="22" spans="1:6" ht="14.4" x14ac:dyDescent="0.3">
      <c r="A22" s="144">
        <v>6355</v>
      </c>
      <c r="B22" s="91"/>
      <c r="C22" s="144" t="s">
        <v>793</v>
      </c>
      <c r="E22" s="91">
        <v>1.04</v>
      </c>
      <c r="F22" s="145">
        <v>14.36</v>
      </c>
    </row>
    <row r="23" spans="1:6" ht="14.4" x14ac:dyDescent="0.3">
      <c r="A23" s="144">
        <v>6367</v>
      </c>
      <c r="B23" s="91"/>
      <c r="C23" s="144" t="s">
        <v>814</v>
      </c>
      <c r="E23" s="91">
        <v>0.93</v>
      </c>
      <c r="F23" s="145">
        <v>95.72</v>
      </c>
    </row>
    <row r="24" spans="1:6" ht="14.4" x14ac:dyDescent="0.3">
      <c r="A24" s="144">
        <v>6373</v>
      </c>
      <c r="B24" s="91"/>
      <c r="C24" s="144" t="s">
        <v>1077</v>
      </c>
      <c r="E24" s="91">
        <v>1.04</v>
      </c>
      <c r="F24" s="145">
        <v>574.33000000000004</v>
      </c>
    </row>
    <row r="25" spans="1:6" ht="14.4" x14ac:dyDescent="0.3">
      <c r="A25" s="144">
        <v>6377</v>
      </c>
      <c r="B25" s="91"/>
      <c r="C25" s="144" t="s">
        <v>786</v>
      </c>
      <c r="E25" s="91">
        <v>0.5</v>
      </c>
      <c r="F25" s="145">
        <v>215.38</v>
      </c>
    </row>
    <row r="26" spans="1:6" ht="14.4" x14ac:dyDescent="0.3">
      <c r="A26" s="144">
        <v>6381</v>
      </c>
      <c r="B26" s="91"/>
      <c r="C26" s="144" t="s">
        <v>1031</v>
      </c>
      <c r="E26" s="91">
        <v>2</v>
      </c>
      <c r="F26" s="145">
        <v>95.72</v>
      </c>
    </row>
    <row r="27" spans="1:6" ht="14.4" x14ac:dyDescent="0.3">
      <c r="A27" s="144">
        <v>6389</v>
      </c>
      <c r="B27" s="91"/>
      <c r="C27" s="144" t="s">
        <v>725</v>
      </c>
      <c r="E27" s="91">
        <v>2</v>
      </c>
      <c r="F27" s="145">
        <v>478.61</v>
      </c>
    </row>
    <row r="28" spans="1:6" ht="14.4" x14ac:dyDescent="0.3">
      <c r="A28" s="144">
        <v>6396</v>
      </c>
      <c r="B28" s="91"/>
      <c r="C28" s="144" t="s">
        <v>747</v>
      </c>
      <c r="E28" s="91">
        <v>1.1399999999999999</v>
      </c>
      <c r="F28" s="145">
        <v>1079.75</v>
      </c>
    </row>
    <row r="29" spans="1:6" ht="14.4" x14ac:dyDescent="0.3">
      <c r="A29" s="144">
        <v>6403</v>
      </c>
      <c r="B29" s="91"/>
      <c r="C29" s="144" t="s">
        <v>1010</v>
      </c>
      <c r="E29" s="91">
        <v>1.5</v>
      </c>
      <c r="F29" s="145">
        <v>47.86</v>
      </c>
    </row>
    <row r="30" spans="1:6" ht="14.4" x14ac:dyDescent="0.3">
      <c r="A30" s="144">
        <v>6427</v>
      </c>
      <c r="B30" s="91"/>
      <c r="C30" s="144" t="s">
        <v>1038</v>
      </c>
      <c r="E30" s="91">
        <v>0.53</v>
      </c>
      <c r="F30" s="145">
        <v>95.72</v>
      </c>
    </row>
    <row r="31" spans="1:6" ht="14.4" x14ac:dyDescent="0.3">
      <c r="A31" s="144">
        <v>6432</v>
      </c>
      <c r="B31" s="91"/>
      <c r="C31" s="144" t="s">
        <v>1087</v>
      </c>
      <c r="E31" s="91">
        <v>0.93</v>
      </c>
      <c r="F31" s="145">
        <v>47.86</v>
      </c>
    </row>
    <row r="32" spans="1:6" ht="14.4" x14ac:dyDescent="0.3">
      <c r="A32" s="144">
        <v>6436</v>
      </c>
      <c r="B32" s="91"/>
      <c r="C32" s="144" t="s">
        <v>756</v>
      </c>
      <c r="E32" s="91">
        <v>0.3</v>
      </c>
      <c r="F32" s="145">
        <v>124.44</v>
      </c>
    </row>
    <row r="33" spans="1:6" ht="14.4" x14ac:dyDescent="0.3">
      <c r="A33" s="144">
        <v>6441</v>
      </c>
      <c r="B33" s="91"/>
      <c r="C33" s="144" t="s">
        <v>843</v>
      </c>
      <c r="E33" s="91">
        <v>0.3</v>
      </c>
      <c r="F33" s="145">
        <v>47.86</v>
      </c>
    </row>
    <row r="34" spans="1:6" ht="14.4" x14ac:dyDescent="0.3">
      <c r="A34" s="144">
        <v>6442</v>
      </c>
      <c r="B34" s="91"/>
      <c r="C34" s="144" t="s">
        <v>1094</v>
      </c>
      <c r="E34" s="91">
        <v>1</v>
      </c>
      <c r="F34" s="145">
        <v>47.86</v>
      </c>
    </row>
    <row r="35" spans="1:6" ht="14.4" x14ac:dyDescent="0.3">
      <c r="A35" s="144">
        <v>6455</v>
      </c>
      <c r="B35" s="91"/>
      <c r="C35" s="144" t="s">
        <v>736</v>
      </c>
      <c r="E35" s="91">
        <v>1</v>
      </c>
      <c r="F35" s="145">
        <v>38.28</v>
      </c>
    </row>
    <row r="36" spans="1:6" ht="14.4" x14ac:dyDescent="0.3">
      <c r="A36" s="144">
        <v>6470</v>
      </c>
      <c r="B36" s="91"/>
      <c r="C36" s="144" t="s">
        <v>1027</v>
      </c>
      <c r="E36" s="91">
        <v>0.5</v>
      </c>
      <c r="F36" s="145">
        <v>47.86</v>
      </c>
    </row>
    <row r="37" spans="1:6" ht="14.4" x14ac:dyDescent="0.3">
      <c r="A37" s="144">
        <v>6502</v>
      </c>
      <c r="B37" s="91"/>
      <c r="C37" s="144" t="s">
        <v>1046</v>
      </c>
      <c r="E37" s="91">
        <v>0.28999999999999998</v>
      </c>
      <c r="F37" s="145">
        <v>38.29</v>
      </c>
    </row>
    <row r="38" spans="1:6" ht="14.4" x14ac:dyDescent="0.3">
      <c r="A38" s="144">
        <v>6524</v>
      </c>
      <c r="B38" s="91"/>
      <c r="C38" s="144" t="s">
        <v>893</v>
      </c>
      <c r="E38" s="91">
        <v>0.32</v>
      </c>
      <c r="F38" s="145">
        <v>46.91</v>
      </c>
    </row>
    <row r="39" spans="1:6" ht="14.4" x14ac:dyDescent="0.3">
      <c r="A39" s="144">
        <v>6599</v>
      </c>
      <c r="B39" s="91"/>
      <c r="C39" s="144" t="s">
        <v>758</v>
      </c>
      <c r="E39" s="91">
        <v>0.28999999999999998</v>
      </c>
      <c r="F39" s="145">
        <v>1107.51</v>
      </c>
    </row>
    <row r="40" spans="1:6" ht="14.4" x14ac:dyDescent="0.3">
      <c r="A40" s="144">
        <v>6604</v>
      </c>
      <c r="B40" s="91"/>
      <c r="C40" s="144" t="s">
        <v>825</v>
      </c>
      <c r="E40" s="91">
        <v>0.32</v>
      </c>
      <c r="F40" s="145">
        <v>765.78</v>
      </c>
    </row>
    <row r="41" spans="1:6" ht="14.4" x14ac:dyDescent="0.3">
      <c r="A41" s="144">
        <v>6608</v>
      </c>
      <c r="B41" s="91"/>
      <c r="C41" s="144" t="s">
        <v>1083</v>
      </c>
      <c r="E41" s="91">
        <v>4.5</v>
      </c>
      <c r="F41" s="145">
        <v>430.75</v>
      </c>
    </row>
    <row r="42" spans="1:6" ht="14.4" x14ac:dyDescent="0.3">
      <c r="A42" s="144">
        <v>6610</v>
      </c>
      <c r="B42" s="91"/>
      <c r="C42" s="144" t="s">
        <v>852</v>
      </c>
      <c r="E42" s="91">
        <v>1.7</v>
      </c>
      <c r="F42" s="145">
        <v>1340.11</v>
      </c>
    </row>
    <row r="43" spans="1:6" ht="14.4" x14ac:dyDescent="0.3">
      <c r="A43" s="144">
        <v>6629</v>
      </c>
      <c r="B43" s="91"/>
      <c r="C43" s="144" t="s">
        <v>1026</v>
      </c>
      <c r="E43" s="91">
        <v>1.51</v>
      </c>
      <c r="F43" s="145">
        <v>287.17</v>
      </c>
    </row>
    <row r="44" spans="1:6" ht="14.4" x14ac:dyDescent="0.3">
      <c r="A44" s="144">
        <v>6632</v>
      </c>
      <c r="B44" s="91"/>
      <c r="C44" s="144" t="s">
        <v>932</v>
      </c>
      <c r="E44" s="91">
        <v>1.19</v>
      </c>
      <c r="F44" s="145">
        <v>2680.22</v>
      </c>
    </row>
    <row r="45" spans="1:6" ht="14.4" x14ac:dyDescent="0.3">
      <c r="A45" s="144">
        <v>6645</v>
      </c>
      <c r="B45" s="91"/>
      <c r="C45" s="144" t="s">
        <v>951</v>
      </c>
      <c r="E45" s="91">
        <v>0.11</v>
      </c>
      <c r="F45" s="145">
        <v>217.28</v>
      </c>
    </row>
    <row r="46" spans="1:6" ht="14.4" x14ac:dyDescent="0.3">
      <c r="A46" s="144">
        <v>6676</v>
      </c>
      <c r="B46" s="91"/>
      <c r="C46" s="144" t="s">
        <v>593</v>
      </c>
      <c r="E46" s="91">
        <v>0.35</v>
      </c>
      <c r="F46" s="145">
        <v>313.89999999999998</v>
      </c>
    </row>
    <row r="47" spans="1:6" ht="14.4" x14ac:dyDescent="0.3">
      <c r="A47" s="144">
        <v>6681</v>
      </c>
      <c r="B47" s="91"/>
      <c r="C47" s="144" t="s">
        <v>505</v>
      </c>
      <c r="E47" s="91">
        <v>2</v>
      </c>
      <c r="F47" s="145">
        <v>841.23</v>
      </c>
    </row>
    <row r="48" spans="1:6" ht="14.4" x14ac:dyDescent="0.3">
      <c r="A48" s="144">
        <v>6691</v>
      </c>
      <c r="B48" s="91"/>
      <c r="C48" s="144" t="s">
        <v>511</v>
      </c>
      <c r="E48" s="91">
        <v>1.91</v>
      </c>
      <c r="F48" s="145">
        <v>31.39</v>
      </c>
    </row>
    <row r="49" spans="1:6" ht="14.4" x14ac:dyDescent="0.3">
      <c r="A49" s="144">
        <v>6697</v>
      </c>
      <c r="B49" s="91"/>
      <c r="C49" s="144" t="s">
        <v>519</v>
      </c>
      <c r="E49" s="91">
        <v>3</v>
      </c>
      <c r="F49" s="145">
        <v>354.71</v>
      </c>
    </row>
    <row r="50" spans="1:6" ht="14.4" x14ac:dyDescent="0.3">
      <c r="A50" s="144">
        <v>6710</v>
      </c>
      <c r="B50" s="91"/>
      <c r="C50" s="144" t="s">
        <v>688</v>
      </c>
      <c r="E50" s="91">
        <v>0.79</v>
      </c>
      <c r="F50" s="145">
        <v>458.29</v>
      </c>
    </row>
    <row r="51" spans="1:6" ht="14.4" x14ac:dyDescent="0.3">
      <c r="A51" s="144">
        <v>6714</v>
      </c>
      <c r="B51" s="91"/>
      <c r="C51" s="144" t="s">
        <v>517</v>
      </c>
      <c r="E51" s="91">
        <v>0.2</v>
      </c>
      <c r="F51" s="145">
        <v>178.93</v>
      </c>
    </row>
    <row r="52" spans="1:6" ht="14.4" x14ac:dyDescent="0.3">
      <c r="A52" s="144">
        <v>6721</v>
      </c>
      <c r="B52" s="91"/>
      <c r="C52" s="144" t="s">
        <v>538</v>
      </c>
      <c r="E52" s="91">
        <v>0.02</v>
      </c>
      <c r="F52" s="145">
        <v>87.89</v>
      </c>
    </row>
    <row r="53" spans="1:6" ht="14.4" x14ac:dyDescent="0.3">
      <c r="A53" s="144">
        <v>6724</v>
      </c>
      <c r="B53" s="91"/>
      <c r="C53" s="144" t="s">
        <v>540</v>
      </c>
      <c r="E53" s="91">
        <v>0.03</v>
      </c>
      <c r="F53" s="145">
        <v>1412.53</v>
      </c>
    </row>
    <row r="54" spans="1:6" ht="14.4" x14ac:dyDescent="0.3">
      <c r="A54" s="144">
        <v>6734</v>
      </c>
      <c r="B54" s="91"/>
      <c r="C54" s="144" t="s">
        <v>548</v>
      </c>
      <c r="E54" s="91">
        <v>0.6</v>
      </c>
      <c r="F54" s="145">
        <v>31.39</v>
      </c>
    </row>
    <row r="55" spans="1:6" ht="14.4" x14ac:dyDescent="0.3">
      <c r="A55" s="144">
        <v>6736</v>
      </c>
      <c r="B55" s="91"/>
      <c r="C55" s="144" t="s">
        <v>601</v>
      </c>
      <c r="E55" s="91">
        <v>0.28000000000000003</v>
      </c>
      <c r="F55" s="145">
        <v>141.25</v>
      </c>
    </row>
    <row r="56" spans="1:6" ht="14.4" x14ac:dyDescent="0.3">
      <c r="A56" s="144">
        <v>6740</v>
      </c>
      <c r="B56" s="91"/>
      <c r="C56" s="144" t="s">
        <v>566</v>
      </c>
      <c r="E56" s="91">
        <v>2.68</v>
      </c>
      <c r="F56" s="145">
        <v>502.23</v>
      </c>
    </row>
    <row r="57" spans="1:6" ht="14.4" x14ac:dyDescent="0.3">
      <c r="A57" s="144">
        <v>6769</v>
      </c>
      <c r="B57" s="91"/>
      <c r="C57" s="144" t="s">
        <v>461</v>
      </c>
      <c r="E57" s="91">
        <v>0.48</v>
      </c>
      <c r="F57" s="145">
        <v>3.14</v>
      </c>
    </row>
    <row r="58" spans="1:6" ht="14.4" x14ac:dyDescent="0.3">
      <c r="A58" s="144">
        <v>6782</v>
      </c>
      <c r="B58" s="91"/>
      <c r="C58" s="144" t="s">
        <v>487</v>
      </c>
      <c r="E58" s="91">
        <v>0.48</v>
      </c>
      <c r="F58" s="145">
        <v>313.89999999999998</v>
      </c>
    </row>
    <row r="59" spans="1:6" ht="14.4" x14ac:dyDescent="0.3">
      <c r="A59" s="144">
        <v>6795</v>
      </c>
      <c r="B59" s="91"/>
      <c r="C59" s="144" t="s">
        <v>491</v>
      </c>
      <c r="E59" s="91">
        <v>0.55000000000000004</v>
      </c>
      <c r="F59" s="145">
        <v>91.02</v>
      </c>
    </row>
    <row r="60" spans="1:6" ht="14.4" x14ac:dyDescent="0.3">
      <c r="A60" s="144">
        <v>6800</v>
      </c>
      <c r="B60" s="91"/>
      <c r="C60" s="144" t="s">
        <v>494</v>
      </c>
      <c r="E60" s="91">
        <v>1.3</v>
      </c>
      <c r="F60" s="145">
        <v>533.62</v>
      </c>
    </row>
    <row r="61" spans="1:6" ht="14.4" x14ac:dyDescent="0.3">
      <c r="A61" s="144">
        <v>6805</v>
      </c>
      <c r="B61" s="91"/>
      <c r="C61" s="144" t="s">
        <v>606</v>
      </c>
      <c r="E61" s="91">
        <v>1.3</v>
      </c>
      <c r="F61" s="145">
        <v>188.33</v>
      </c>
    </row>
    <row r="62" spans="1:6" ht="14.4" x14ac:dyDescent="0.3">
      <c r="A62" s="144">
        <v>6807</v>
      </c>
      <c r="B62" s="91"/>
      <c r="C62" s="144" t="s">
        <v>610</v>
      </c>
      <c r="E62" s="91">
        <v>0.1</v>
      </c>
      <c r="F62" s="145">
        <v>533.62</v>
      </c>
    </row>
    <row r="63" spans="1:6" ht="14.4" x14ac:dyDescent="0.3">
      <c r="A63" s="144">
        <v>6815</v>
      </c>
      <c r="B63" s="91"/>
      <c r="C63" s="144" t="s">
        <v>616</v>
      </c>
      <c r="E63" s="91">
        <v>0.4</v>
      </c>
      <c r="F63" s="145">
        <v>301.33</v>
      </c>
    </row>
    <row r="64" spans="1:6" ht="14.4" x14ac:dyDescent="0.3">
      <c r="A64" s="144">
        <v>6841</v>
      </c>
      <c r="B64" s="91"/>
      <c r="C64" s="144" t="s">
        <v>596</v>
      </c>
      <c r="E64" s="91">
        <v>2</v>
      </c>
      <c r="F64" s="145">
        <v>470.84</v>
      </c>
    </row>
    <row r="65" spans="1:6" ht="14.4" x14ac:dyDescent="0.3">
      <c r="A65" s="144">
        <v>6907</v>
      </c>
      <c r="B65" s="91"/>
      <c r="C65" s="144" t="s">
        <v>991</v>
      </c>
      <c r="E65" s="91">
        <v>0.2</v>
      </c>
      <c r="F65" s="145">
        <v>26.8</v>
      </c>
    </row>
    <row r="66" spans="1:6" ht="14.4" x14ac:dyDescent="0.3">
      <c r="A66" s="144">
        <v>6938</v>
      </c>
      <c r="B66" s="91"/>
      <c r="C66" s="144" t="s">
        <v>1056</v>
      </c>
      <c r="E66" s="91">
        <v>0.2</v>
      </c>
      <c r="F66" s="145">
        <v>100.5</v>
      </c>
    </row>
    <row r="67" spans="1:6" ht="14.4" x14ac:dyDescent="0.3">
      <c r="A67" s="144">
        <v>7174</v>
      </c>
      <c r="B67" s="91"/>
      <c r="C67" s="144" t="s">
        <v>1045</v>
      </c>
      <c r="E67" s="91">
        <v>0.35</v>
      </c>
      <c r="F67" s="145">
        <v>95.72</v>
      </c>
    </row>
    <row r="68" spans="1:6" ht="14.4" x14ac:dyDescent="0.3">
      <c r="A68" s="144">
        <v>7292</v>
      </c>
      <c r="B68" s="91"/>
      <c r="C68" s="144" t="s">
        <v>885</v>
      </c>
      <c r="E68" s="91">
        <v>2.12</v>
      </c>
      <c r="F68" s="145">
        <v>11.49</v>
      </c>
    </row>
    <row r="69" spans="1:6" ht="14.4" x14ac:dyDescent="0.3">
      <c r="A69" s="144">
        <v>7584</v>
      </c>
      <c r="B69" s="91"/>
      <c r="C69" s="144" t="s">
        <v>1098</v>
      </c>
      <c r="E69" s="91">
        <v>0.56999999999999995</v>
      </c>
      <c r="F69" s="145">
        <v>201.03</v>
      </c>
    </row>
    <row r="70" spans="1:6" ht="14.4" x14ac:dyDescent="0.3">
      <c r="A70" s="144">
        <v>7592</v>
      </c>
      <c r="B70" s="91"/>
      <c r="C70" s="144" t="s">
        <v>769</v>
      </c>
      <c r="E70" s="91">
        <v>2.5</v>
      </c>
      <c r="F70" s="145">
        <v>250.79</v>
      </c>
    </row>
    <row r="71" spans="1:6" ht="14.4" x14ac:dyDescent="0.3">
      <c r="A71" s="144">
        <v>7953</v>
      </c>
      <c r="B71" s="91"/>
      <c r="C71" s="144" t="s">
        <v>1048</v>
      </c>
      <c r="E71" s="91">
        <v>1.1299999999999999</v>
      </c>
      <c r="F71" s="145">
        <v>150.66999999999999</v>
      </c>
    </row>
    <row r="72" spans="1:6" ht="14.4" x14ac:dyDescent="0.3">
      <c r="A72" s="144">
        <v>92331</v>
      </c>
      <c r="B72" s="91"/>
      <c r="C72" s="144" t="s">
        <v>1109</v>
      </c>
      <c r="E72" s="91">
        <v>1.1299999999999999</v>
      </c>
      <c r="F72" s="145">
        <v>172.64</v>
      </c>
    </row>
    <row r="73" spans="1:6" ht="14.4" x14ac:dyDescent="0.3">
      <c r="A73" s="144">
        <v>92325</v>
      </c>
      <c r="B73" s="91"/>
      <c r="C73" s="144" t="s">
        <v>1050</v>
      </c>
      <c r="E73" s="91">
        <v>1.1299999999999999</v>
      </c>
      <c r="F73" s="145">
        <v>1.92</v>
      </c>
    </row>
    <row r="74" spans="1:6" ht="14.4" x14ac:dyDescent="0.3">
      <c r="A74" s="144">
        <v>60163</v>
      </c>
      <c r="B74" s="91"/>
      <c r="C74" s="144" t="s">
        <v>766</v>
      </c>
      <c r="E74" s="91">
        <v>1.28</v>
      </c>
      <c r="F74" s="145">
        <v>1</v>
      </c>
    </row>
    <row r="75" spans="1:6" ht="14.4" x14ac:dyDescent="0.3">
      <c r="A75" s="144">
        <v>67000</v>
      </c>
      <c r="B75" s="91"/>
      <c r="C75" s="144" t="s">
        <v>1351</v>
      </c>
      <c r="E75" s="91">
        <v>1.46</v>
      </c>
      <c r="F75" s="145">
        <v>574.33000000000004</v>
      </c>
    </row>
    <row r="76" spans="1:6" ht="14.4" x14ac:dyDescent="0.3">
      <c r="A76" s="144">
        <v>6102</v>
      </c>
      <c r="B76" s="91"/>
      <c r="C76" s="144" t="s">
        <v>632</v>
      </c>
      <c r="E76" s="91">
        <v>2.84</v>
      </c>
      <c r="F76" s="145">
        <v>166.37</v>
      </c>
    </row>
    <row r="77" spans="1:6" ht="14.4" x14ac:dyDescent="0.3">
      <c r="A77" s="144">
        <v>6129</v>
      </c>
      <c r="B77" s="91"/>
      <c r="C77" s="144" t="s">
        <v>890</v>
      </c>
      <c r="E77" s="91">
        <v>2.84</v>
      </c>
      <c r="F77" s="145">
        <v>2105.89</v>
      </c>
    </row>
    <row r="78" spans="1:6" ht="14.4" x14ac:dyDescent="0.3">
      <c r="A78" s="144">
        <v>6133</v>
      </c>
      <c r="B78" s="91"/>
      <c r="C78" s="144" t="s">
        <v>880</v>
      </c>
      <c r="E78" s="91">
        <v>2.11</v>
      </c>
      <c r="F78" s="145">
        <v>974.45</v>
      </c>
    </row>
    <row r="79" spans="1:6" ht="14.4" x14ac:dyDescent="0.3">
      <c r="A79" s="144">
        <v>6182</v>
      </c>
      <c r="B79" s="91"/>
      <c r="C79" s="144" t="s">
        <v>1093</v>
      </c>
      <c r="E79" s="91">
        <v>0.7</v>
      </c>
      <c r="F79" s="145">
        <v>47.86</v>
      </c>
    </row>
    <row r="80" spans="1:6" ht="14.4" x14ac:dyDescent="0.3">
      <c r="A80" s="144">
        <v>6196</v>
      </c>
      <c r="B80" s="91"/>
      <c r="C80" s="144" t="s">
        <v>722</v>
      </c>
      <c r="E80" s="91">
        <v>1.28</v>
      </c>
      <c r="F80" s="145">
        <v>1531.56</v>
      </c>
    </row>
    <row r="81" spans="1:6" ht="14.4" x14ac:dyDescent="0.3">
      <c r="A81" s="144">
        <v>6210</v>
      </c>
      <c r="B81" s="91"/>
      <c r="C81" s="144" t="s">
        <v>939</v>
      </c>
      <c r="E81" s="91">
        <v>0.8</v>
      </c>
      <c r="F81" s="145">
        <v>7.66</v>
      </c>
    </row>
    <row r="82" spans="1:6" ht="14.4" x14ac:dyDescent="0.3">
      <c r="A82" s="144">
        <v>6213</v>
      </c>
      <c r="B82" s="91"/>
      <c r="C82" s="144" t="s">
        <v>957</v>
      </c>
      <c r="E82" s="91">
        <v>0.8</v>
      </c>
      <c r="F82" s="145">
        <v>119.66</v>
      </c>
    </row>
    <row r="83" spans="1:6" ht="14.4" x14ac:dyDescent="0.3">
      <c r="A83" s="144">
        <v>6221</v>
      </c>
      <c r="B83" s="91"/>
      <c r="C83" s="144" t="s">
        <v>1002</v>
      </c>
      <c r="E83" s="91">
        <v>2</v>
      </c>
      <c r="F83" s="145">
        <v>339.81</v>
      </c>
    </row>
    <row r="84" spans="1:6" ht="14.4" x14ac:dyDescent="0.3">
      <c r="A84" s="144">
        <v>6225</v>
      </c>
      <c r="B84" s="91"/>
      <c r="C84" s="144" t="s">
        <v>911</v>
      </c>
      <c r="E84" s="91">
        <v>2</v>
      </c>
      <c r="F84" s="145">
        <v>1340.11</v>
      </c>
    </row>
    <row r="85" spans="1:6" ht="14.4" x14ac:dyDescent="0.3">
      <c r="A85" s="144">
        <v>6233</v>
      </c>
      <c r="B85" s="91"/>
      <c r="C85" s="144" t="s">
        <v>887</v>
      </c>
      <c r="E85" s="91">
        <v>0.4</v>
      </c>
      <c r="F85" s="145">
        <v>47.86</v>
      </c>
    </row>
    <row r="86" spans="1:6" ht="14.4" x14ac:dyDescent="0.3">
      <c r="A86" s="144">
        <v>6243</v>
      </c>
      <c r="B86" s="91"/>
      <c r="C86" s="144" t="s">
        <v>1054</v>
      </c>
      <c r="E86" s="91">
        <v>0.36</v>
      </c>
      <c r="F86" s="145">
        <v>287.17</v>
      </c>
    </row>
    <row r="87" spans="1:6" ht="14.4" x14ac:dyDescent="0.3">
      <c r="A87" s="144">
        <v>6247</v>
      </c>
      <c r="B87" s="91"/>
      <c r="C87" s="144" t="s">
        <v>1052</v>
      </c>
      <c r="E87" s="91">
        <v>0.4</v>
      </c>
      <c r="F87" s="145">
        <v>239.31</v>
      </c>
    </row>
    <row r="88" spans="1:6" ht="14.4" x14ac:dyDescent="0.3">
      <c r="A88" s="144">
        <v>6285</v>
      </c>
      <c r="B88" s="91"/>
      <c r="C88" s="144" t="s">
        <v>1019</v>
      </c>
      <c r="E88" s="91">
        <v>0.36</v>
      </c>
      <c r="F88" s="145">
        <v>191.44</v>
      </c>
    </row>
    <row r="89" spans="1:6" ht="14.4" x14ac:dyDescent="0.3">
      <c r="A89" s="144">
        <v>6290</v>
      </c>
      <c r="B89" s="91"/>
      <c r="C89" s="144" t="s">
        <v>795</v>
      </c>
      <c r="E89" s="91">
        <v>0.96</v>
      </c>
      <c r="F89" s="145">
        <v>287.17</v>
      </c>
    </row>
    <row r="90" spans="1:6" ht="14.4" x14ac:dyDescent="0.3">
      <c r="A90" s="144">
        <v>6336</v>
      </c>
      <c r="B90" s="91"/>
      <c r="C90" s="144" t="s">
        <v>1101</v>
      </c>
      <c r="E90" s="91">
        <v>0.28000000000000003</v>
      </c>
      <c r="F90" s="145">
        <v>604.01</v>
      </c>
    </row>
    <row r="91" spans="1:6" ht="14.4" x14ac:dyDescent="0.3">
      <c r="A91" s="144">
        <v>6340</v>
      </c>
      <c r="B91" s="91"/>
      <c r="C91" s="144" t="s">
        <v>1043</v>
      </c>
      <c r="E91" s="91">
        <v>0.36</v>
      </c>
      <c r="F91" s="145">
        <v>939.99</v>
      </c>
    </row>
    <row r="92" spans="1:6" ht="14.4" x14ac:dyDescent="0.3">
      <c r="A92" s="144">
        <v>6343</v>
      </c>
      <c r="B92" s="91"/>
      <c r="C92" s="144" t="s">
        <v>859</v>
      </c>
      <c r="E92" s="91">
        <v>4.5</v>
      </c>
      <c r="F92" s="145">
        <v>95.72</v>
      </c>
    </row>
    <row r="93" spans="1:6" ht="14.4" x14ac:dyDescent="0.3">
      <c r="A93" s="144">
        <v>6345</v>
      </c>
      <c r="B93" s="91"/>
      <c r="C93" s="144" t="s">
        <v>858</v>
      </c>
      <c r="E93" s="91">
        <v>1.7</v>
      </c>
      <c r="F93" s="145">
        <v>382.89</v>
      </c>
    </row>
    <row r="94" spans="1:6" ht="14.4" x14ac:dyDescent="0.3">
      <c r="A94" s="144">
        <v>6347</v>
      </c>
      <c r="B94" s="91"/>
      <c r="C94" s="144" t="s">
        <v>976</v>
      </c>
      <c r="E94" s="91">
        <v>2.11</v>
      </c>
      <c r="F94" s="145">
        <v>86.15</v>
      </c>
    </row>
    <row r="95" spans="1:6" ht="14.4" x14ac:dyDescent="0.3">
      <c r="A95" s="144">
        <v>6379</v>
      </c>
      <c r="B95" s="91"/>
      <c r="C95" s="144" t="s">
        <v>742</v>
      </c>
      <c r="E95" s="91">
        <v>2.9</v>
      </c>
      <c r="F95" s="145">
        <v>1435.83</v>
      </c>
    </row>
    <row r="96" spans="1:6" ht="14.4" x14ac:dyDescent="0.3">
      <c r="A96" s="144">
        <v>6391</v>
      </c>
      <c r="B96" s="91"/>
      <c r="C96" s="144" t="s">
        <v>964</v>
      </c>
      <c r="E96" s="91">
        <v>0.35</v>
      </c>
      <c r="F96" s="145">
        <v>478.61</v>
      </c>
    </row>
    <row r="97" spans="1:6" ht="14.4" x14ac:dyDescent="0.3">
      <c r="A97" s="144">
        <v>6394</v>
      </c>
      <c r="B97" s="91"/>
      <c r="C97" s="144" t="s">
        <v>783</v>
      </c>
      <c r="E97" s="91">
        <v>8</v>
      </c>
      <c r="F97" s="145">
        <v>574.33000000000004</v>
      </c>
    </row>
    <row r="98" spans="1:6" ht="14.4" x14ac:dyDescent="0.3">
      <c r="A98" s="144">
        <v>6395</v>
      </c>
      <c r="B98" s="91"/>
      <c r="C98" s="144" t="s">
        <v>915</v>
      </c>
      <c r="E98" s="91">
        <v>11</v>
      </c>
      <c r="F98" s="145">
        <v>574.33000000000004</v>
      </c>
    </row>
    <row r="99" spans="1:6" ht="14.4" x14ac:dyDescent="0.3">
      <c r="A99" s="144">
        <v>6400</v>
      </c>
      <c r="B99" s="91"/>
      <c r="C99" s="144" t="s">
        <v>966</v>
      </c>
      <c r="E99" s="91">
        <v>1.46</v>
      </c>
      <c r="F99" s="145">
        <v>76.58</v>
      </c>
    </row>
    <row r="100" spans="1:6" ht="14.4" x14ac:dyDescent="0.3">
      <c r="A100" s="144">
        <v>6401</v>
      </c>
      <c r="B100" s="91"/>
      <c r="C100" s="144" t="s">
        <v>1009</v>
      </c>
      <c r="E100" s="91">
        <v>0.2</v>
      </c>
      <c r="F100" s="145">
        <v>191.44</v>
      </c>
    </row>
    <row r="101" spans="1:6" ht="14.4" x14ac:dyDescent="0.3">
      <c r="A101" s="144">
        <v>6405</v>
      </c>
      <c r="B101" s="91"/>
      <c r="C101" s="144" t="s">
        <v>1033</v>
      </c>
      <c r="E101" s="91">
        <v>1.34</v>
      </c>
      <c r="F101" s="145">
        <v>143.58000000000001</v>
      </c>
    </row>
    <row r="102" spans="1:6" ht="14.4" x14ac:dyDescent="0.3">
      <c r="A102" s="144">
        <v>6412</v>
      </c>
      <c r="B102" s="91"/>
      <c r="C102" s="144" t="s">
        <v>837</v>
      </c>
      <c r="E102" s="91">
        <v>0.48</v>
      </c>
      <c r="F102" s="145">
        <v>26.8</v>
      </c>
    </row>
    <row r="103" spans="1:6" ht="14.4" x14ac:dyDescent="0.3">
      <c r="A103" s="144">
        <v>6416</v>
      </c>
      <c r="B103" s="91"/>
      <c r="C103" s="144" t="s">
        <v>1005</v>
      </c>
      <c r="E103" s="91">
        <v>0.48</v>
      </c>
      <c r="F103" s="145">
        <v>143.58000000000001</v>
      </c>
    </row>
    <row r="104" spans="1:6" ht="14.4" x14ac:dyDescent="0.3">
      <c r="A104" s="144">
        <v>6421</v>
      </c>
      <c r="B104" s="91"/>
      <c r="C104" s="144" t="s">
        <v>1058</v>
      </c>
      <c r="E104" s="91">
        <v>0.5</v>
      </c>
      <c r="F104" s="145">
        <v>478.61</v>
      </c>
    </row>
    <row r="105" spans="1:6" ht="14.4" x14ac:dyDescent="0.3">
      <c r="A105" s="144">
        <v>6425</v>
      </c>
      <c r="B105" s="91"/>
      <c r="C105" s="144" t="s">
        <v>1017</v>
      </c>
      <c r="E105" s="91">
        <v>0.45</v>
      </c>
      <c r="F105" s="145">
        <v>430.75</v>
      </c>
    </row>
    <row r="106" spans="1:6" ht="14.4" x14ac:dyDescent="0.3">
      <c r="A106" s="144">
        <v>6431</v>
      </c>
      <c r="B106" s="91"/>
      <c r="C106" s="144" t="s">
        <v>884</v>
      </c>
      <c r="E106" s="91">
        <v>0.1</v>
      </c>
      <c r="F106" s="145">
        <v>47.86</v>
      </c>
    </row>
    <row r="107" spans="1:6" ht="14.4" x14ac:dyDescent="0.3">
      <c r="A107" s="144">
        <v>6462</v>
      </c>
      <c r="B107" s="91"/>
      <c r="C107" s="144" t="s">
        <v>842</v>
      </c>
      <c r="E107" s="91">
        <v>1.6</v>
      </c>
      <c r="F107" s="145">
        <v>57.44</v>
      </c>
    </row>
    <row r="108" spans="1:6" ht="14.4" x14ac:dyDescent="0.3">
      <c r="A108" s="144">
        <v>6469</v>
      </c>
      <c r="B108" s="91"/>
      <c r="C108" s="144" t="s">
        <v>895</v>
      </c>
      <c r="E108" s="91">
        <v>1.7</v>
      </c>
      <c r="F108">
        <v>287.17</v>
      </c>
    </row>
    <row r="109" spans="1:6" ht="14.4" x14ac:dyDescent="0.3">
      <c r="A109" s="144">
        <v>6472</v>
      </c>
      <c r="B109" s="91"/>
      <c r="C109" s="144" t="s">
        <v>1013</v>
      </c>
      <c r="E109" s="91">
        <v>1.7</v>
      </c>
      <c r="F109" s="145">
        <v>19.14</v>
      </c>
    </row>
    <row r="110" spans="1:6" ht="14.4" x14ac:dyDescent="0.3">
      <c r="A110" s="144">
        <v>6482</v>
      </c>
      <c r="B110" s="91"/>
      <c r="C110" s="144" t="s">
        <v>903</v>
      </c>
      <c r="E110" s="91">
        <v>15</v>
      </c>
      <c r="F110" s="145">
        <v>47.86</v>
      </c>
    </row>
    <row r="111" spans="1:6" ht="14.4" x14ac:dyDescent="0.3">
      <c r="A111" s="144">
        <v>6525</v>
      </c>
      <c r="B111" s="91"/>
      <c r="C111" s="144" t="s">
        <v>772</v>
      </c>
      <c r="E111" s="91">
        <v>1.3</v>
      </c>
      <c r="F111" s="145">
        <v>46.91</v>
      </c>
    </row>
    <row r="112" spans="1:6" ht="14.4" x14ac:dyDescent="0.3">
      <c r="A112" s="144">
        <v>6530</v>
      </c>
      <c r="B112" s="91"/>
      <c r="C112" s="144" t="s">
        <v>990</v>
      </c>
      <c r="E112" s="91">
        <v>1.3</v>
      </c>
      <c r="F112" s="145">
        <v>124.44</v>
      </c>
    </row>
    <row r="113" spans="1:6" ht="14.4" x14ac:dyDescent="0.3">
      <c r="A113" s="144">
        <v>6538</v>
      </c>
      <c r="B113" s="91"/>
      <c r="C113" s="144" t="s">
        <v>787</v>
      </c>
      <c r="E113" s="91">
        <v>1.3</v>
      </c>
      <c r="F113" s="145">
        <v>191.44</v>
      </c>
    </row>
    <row r="114" spans="1:6" ht="14.4" x14ac:dyDescent="0.3">
      <c r="A114" s="144">
        <v>6574</v>
      </c>
      <c r="B114" s="91"/>
      <c r="C114" s="144" t="s">
        <v>777</v>
      </c>
      <c r="E114" s="91">
        <v>0.2</v>
      </c>
      <c r="F114" s="145">
        <v>191.44</v>
      </c>
    </row>
    <row r="115" spans="1:6" ht="14.4" x14ac:dyDescent="0.3">
      <c r="A115" s="144">
        <v>6583</v>
      </c>
      <c r="B115" s="91"/>
      <c r="C115" s="144" t="s">
        <v>779</v>
      </c>
      <c r="E115" s="91">
        <v>0.4</v>
      </c>
      <c r="F115" s="145">
        <v>478.61</v>
      </c>
    </row>
    <row r="116" spans="1:6" ht="14.4" x14ac:dyDescent="0.3">
      <c r="A116" s="144">
        <v>6596</v>
      </c>
      <c r="B116" s="91"/>
      <c r="C116" s="144" t="s">
        <v>1067</v>
      </c>
      <c r="E116" s="91">
        <v>1.3</v>
      </c>
      <c r="F116" s="145">
        <v>1435.83</v>
      </c>
    </row>
    <row r="117" spans="1:6" ht="14.4" x14ac:dyDescent="0.3">
      <c r="A117" s="144">
        <v>6615</v>
      </c>
      <c r="B117" s="91"/>
      <c r="C117" s="144" t="s">
        <v>763</v>
      </c>
      <c r="E117" s="91">
        <v>6</v>
      </c>
      <c r="F117" s="145">
        <v>124.44</v>
      </c>
    </row>
    <row r="118" spans="1:6" ht="14.4" x14ac:dyDescent="0.3">
      <c r="A118" s="144">
        <v>6641</v>
      </c>
      <c r="B118" s="91"/>
      <c r="C118" s="144" t="s">
        <v>1032</v>
      </c>
      <c r="E118" s="91">
        <v>6</v>
      </c>
      <c r="F118" s="145">
        <v>32.549999999999997</v>
      </c>
    </row>
    <row r="119" spans="1:6" ht="14.4" x14ac:dyDescent="0.3">
      <c r="A119" s="144">
        <v>6644</v>
      </c>
      <c r="B119" s="91"/>
      <c r="C119" s="144" t="s">
        <v>1108</v>
      </c>
      <c r="E119" s="91">
        <v>14</v>
      </c>
      <c r="F119" s="145">
        <v>261.33</v>
      </c>
    </row>
    <row r="120" spans="1:6" ht="14.4" x14ac:dyDescent="0.3">
      <c r="A120" s="144">
        <v>6712</v>
      </c>
      <c r="B120" s="91"/>
      <c r="C120" s="144" t="s">
        <v>516</v>
      </c>
      <c r="E120" s="91">
        <v>10</v>
      </c>
      <c r="F120" s="145">
        <v>665.45</v>
      </c>
    </row>
    <row r="121" spans="1:6" ht="14.4" x14ac:dyDescent="0.3">
      <c r="A121" s="144">
        <v>6718</v>
      </c>
      <c r="B121" s="91"/>
      <c r="C121" s="144" t="s">
        <v>534</v>
      </c>
      <c r="E121" s="91">
        <v>14</v>
      </c>
      <c r="F121" s="145">
        <v>113</v>
      </c>
    </row>
    <row r="122" spans="1:6" ht="14.4" x14ac:dyDescent="0.3">
      <c r="A122" s="144">
        <v>6723</v>
      </c>
      <c r="B122" s="91"/>
      <c r="C122" s="144" t="s">
        <v>541</v>
      </c>
      <c r="E122" s="91">
        <v>1.6</v>
      </c>
      <c r="F122" s="145">
        <v>533.62</v>
      </c>
    </row>
    <row r="123" spans="1:6" ht="14.4" x14ac:dyDescent="0.3">
      <c r="A123" s="144">
        <v>6731</v>
      </c>
      <c r="B123" s="91"/>
      <c r="C123" s="144" t="s">
        <v>599</v>
      </c>
      <c r="E123" s="91">
        <v>1.6</v>
      </c>
      <c r="F123" s="145">
        <v>78.47</v>
      </c>
    </row>
    <row r="124" spans="1:6" ht="14.4" x14ac:dyDescent="0.3">
      <c r="A124" s="144">
        <v>6733</v>
      </c>
      <c r="B124" s="91"/>
      <c r="C124" s="144" t="s">
        <v>547</v>
      </c>
      <c r="E124" s="91">
        <v>1.6</v>
      </c>
      <c r="F124" s="145">
        <v>141.25</v>
      </c>
    </row>
    <row r="125" spans="1:6" ht="14.4" x14ac:dyDescent="0.3">
      <c r="A125" s="144">
        <v>6739</v>
      </c>
      <c r="B125" s="91"/>
      <c r="C125" s="144" t="s">
        <v>565</v>
      </c>
      <c r="E125" s="91">
        <v>0.5</v>
      </c>
      <c r="F125" s="145">
        <v>502.23</v>
      </c>
    </row>
    <row r="126" spans="1:6" ht="14.4" x14ac:dyDescent="0.3">
      <c r="A126" s="144">
        <v>6743</v>
      </c>
      <c r="B126" s="91"/>
      <c r="C126" s="144" t="s">
        <v>570</v>
      </c>
      <c r="E126" s="91">
        <v>1.7</v>
      </c>
      <c r="F126" s="145">
        <v>408.07</v>
      </c>
    </row>
    <row r="127" spans="1:6" ht="14.4" x14ac:dyDescent="0.3">
      <c r="A127" s="144">
        <v>6745</v>
      </c>
      <c r="B127" s="91"/>
      <c r="C127" s="144" t="s">
        <v>568</v>
      </c>
      <c r="E127" s="91">
        <v>1.7</v>
      </c>
      <c r="F127" s="145">
        <v>533.62</v>
      </c>
    </row>
    <row r="128" spans="1:6" ht="14.4" x14ac:dyDescent="0.3">
      <c r="A128" s="144">
        <v>6747</v>
      </c>
      <c r="B128" s="91"/>
      <c r="C128" s="144" t="s">
        <v>574</v>
      </c>
      <c r="E128" s="91">
        <v>1.3</v>
      </c>
      <c r="F128" s="145">
        <v>81.61</v>
      </c>
    </row>
    <row r="129" spans="1:6" ht="14.4" x14ac:dyDescent="0.3">
      <c r="A129" s="144">
        <v>6748</v>
      </c>
      <c r="B129" s="91"/>
      <c r="C129" s="144" t="s">
        <v>567</v>
      </c>
      <c r="E129" s="91">
        <v>1.3</v>
      </c>
      <c r="F129" s="145">
        <v>156.94999999999999</v>
      </c>
    </row>
    <row r="130" spans="1:6" ht="14.4" x14ac:dyDescent="0.3">
      <c r="A130" s="144">
        <v>6765</v>
      </c>
      <c r="B130" s="91"/>
      <c r="C130" s="144" t="s">
        <v>463</v>
      </c>
      <c r="E130" s="91">
        <v>1.3</v>
      </c>
      <c r="F130" s="145">
        <v>131.83000000000001</v>
      </c>
    </row>
    <row r="131" spans="1:6" ht="14.4" x14ac:dyDescent="0.3">
      <c r="A131" s="144">
        <v>6770</v>
      </c>
      <c r="B131" s="91"/>
      <c r="C131" s="144" t="s">
        <v>458</v>
      </c>
      <c r="E131" s="91">
        <v>15</v>
      </c>
      <c r="F131" s="145">
        <v>6.28</v>
      </c>
    </row>
    <row r="132" spans="1:6" ht="14.4" x14ac:dyDescent="0.3">
      <c r="A132" s="144">
        <v>6774</v>
      </c>
      <c r="B132" s="91"/>
      <c r="C132" s="144" t="s">
        <v>497</v>
      </c>
      <c r="E132" s="91">
        <v>0.26</v>
      </c>
      <c r="F132" s="145">
        <v>109.87</v>
      </c>
    </row>
    <row r="133" spans="1:6" ht="14.4" x14ac:dyDescent="0.3">
      <c r="A133" s="144">
        <v>6775</v>
      </c>
      <c r="B133" s="91"/>
      <c r="C133" s="144" t="s">
        <v>470</v>
      </c>
      <c r="E133" s="91">
        <v>1.3</v>
      </c>
      <c r="F133" s="145">
        <v>156.94999999999999</v>
      </c>
    </row>
    <row r="134" spans="1:6" ht="14.4" x14ac:dyDescent="0.3">
      <c r="A134" s="144">
        <v>6783</v>
      </c>
      <c r="B134" s="91"/>
      <c r="C134" s="144" t="s">
        <v>484</v>
      </c>
      <c r="E134" s="91">
        <v>1.3</v>
      </c>
      <c r="F134" s="145">
        <v>94.17</v>
      </c>
    </row>
    <row r="135" spans="1:6" ht="14.4" x14ac:dyDescent="0.3">
      <c r="A135" s="144">
        <v>6784</v>
      </c>
      <c r="B135" s="91"/>
      <c r="C135" s="144" t="s">
        <v>485</v>
      </c>
      <c r="E135" s="91">
        <v>6</v>
      </c>
      <c r="F135" s="145">
        <v>94.17</v>
      </c>
    </row>
    <row r="136" spans="1:6" ht="14.4" x14ac:dyDescent="0.3">
      <c r="A136" s="144">
        <v>6788</v>
      </c>
      <c r="B136" s="91"/>
      <c r="C136" s="144" t="s">
        <v>475</v>
      </c>
      <c r="E136" s="91">
        <v>14</v>
      </c>
      <c r="F136" s="145">
        <v>291.92</v>
      </c>
    </row>
    <row r="137" spans="1:6" ht="14.4" x14ac:dyDescent="0.3">
      <c r="A137" s="144">
        <v>6790</v>
      </c>
      <c r="B137" s="91"/>
      <c r="C137" s="144" t="s">
        <v>501</v>
      </c>
      <c r="E137" s="91">
        <v>14</v>
      </c>
      <c r="F137" s="145">
        <v>247.97</v>
      </c>
    </row>
    <row r="138" spans="1:6" ht="14.4" x14ac:dyDescent="0.3">
      <c r="A138" s="144">
        <v>6802</v>
      </c>
      <c r="B138" s="91"/>
      <c r="C138" s="144" t="s">
        <v>495</v>
      </c>
      <c r="E138" s="91">
        <v>10</v>
      </c>
      <c r="F138" s="145">
        <v>473.98</v>
      </c>
    </row>
    <row r="139" spans="1:6" ht="14.4" x14ac:dyDescent="0.3">
      <c r="A139" s="144">
        <v>6804</v>
      </c>
      <c r="B139" s="91"/>
      <c r="C139" s="144" t="s">
        <v>498</v>
      </c>
      <c r="E139" s="91">
        <v>14</v>
      </c>
      <c r="F139" s="145">
        <v>627.79</v>
      </c>
    </row>
    <row r="140" spans="1:6" ht="14.4" x14ac:dyDescent="0.3">
      <c r="A140" s="144">
        <v>6809</v>
      </c>
      <c r="B140" s="91"/>
      <c r="C140" s="144" t="s">
        <v>687</v>
      </c>
      <c r="E140" s="91">
        <v>2</v>
      </c>
      <c r="F140" s="145">
        <v>78.48</v>
      </c>
    </row>
    <row r="141" spans="1:6" ht="14.4" x14ac:dyDescent="0.3">
      <c r="A141" s="144">
        <v>6813</v>
      </c>
      <c r="B141" s="91"/>
      <c r="C141" s="144" t="s">
        <v>614</v>
      </c>
      <c r="E141" s="91">
        <v>6</v>
      </c>
      <c r="F141" s="145">
        <v>204.04</v>
      </c>
    </row>
    <row r="142" spans="1:6" ht="14.4" x14ac:dyDescent="0.3">
      <c r="A142" s="144">
        <v>6834</v>
      </c>
      <c r="B142" s="91"/>
      <c r="C142" s="144" t="s">
        <v>504</v>
      </c>
      <c r="E142" s="91">
        <v>0.36</v>
      </c>
      <c r="F142" s="145">
        <v>87.89</v>
      </c>
    </row>
    <row r="143" spans="1:6" ht="14.4" x14ac:dyDescent="0.3">
      <c r="A143" s="144">
        <v>6854</v>
      </c>
      <c r="B143" s="91"/>
      <c r="C143" s="144" t="s">
        <v>554</v>
      </c>
      <c r="E143" s="91">
        <v>1.6</v>
      </c>
      <c r="F143" s="145">
        <v>408.07</v>
      </c>
    </row>
    <row r="144" spans="1:6" ht="14.4" x14ac:dyDescent="0.3">
      <c r="A144" s="144">
        <v>6858</v>
      </c>
      <c r="B144" s="91"/>
      <c r="C144" s="144" t="s">
        <v>691</v>
      </c>
      <c r="E144" s="91">
        <v>2.2400000000000002</v>
      </c>
      <c r="F144" s="145">
        <v>34.53</v>
      </c>
    </row>
    <row r="145" spans="1:6" ht="14.4" x14ac:dyDescent="0.3">
      <c r="A145" s="144">
        <v>6887</v>
      </c>
      <c r="B145" s="91"/>
      <c r="C145" s="144" t="s">
        <v>874</v>
      </c>
      <c r="E145" s="91">
        <v>0.45</v>
      </c>
      <c r="F145" s="145">
        <v>1914.44</v>
      </c>
    </row>
    <row r="146" spans="1:6" ht="14.4" x14ac:dyDescent="0.3">
      <c r="A146" s="144">
        <v>6917</v>
      </c>
      <c r="B146" s="91"/>
      <c r="C146" s="144" t="s">
        <v>1042</v>
      </c>
      <c r="E146" s="91">
        <v>0.45</v>
      </c>
      <c r="F146" s="145">
        <v>218.25</v>
      </c>
    </row>
    <row r="147" spans="1:6" ht="14.4" x14ac:dyDescent="0.3">
      <c r="A147" s="144">
        <v>6926</v>
      </c>
      <c r="B147" s="91"/>
      <c r="C147" s="144" t="s">
        <v>992</v>
      </c>
      <c r="E147" s="91">
        <v>0.28000000000000003</v>
      </c>
      <c r="F147" s="145">
        <v>804.06</v>
      </c>
    </row>
    <row r="148" spans="1:6" ht="14.4" x14ac:dyDescent="0.3">
      <c r="A148" s="144">
        <v>6948</v>
      </c>
      <c r="B148" s="91"/>
      <c r="C148" s="144" t="s">
        <v>1096</v>
      </c>
      <c r="E148" s="91">
        <v>1.43</v>
      </c>
      <c r="F148" s="145">
        <v>1943.17</v>
      </c>
    </row>
    <row r="149" spans="1:6" ht="14.4" x14ac:dyDescent="0.3">
      <c r="A149" s="144">
        <v>6975</v>
      </c>
      <c r="B149" s="91"/>
      <c r="C149" s="144" t="s">
        <v>940</v>
      </c>
      <c r="E149" s="91">
        <v>0.72</v>
      </c>
      <c r="F149" s="145">
        <v>11.49</v>
      </c>
    </row>
    <row r="150" spans="1:6" ht="14.4" x14ac:dyDescent="0.3">
      <c r="A150" s="144">
        <v>7141</v>
      </c>
      <c r="B150" s="91"/>
      <c r="C150" s="144" t="s">
        <v>923</v>
      </c>
      <c r="E150" s="91">
        <v>0.2</v>
      </c>
      <c r="F150" s="145">
        <v>287.17</v>
      </c>
    </row>
    <row r="151" spans="1:6" ht="14.4" x14ac:dyDescent="0.3">
      <c r="A151" s="144">
        <v>7204</v>
      </c>
      <c r="B151" s="91"/>
      <c r="C151" s="144" t="s">
        <v>1028</v>
      </c>
      <c r="E151" s="91">
        <v>0.02</v>
      </c>
      <c r="F151" s="145">
        <v>71.8</v>
      </c>
    </row>
    <row r="152" spans="1:6" ht="14.4" x14ac:dyDescent="0.3">
      <c r="A152" s="144">
        <v>7295</v>
      </c>
      <c r="B152" s="91"/>
      <c r="C152" s="144" t="s">
        <v>983</v>
      </c>
      <c r="E152" s="91">
        <v>1</v>
      </c>
      <c r="F152" s="145">
        <v>5.75</v>
      </c>
    </row>
    <row r="153" spans="1:6" ht="14.4" x14ac:dyDescent="0.3">
      <c r="A153" s="144">
        <v>7524</v>
      </c>
      <c r="B153" s="91"/>
      <c r="C153" s="144" t="s">
        <v>944</v>
      </c>
      <c r="E153" s="91">
        <v>0.6</v>
      </c>
      <c r="F153" s="145">
        <v>250.79</v>
      </c>
    </row>
    <row r="154" spans="1:6" ht="14.4" x14ac:dyDescent="0.3">
      <c r="A154" s="144">
        <v>7531</v>
      </c>
      <c r="B154" s="91"/>
      <c r="C154" s="144" t="s">
        <v>963</v>
      </c>
      <c r="E154" s="91">
        <v>0.6</v>
      </c>
      <c r="F154" s="145">
        <v>627.94000000000005</v>
      </c>
    </row>
    <row r="155" spans="1:6" ht="14.4" x14ac:dyDescent="0.3">
      <c r="A155" s="144">
        <v>7580</v>
      </c>
      <c r="B155" s="91"/>
      <c r="C155" s="144" t="s">
        <v>848</v>
      </c>
      <c r="E155" s="91">
        <v>1.5</v>
      </c>
      <c r="F155" s="145">
        <v>1003.16</v>
      </c>
    </row>
    <row r="156" spans="1:6" ht="14.4" x14ac:dyDescent="0.3">
      <c r="A156" s="144">
        <v>7886</v>
      </c>
      <c r="B156" s="91"/>
      <c r="C156" s="144" t="s">
        <v>589</v>
      </c>
      <c r="E156" s="91">
        <v>0.45</v>
      </c>
      <c r="F156" s="145">
        <v>87.89</v>
      </c>
    </row>
    <row r="157" spans="1:6" ht="14.4" x14ac:dyDescent="0.3">
      <c r="A157" s="144">
        <v>92322</v>
      </c>
      <c r="B157" s="91"/>
      <c r="C157" s="144" t="s">
        <v>907</v>
      </c>
      <c r="E157" s="91">
        <v>0.25</v>
      </c>
      <c r="F157" s="145">
        <v>3.14</v>
      </c>
    </row>
    <row r="158" spans="1:6" ht="14.4" x14ac:dyDescent="0.3">
      <c r="A158" s="144">
        <v>6056</v>
      </c>
      <c r="B158" s="91"/>
      <c r="C158" s="144" t="s">
        <v>930</v>
      </c>
      <c r="E158" s="91">
        <v>0.25</v>
      </c>
      <c r="F158" s="145">
        <v>191.44</v>
      </c>
    </row>
    <row r="159" spans="1:6" ht="14.4" x14ac:dyDescent="0.3">
      <c r="A159" s="144">
        <v>6082</v>
      </c>
      <c r="B159" s="91"/>
      <c r="C159" s="144" t="s">
        <v>1064</v>
      </c>
      <c r="E159" s="91">
        <v>0.1</v>
      </c>
      <c r="F159" s="145">
        <v>95.72</v>
      </c>
    </row>
    <row r="160" spans="1:6" ht="14.4" x14ac:dyDescent="0.3">
      <c r="A160" s="144">
        <v>6092</v>
      </c>
      <c r="B160" s="91"/>
      <c r="C160" s="144" t="s">
        <v>970</v>
      </c>
      <c r="E160" s="91">
        <v>0.45</v>
      </c>
      <c r="F160" s="145">
        <v>765.78</v>
      </c>
    </row>
    <row r="161" spans="1:6" ht="14.4" x14ac:dyDescent="0.3">
      <c r="A161" s="144">
        <v>6093</v>
      </c>
      <c r="B161" s="91"/>
      <c r="C161" s="144" t="s">
        <v>731</v>
      </c>
      <c r="E161" s="91">
        <v>0.7</v>
      </c>
      <c r="F161" s="145">
        <v>1052.94</v>
      </c>
    </row>
    <row r="162" spans="1:6" ht="14.4" x14ac:dyDescent="0.3">
      <c r="A162" s="144">
        <v>6171</v>
      </c>
      <c r="B162" s="91"/>
      <c r="C162" s="144" t="s">
        <v>753</v>
      </c>
      <c r="E162" s="91">
        <v>1.99</v>
      </c>
      <c r="F162" s="145">
        <v>47.86</v>
      </c>
    </row>
    <row r="163" spans="1:6" ht="14.4" x14ac:dyDescent="0.3">
      <c r="A163" s="144">
        <v>6226</v>
      </c>
      <c r="B163" s="91"/>
      <c r="C163" s="144" t="s">
        <v>826</v>
      </c>
      <c r="E163" s="91">
        <v>0.53</v>
      </c>
      <c r="F163" s="145">
        <v>223.03</v>
      </c>
    </row>
    <row r="164" spans="1:6" ht="14.4" x14ac:dyDescent="0.3">
      <c r="A164" s="144">
        <v>6230</v>
      </c>
      <c r="B164" s="91"/>
      <c r="C164" s="144" t="s">
        <v>741</v>
      </c>
      <c r="E164" s="91">
        <v>1.74</v>
      </c>
      <c r="F164" s="145">
        <v>287.17</v>
      </c>
    </row>
    <row r="165" spans="1:6" ht="14.4" x14ac:dyDescent="0.3">
      <c r="A165" s="144">
        <v>6244</v>
      </c>
      <c r="B165" s="91"/>
      <c r="C165" s="144" t="s">
        <v>776</v>
      </c>
      <c r="E165" s="91">
        <v>0.6</v>
      </c>
      <c r="F165" s="145">
        <v>19.14</v>
      </c>
    </row>
    <row r="166" spans="1:6" ht="14.4" x14ac:dyDescent="0.3">
      <c r="A166" s="144">
        <v>6246</v>
      </c>
      <c r="B166" s="91"/>
      <c r="C166" s="144" t="s">
        <v>986</v>
      </c>
      <c r="E166" s="91">
        <v>0.45</v>
      </c>
      <c r="F166" s="145">
        <v>47.86</v>
      </c>
    </row>
    <row r="167" spans="1:6" ht="14.4" x14ac:dyDescent="0.3">
      <c r="A167" s="144">
        <v>6249</v>
      </c>
      <c r="B167" s="91"/>
      <c r="C167" s="144" t="s">
        <v>1081</v>
      </c>
      <c r="E167" s="91">
        <v>1</v>
      </c>
      <c r="F167" s="145">
        <v>67</v>
      </c>
    </row>
    <row r="168" spans="1:6" ht="14.4" x14ac:dyDescent="0.3">
      <c r="A168" s="144">
        <v>6280</v>
      </c>
      <c r="B168" s="91"/>
      <c r="C168" s="144" t="s">
        <v>1072</v>
      </c>
      <c r="E168" s="91">
        <v>0.6</v>
      </c>
      <c r="F168" s="145">
        <v>95.72</v>
      </c>
    </row>
    <row r="169" spans="1:6" ht="14.4" x14ac:dyDescent="0.3">
      <c r="A169" s="144">
        <v>6284</v>
      </c>
      <c r="B169" s="91"/>
      <c r="C169" s="144" t="s">
        <v>1057</v>
      </c>
      <c r="E169" s="91">
        <v>1.7</v>
      </c>
      <c r="F169" s="145">
        <v>191.44</v>
      </c>
    </row>
    <row r="170" spans="1:6" ht="14.4" x14ac:dyDescent="0.3">
      <c r="A170" s="144">
        <v>6322</v>
      </c>
      <c r="B170" s="91"/>
      <c r="C170" s="144" t="s">
        <v>802</v>
      </c>
      <c r="E170" s="91">
        <v>0.6</v>
      </c>
      <c r="F170" s="145">
        <v>1194.6099999999999</v>
      </c>
    </row>
    <row r="171" spans="1:6" ht="14.4" x14ac:dyDescent="0.3">
      <c r="A171" s="144">
        <v>6350</v>
      </c>
      <c r="B171" s="91"/>
      <c r="C171" s="144" t="s">
        <v>925</v>
      </c>
      <c r="E171" s="91">
        <v>0.25</v>
      </c>
      <c r="F171" s="145">
        <v>28.72</v>
      </c>
    </row>
    <row r="172" spans="1:6" ht="14.4" x14ac:dyDescent="0.3">
      <c r="A172" s="144">
        <v>6354</v>
      </c>
      <c r="B172" s="91"/>
      <c r="C172" s="144" t="s">
        <v>833</v>
      </c>
      <c r="E172" s="91">
        <v>0.45</v>
      </c>
      <c r="F172" s="145">
        <v>28.72</v>
      </c>
    </row>
    <row r="173" spans="1:6" ht="14.4" x14ac:dyDescent="0.3">
      <c r="A173" s="144">
        <v>6363</v>
      </c>
      <c r="B173" s="91"/>
      <c r="C173" s="144" t="s">
        <v>732</v>
      </c>
      <c r="E173" s="91">
        <v>0.65</v>
      </c>
      <c r="F173" s="145">
        <v>4.78</v>
      </c>
    </row>
    <row r="174" spans="1:6" ht="14.4" x14ac:dyDescent="0.3">
      <c r="A174" s="144">
        <v>6364</v>
      </c>
      <c r="B174" s="91"/>
      <c r="C174" s="144" t="s">
        <v>1073</v>
      </c>
      <c r="E174" s="91">
        <v>0.65</v>
      </c>
      <c r="F174" s="145">
        <v>95.72</v>
      </c>
    </row>
    <row r="175" spans="1:6" ht="14.4" x14ac:dyDescent="0.3">
      <c r="A175" s="144">
        <v>6365</v>
      </c>
      <c r="B175" s="91"/>
      <c r="C175" s="144" t="s">
        <v>791</v>
      </c>
      <c r="E175" s="91">
        <v>0.85</v>
      </c>
      <c r="F175" s="145">
        <v>95.72</v>
      </c>
    </row>
    <row r="176" spans="1:6" ht="14.4" x14ac:dyDescent="0.3">
      <c r="A176" s="144">
        <v>6366</v>
      </c>
      <c r="B176" s="91"/>
      <c r="C176" s="144" t="s">
        <v>723</v>
      </c>
      <c r="E176" s="91">
        <v>0.96</v>
      </c>
      <c r="F176" s="145">
        <v>47.86</v>
      </c>
    </row>
    <row r="177" spans="1:6" ht="14.4" x14ac:dyDescent="0.3">
      <c r="A177" s="144">
        <v>6368</v>
      </c>
      <c r="B177" s="91"/>
      <c r="C177" s="144" t="s">
        <v>863</v>
      </c>
      <c r="E177" s="91">
        <v>1.5</v>
      </c>
      <c r="F177" s="145">
        <v>191.44</v>
      </c>
    </row>
    <row r="178" spans="1:6" ht="14.4" x14ac:dyDescent="0.3">
      <c r="A178" s="144">
        <v>6388</v>
      </c>
      <c r="B178" s="91"/>
      <c r="C178" s="144" t="s">
        <v>782</v>
      </c>
      <c r="E178" s="91">
        <v>3</v>
      </c>
      <c r="F178" s="145">
        <v>191.44</v>
      </c>
    </row>
    <row r="179" spans="1:6" ht="14.4" x14ac:dyDescent="0.3">
      <c r="A179" s="144">
        <v>6402</v>
      </c>
      <c r="B179" s="91"/>
      <c r="C179" s="144" t="s">
        <v>961</v>
      </c>
      <c r="E179" s="91">
        <v>2.9</v>
      </c>
      <c r="F179" s="145">
        <v>95.72</v>
      </c>
    </row>
    <row r="180" spans="1:6" ht="14.4" x14ac:dyDescent="0.3">
      <c r="A180" s="144">
        <v>6424</v>
      </c>
      <c r="B180" s="91"/>
      <c r="C180" s="144" t="s">
        <v>913</v>
      </c>
      <c r="E180" s="91">
        <v>3.03</v>
      </c>
      <c r="F180" s="145">
        <v>191.44</v>
      </c>
    </row>
    <row r="181" spans="1:6" ht="14.4" x14ac:dyDescent="0.3">
      <c r="A181" s="144">
        <v>6429</v>
      </c>
      <c r="B181" s="91"/>
      <c r="C181" s="144" t="s">
        <v>918</v>
      </c>
      <c r="E181" s="91">
        <v>0.9</v>
      </c>
      <c r="F181" s="145">
        <v>47.86</v>
      </c>
    </row>
    <row r="182" spans="1:6" ht="14.4" x14ac:dyDescent="0.3">
      <c r="A182" s="144">
        <v>6430</v>
      </c>
      <c r="B182" s="91"/>
      <c r="C182" s="144" t="s">
        <v>962</v>
      </c>
      <c r="E182" s="91">
        <v>0.6</v>
      </c>
      <c r="F182" s="145">
        <v>47.86</v>
      </c>
    </row>
    <row r="183" spans="1:6" ht="14.4" x14ac:dyDescent="0.3">
      <c r="A183" s="144">
        <v>6435</v>
      </c>
      <c r="B183" s="91"/>
      <c r="C183" s="144" t="s">
        <v>898</v>
      </c>
      <c r="E183" s="91">
        <v>0.6</v>
      </c>
      <c r="F183" s="145">
        <v>19.14</v>
      </c>
    </row>
    <row r="184" spans="1:6" ht="14.4" x14ac:dyDescent="0.3">
      <c r="A184" s="144">
        <v>6451</v>
      </c>
      <c r="B184" s="91"/>
      <c r="C184" s="144" t="s">
        <v>950</v>
      </c>
      <c r="E184" s="91">
        <v>0.45</v>
      </c>
      <c r="F184" s="145">
        <v>89.98</v>
      </c>
    </row>
    <row r="185" spans="1:6" ht="14.4" x14ac:dyDescent="0.3">
      <c r="A185" s="144">
        <v>6479</v>
      </c>
      <c r="B185" s="91"/>
      <c r="C185" s="144" t="s">
        <v>846</v>
      </c>
      <c r="E185" s="91">
        <v>1.5</v>
      </c>
      <c r="F185" s="145">
        <v>1435.83</v>
      </c>
    </row>
    <row r="186" spans="1:6" ht="14.4" x14ac:dyDescent="0.3">
      <c r="A186" s="144">
        <v>6498</v>
      </c>
      <c r="B186" s="91"/>
      <c r="C186" s="144" t="s">
        <v>760</v>
      </c>
      <c r="E186" s="91">
        <v>0.53</v>
      </c>
      <c r="F186" s="145">
        <v>47.86</v>
      </c>
    </row>
    <row r="187" spans="1:6" ht="14.4" x14ac:dyDescent="0.3">
      <c r="A187" s="144">
        <v>6516</v>
      </c>
      <c r="B187" s="91"/>
      <c r="C187" s="144" t="s">
        <v>943</v>
      </c>
      <c r="E187" s="91">
        <v>0.53</v>
      </c>
      <c r="F187" s="145">
        <v>670.05</v>
      </c>
    </row>
    <row r="188" spans="1:6" ht="14.4" x14ac:dyDescent="0.3">
      <c r="A188" s="144">
        <v>6522</v>
      </c>
      <c r="B188" s="91"/>
      <c r="C188" s="144" t="s">
        <v>850</v>
      </c>
      <c r="E188" s="91">
        <v>0.45</v>
      </c>
      <c r="F188" s="145">
        <v>482.44</v>
      </c>
    </row>
    <row r="189" spans="1:6" ht="14.4" x14ac:dyDescent="0.3">
      <c r="A189" s="144">
        <v>6537</v>
      </c>
      <c r="B189" s="91"/>
      <c r="C189" s="144" t="s">
        <v>864</v>
      </c>
      <c r="E189" s="91">
        <v>0.53</v>
      </c>
      <c r="F189" s="145">
        <v>191.44</v>
      </c>
    </row>
    <row r="190" spans="1:6" ht="14.4" x14ac:dyDescent="0.3">
      <c r="A190" s="144">
        <v>6545</v>
      </c>
      <c r="B190" s="91"/>
      <c r="C190" s="144" t="s">
        <v>853</v>
      </c>
      <c r="E190" s="91">
        <v>0.45</v>
      </c>
      <c r="F190" s="145">
        <v>19.149999999999999</v>
      </c>
    </row>
    <row r="191" spans="1:6" ht="14.4" x14ac:dyDescent="0.3">
      <c r="A191" s="144">
        <v>6575</v>
      </c>
      <c r="B191" s="91"/>
      <c r="C191" s="144" t="s">
        <v>1034</v>
      </c>
      <c r="E191" s="91">
        <v>0.48</v>
      </c>
      <c r="F191" s="145">
        <v>191.44</v>
      </c>
    </row>
    <row r="192" spans="1:6" ht="14.4" x14ac:dyDescent="0.3">
      <c r="A192" s="144">
        <v>6584</v>
      </c>
      <c r="B192" s="91"/>
      <c r="C192" s="144" t="s">
        <v>1059</v>
      </c>
      <c r="E192" s="91">
        <v>0.53</v>
      </c>
      <c r="F192" s="145">
        <v>478.61</v>
      </c>
    </row>
    <row r="193" spans="1:6" ht="14.4" x14ac:dyDescent="0.3">
      <c r="A193" s="144">
        <v>6586</v>
      </c>
      <c r="B193" s="91"/>
      <c r="C193" s="144" t="s">
        <v>780</v>
      </c>
      <c r="E193" s="91">
        <v>0.35</v>
      </c>
      <c r="F193" s="145">
        <v>478.61</v>
      </c>
    </row>
    <row r="194" spans="1:6" ht="14.4" x14ac:dyDescent="0.3">
      <c r="A194" s="144">
        <v>6589</v>
      </c>
      <c r="B194" s="91"/>
      <c r="C194" s="144" t="s">
        <v>917</v>
      </c>
      <c r="E194" s="91">
        <v>0.45</v>
      </c>
      <c r="F194" s="145">
        <v>191.44</v>
      </c>
    </row>
    <row r="195" spans="1:6" ht="14.4" x14ac:dyDescent="0.3">
      <c r="A195" s="144">
        <v>6595</v>
      </c>
      <c r="B195" s="91"/>
      <c r="C195" s="144" t="s">
        <v>768</v>
      </c>
      <c r="E195" s="91">
        <v>1</v>
      </c>
      <c r="F195" s="145">
        <v>1435.83</v>
      </c>
    </row>
    <row r="196" spans="1:6" ht="14.4" x14ac:dyDescent="0.3">
      <c r="A196" s="144">
        <v>6603</v>
      </c>
      <c r="B196" s="91"/>
      <c r="C196" s="144" t="s">
        <v>750</v>
      </c>
      <c r="E196" s="91"/>
      <c r="F196" s="145">
        <v>255.58</v>
      </c>
    </row>
    <row r="197" spans="1:6" ht="14.4" x14ac:dyDescent="0.3">
      <c r="A197" s="144">
        <v>6611</v>
      </c>
      <c r="B197" s="91"/>
      <c r="C197" s="144" t="s">
        <v>995</v>
      </c>
      <c r="E197" s="91"/>
      <c r="F197" s="145">
        <v>957.23</v>
      </c>
    </row>
    <row r="198" spans="1:6" ht="14.4" x14ac:dyDescent="0.3">
      <c r="A198" s="144">
        <v>6653</v>
      </c>
      <c r="B198" s="91"/>
      <c r="C198" s="144" t="s">
        <v>816</v>
      </c>
      <c r="E198" s="91"/>
      <c r="F198" s="145">
        <v>143.59</v>
      </c>
    </row>
    <row r="199" spans="1:6" ht="15" customHeight="1" x14ac:dyDescent="0.3">
      <c r="A199" s="144">
        <v>6656</v>
      </c>
      <c r="B199" s="92"/>
      <c r="C199" s="144" t="s">
        <v>933</v>
      </c>
      <c r="E199" s="92"/>
      <c r="F199" s="145">
        <v>478.61</v>
      </c>
    </row>
    <row r="200" spans="1:6" ht="15" customHeight="1" x14ac:dyDescent="0.3">
      <c r="A200" s="144">
        <v>6671</v>
      </c>
      <c r="B200" s="92"/>
      <c r="C200" s="144" t="s">
        <v>720</v>
      </c>
      <c r="E200" s="92"/>
      <c r="F200" s="145">
        <v>6317.67</v>
      </c>
    </row>
    <row r="201" spans="1:6" ht="15" customHeight="1" x14ac:dyDescent="0.3">
      <c r="A201" s="144">
        <v>6679</v>
      </c>
      <c r="B201" s="92"/>
      <c r="C201" s="144" t="s">
        <v>556</v>
      </c>
      <c r="E201" s="92"/>
      <c r="F201" s="145">
        <v>62.77</v>
      </c>
    </row>
    <row r="202" spans="1:6" ht="15" customHeight="1" x14ac:dyDescent="0.3">
      <c r="A202" s="144">
        <v>6683</v>
      </c>
      <c r="B202" s="92"/>
      <c r="C202" s="144" t="s">
        <v>507</v>
      </c>
      <c r="E202" s="92"/>
      <c r="F202" s="145">
        <v>150.66999999999999</v>
      </c>
    </row>
    <row r="203" spans="1:6" ht="15" customHeight="1" x14ac:dyDescent="0.3">
      <c r="A203" s="144">
        <v>6688</v>
      </c>
      <c r="B203" s="92"/>
      <c r="C203" s="144" t="s">
        <v>590</v>
      </c>
      <c r="E203" s="92"/>
      <c r="F203" s="145">
        <v>448.87</v>
      </c>
    </row>
    <row r="204" spans="1:6" ht="15" customHeight="1" x14ac:dyDescent="0.3">
      <c r="A204" s="144">
        <v>6690</v>
      </c>
      <c r="B204" s="92"/>
      <c r="C204" s="144" t="s">
        <v>512</v>
      </c>
      <c r="E204" s="92"/>
      <c r="F204" s="145">
        <v>125.55</v>
      </c>
    </row>
    <row r="205" spans="1:6" ht="15" customHeight="1" x14ac:dyDescent="0.3">
      <c r="A205" s="144">
        <v>6693</v>
      </c>
      <c r="B205" s="92"/>
      <c r="C205" s="144" t="s">
        <v>515</v>
      </c>
      <c r="E205" s="92"/>
      <c r="F205" s="145">
        <v>109.87</v>
      </c>
    </row>
    <row r="206" spans="1:6" ht="15" customHeight="1" x14ac:dyDescent="0.3">
      <c r="A206" s="144">
        <v>6695</v>
      </c>
      <c r="B206" s="92"/>
      <c r="C206" s="144" t="s">
        <v>518</v>
      </c>
      <c r="E206" s="92"/>
      <c r="F206" s="145">
        <v>784.74</v>
      </c>
    </row>
    <row r="207" spans="1:6" ht="15" customHeight="1" x14ac:dyDescent="0.3">
      <c r="A207" s="144">
        <v>6696</v>
      </c>
      <c r="B207" s="92"/>
      <c r="C207" s="144" t="s">
        <v>690</v>
      </c>
      <c r="E207" s="92"/>
      <c r="F207" s="145">
        <v>62.78</v>
      </c>
    </row>
    <row r="208" spans="1:6" ht="15" customHeight="1" x14ac:dyDescent="0.3">
      <c r="A208" s="144">
        <v>6699</v>
      </c>
      <c r="B208" s="92"/>
      <c r="C208" s="144" t="s">
        <v>521</v>
      </c>
      <c r="E208" s="92"/>
      <c r="F208" s="145">
        <v>354.71</v>
      </c>
    </row>
    <row r="209" spans="1:6" ht="15" customHeight="1" x14ac:dyDescent="0.3">
      <c r="A209" s="144">
        <v>6704</v>
      </c>
      <c r="B209" s="92"/>
      <c r="C209" s="144" t="s">
        <v>531</v>
      </c>
      <c r="E209" s="92"/>
      <c r="F209" s="145">
        <v>627.79</v>
      </c>
    </row>
    <row r="210" spans="1:6" ht="15" customHeight="1" x14ac:dyDescent="0.3">
      <c r="A210" s="144">
        <v>6709</v>
      </c>
      <c r="B210" s="92"/>
      <c r="C210" s="144" t="s">
        <v>528</v>
      </c>
      <c r="E210" s="92"/>
      <c r="F210" s="145">
        <v>401.79</v>
      </c>
    </row>
    <row r="211" spans="1:6" ht="15" customHeight="1" x14ac:dyDescent="0.3">
      <c r="A211" s="144">
        <v>6720</v>
      </c>
      <c r="B211" s="92"/>
      <c r="C211" s="144" t="s">
        <v>537</v>
      </c>
      <c r="E211" s="92"/>
      <c r="F211" s="145">
        <v>301.33999999999997</v>
      </c>
    </row>
    <row r="212" spans="1:6" ht="15" customHeight="1" x14ac:dyDescent="0.3">
      <c r="A212" s="144">
        <v>6726</v>
      </c>
      <c r="B212" s="92"/>
      <c r="C212" s="144" t="s">
        <v>694</v>
      </c>
      <c r="E212" s="92"/>
      <c r="F212" s="145">
        <v>662.32</v>
      </c>
    </row>
    <row r="213" spans="1:6" ht="15" customHeight="1" x14ac:dyDescent="0.3">
      <c r="A213" s="144">
        <v>6732</v>
      </c>
      <c r="B213" s="92"/>
      <c r="C213" s="144" t="s">
        <v>598</v>
      </c>
      <c r="E213" s="92"/>
      <c r="F213" s="145">
        <v>78.47</v>
      </c>
    </row>
    <row r="214" spans="1:6" ht="15" customHeight="1" x14ac:dyDescent="0.3">
      <c r="A214" s="144">
        <v>6741</v>
      </c>
      <c r="B214" s="92"/>
      <c r="C214" s="144" t="s">
        <v>573</v>
      </c>
      <c r="E214" s="92"/>
      <c r="F214" s="145">
        <v>4708.43</v>
      </c>
    </row>
    <row r="215" spans="1:6" ht="15" customHeight="1" x14ac:dyDescent="0.3">
      <c r="A215" s="144">
        <v>6752</v>
      </c>
      <c r="B215" s="92"/>
      <c r="C215" s="144" t="s">
        <v>578</v>
      </c>
      <c r="E215" s="92"/>
      <c r="F215" s="145">
        <v>4394.54</v>
      </c>
    </row>
    <row r="216" spans="1:6" ht="15" customHeight="1" x14ac:dyDescent="0.3">
      <c r="A216" s="144">
        <v>6787</v>
      </c>
      <c r="B216" s="92"/>
      <c r="C216" s="144" t="s">
        <v>483</v>
      </c>
      <c r="E216" s="92"/>
      <c r="F216" s="145">
        <v>291.92</v>
      </c>
    </row>
    <row r="217" spans="1:6" ht="15" customHeight="1" x14ac:dyDescent="0.3">
      <c r="A217" s="144">
        <v>6793</v>
      </c>
      <c r="B217" s="92"/>
      <c r="C217" s="144" t="s">
        <v>473</v>
      </c>
      <c r="E217" s="92"/>
      <c r="F217" s="145">
        <v>247.97</v>
      </c>
    </row>
    <row r="218" spans="1:6" ht="15" customHeight="1" x14ac:dyDescent="0.3">
      <c r="A218" s="144">
        <v>6798</v>
      </c>
      <c r="B218" s="92"/>
      <c r="C218" s="144" t="s">
        <v>584</v>
      </c>
      <c r="E218" s="92"/>
      <c r="F218" s="145">
        <v>113</v>
      </c>
    </row>
    <row r="219" spans="1:6" ht="15" customHeight="1" x14ac:dyDescent="0.3">
      <c r="A219" s="144">
        <v>6821</v>
      </c>
      <c r="B219" s="92"/>
      <c r="C219" s="144" t="s">
        <v>625</v>
      </c>
      <c r="E219" s="92"/>
      <c r="F219" s="145">
        <v>470.84</v>
      </c>
    </row>
    <row r="220" spans="1:6" ht="15" customHeight="1" x14ac:dyDescent="0.3">
      <c r="A220" s="144">
        <v>6823</v>
      </c>
      <c r="B220" s="92"/>
      <c r="C220" s="144" t="s">
        <v>626</v>
      </c>
      <c r="E220" s="92"/>
      <c r="F220" s="145">
        <v>166.37</v>
      </c>
    </row>
    <row r="221" spans="1:6" ht="15" customHeight="1" x14ac:dyDescent="0.3">
      <c r="A221" s="144">
        <v>6852</v>
      </c>
      <c r="B221" s="92"/>
      <c r="C221" s="144" t="s">
        <v>563</v>
      </c>
      <c r="E221" s="92"/>
      <c r="F221" s="145">
        <v>4394.54</v>
      </c>
    </row>
    <row r="222" spans="1:6" ht="15" customHeight="1" x14ac:dyDescent="0.3">
      <c r="A222" s="144">
        <v>6877</v>
      </c>
      <c r="B222" s="92"/>
      <c r="C222" s="144" t="s">
        <v>984</v>
      </c>
      <c r="E222" s="92"/>
      <c r="F222" s="145">
        <v>2.2000000000000002</v>
      </c>
    </row>
    <row r="223" spans="1:6" ht="15" customHeight="1" x14ac:dyDescent="0.3">
      <c r="A223" s="144">
        <v>6893</v>
      </c>
      <c r="B223" s="92"/>
      <c r="C223" s="144" t="s">
        <v>901</v>
      </c>
      <c r="E223" s="92"/>
      <c r="F223" s="145">
        <v>188.56</v>
      </c>
    </row>
    <row r="224" spans="1:6" ht="15" customHeight="1" x14ac:dyDescent="0.3">
      <c r="A224" s="144">
        <v>6906</v>
      </c>
      <c r="B224" s="92"/>
      <c r="C224" s="144" t="s">
        <v>941</v>
      </c>
      <c r="E224" s="92"/>
      <c r="F224" s="145">
        <v>52.64</v>
      </c>
    </row>
    <row r="225" spans="1:6" ht="15" customHeight="1" x14ac:dyDescent="0.3">
      <c r="A225" s="144">
        <v>6943</v>
      </c>
      <c r="B225" s="92"/>
      <c r="C225" s="144" t="s">
        <v>946</v>
      </c>
      <c r="E225" s="92"/>
      <c r="F225" s="145">
        <v>1107.51</v>
      </c>
    </row>
    <row r="226" spans="1:6" ht="15" customHeight="1" x14ac:dyDescent="0.3">
      <c r="A226" s="144">
        <v>6949</v>
      </c>
      <c r="B226" s="92"/>
      <c r="C226" s="144" t="s">
        <v>810</v>
      </c>
      <c r="E226" s="92"/>
      <c r="F226" s="145">
        <v>2546.21</v>
      </c>
    </row>
    <row r="227" spans="1:6" ht="15" customHeight="1" x14ac:dyDescent="0.3">
      <c r="A227" s="144">
        <v>7046</v>
      </c>
      <c r="B227" s="92"/>
      <c r="C227" s="144" t="s">
        <v>879</v>
      </c>
      <c r="E227" s="92"/>
      <c r="F227" s="145">
        <v>287.17</v>
      </c>
    </row>
    <row r="228" spans="1:6" ht="15" customHeight="1" x14ac:dyDescent="0.3">
      <c r="A228" s="144">
        <v>7338</v>
      </c>
      <c r="B228" s="92"/>
      <c r="C228" s="144" t="s">
        <v>889</v>
      </c>
      <c r="E228" s="92"/>
      <c r="F228" s="145">
        <v>318.75</v>
      </c>
    </row>
    <row r="229" spans="1:6" ht="15" customHeight="1" x14ac:dyDescent="0.3">
      <c r="A229" s="144">
        <v>7394</v>
      </c>
      <c r="B229" s="92"/>
      <c r="C229" s="144" t="s">
        <v>916</v>
      </c>
      <c r="E229" s="92"/>
      <c r="F229" s="145">
        <v>1145.8</v>
      </c>
    </row>
    <row r="230" spans="1:6" ht="15" customHeight="1" x14ac:dyDescent="0.3">
      <c r="A230" s="144">
        <v>7396</v>
      </c>
      <c r="B230" s="92"/>
      <c r="C230" s="144" t="s">
        <v>726</v>
      </c>
      <c r="E230" s="92"/>
      <c r="F230" s="145">
        <v>717.92</v>
      </c>
    </row>
    <row r="231" spans="1:6" ht="15" customHeight="1" x14ac:dyDescent="0.3">
      <c r="A231" s="144">
        <v>7635</v>
      </c>
      <c r="B231" s="92"/>
      <c r="C231" s="144" t="s">
        <v>761</v>
      </c>
      <c r="E231" s="92"/>
      <c r="F231" s="145">
        <v>67</v>
      </c>
    </row>
    <row r="232" spans="1:6" ht="15" customHeight="1" x14ac:dyDescent="0.3">
      <c r="A232" s="144">
        <v>91024</v>
      </c>
      <c r="B232" s="92"/>
      <c r="C232" s="144" t="s">
        <v>997</v>
      </c>
      <c r="E232" s="92"/>
      <c r="F232" s="145">
        <v>12.44</v>
      </c>
    </row>
    <row r="233" spans="1:6" ht="15" customHeight="1" x14ac:dyDescent="0.3">
      <c r="A233" s="144">
        <v>92330</v>
      </c>
      <c r="B233" s="92"/>
      <c r="C233" s="144" t="s">
        <v>952</v>
      </c>
      <c r="E233" s="92"/>
      <c r="F233" s="145">
        <v>408.07</v>
      </c>
    </row>
    <row r="234" spans="1:6" ht="15" customHeight="1" x14ac:dyDescent="0.3">
      <c r="A234" s="144">
        <v>4595</v>
      </c>
      <c r="B234" s="92"/>
      <c r="C234" s="144" t="s">
        <v>765</v>
      </c>
      <c r="E234" s="92"/>
      <c r="F234" s="145">
        <v>1</v>
      </c>
    </row>
    <row r="235" spans="1:6" ht="15" customHeight="1" x14ac:dyDescent="0.3">
      <c r="A235" s="144">
        <v>92328</v>
      </c>
      <c r="B235" s="92"/>
      <c r="C235" s="144" t="s">
        <v>1110</v>
      </c>
      <c r="E235" s="92"/>
      <c r="F235" s="145">
        <v>219.72</v>
      </c>
    </row>
    <row r="236" spans="1:6" ht="15" customHeight="1" x14ac:dyDescent="0.3">
      <c r="A236" s="144">
        <v>92323</v>
      </c>
      <c r="B236" s="92"/>
      <c r="C236" s="144" t="s">
        <v>905</v>
      </c>
      <c r="E236" s="92"/>
      <c r="F236" s="145">
        <v>269.95</v>
      </c>
    </row>
    <row r="237" spans="1:6" ht="15" customHeight="1" x14ac:dyDescent="0.3">
      <c r="A237" s="144">
        <v>92327</v>
      </c>
      <c r="B237" s="92"/>
      <c r="C237" s="144" t="s">
        <v>953</v>
      </c>
      <c r="E237" s="92"/>
      <c r="F237" s="145">
        <v>235.47</v>
      </c>
    </row>
    <row r="238" spans="1:6" ht="15" customHeight="1" x14ac:dyDescent="0.3">
      <c r="A238" s="144">
        <v>6042</v>
      </c>
      <c r="B238" s="92"/>
      <c r="C238" s="144" t="s">
        <v>876</v>
      </c>
      <c r="E238" s="92"/>
      <c r="F238" s="145">
        <v>28.72</v>
      </c>
    </row>
    <row r="239" spans="1:6" ht="15" customHeight="1" x14ac:dyDescent="0.3">
      <c r="A239" s="144">
        <v>6047</v>
      </c>
      <c r="B239" s="92"/>
      <c r="C239" s="144" t="s">
        <v>790</v>
      </c>
      <c r="E239" s="92"/>
      <c r="F239" s="145">
        <v>38.28</v>
      </c>
    </row>
    <row r="240" spans="1:6" ht="15" customHeight="1" x14ac:dyDescent="0.3">
      <c r="A240" s="144">
        <v>6216</v>
      </c>
      <c r="B240" s="92"/>
      <c r="C240" s="144" t="s">
        <v>920</v>
      </c>
      <c r="E240" s="92"/>
      <c r="F240" s="145">
        <v>114.86</v>
      </c>
    </row>
    <row r="241" spans="1:6" ht="15" customHeight="1" x14ac:dyDescent="0.3">
      <c r="A241" s="144">
        <v>6224</v>
      </c>
      <c r="B241" s="92"/>
      <c r="C241" s="144" t="s">
        <v>999</v>
      </c>
      <c r="E241" s="92"/>
      <c r="F241" s="145">
        <v>143.58000000000001</v>
      </c>
    </row>
    <row r="242" spans="1:6" ht="15" customHeight="1" x14ac:dyDescent="0.3">
      <c r="A242" s="144">
        <v>6228</v>
      </c>
      <c r="B242" s="92"/>
      <c r="C242" s="144" t="s">
        <v>827</v>
      </c>
      <c r="E242" s="92"/>
      <c r="F242" s="145">
        <v>95.72</v>
      </c>
    </row>
    <row r="243" spans="1:6" ht="15" customHeight="1" x14ac:dyDescent="0.3">
      <c r="A243" s="144">
        <v>6239</v>
      </c>
      <c r="B243" s="92"/>
      <c r="C243" s="144" t="s">
        <v>1015</v>
      </c>
      <c r="E243" s="92"/>
      <c r="F243" s="145">
        <v>239.31</v>
      </c>
    </row>
    <row r="244" spans="1:6" ht="15" customHeight="1" x14ac:dyDescent="0.3">
      <c r="A244" s="144">
        <v>6250</v>
      </c>
      <c r="B244" s="92"/>
      <c r="C244" s="144" t="s">
        <v>1055</v>
      </c>
      <c r="E244" s="92"/>
      <c r="F244" s="145">
        <v>47.86</v>
      </c>
    </row>
    <row r="245" spans="1:6" ht="15" customHeight="1" x14ac:dyDescent="0.3">
      <c r="A245" s="144">
        <v>6286</v>
      </c>
      <c r="B245" s="92"/>
      <c r="C245" s="144" t="s">
        <v>1068</v>
      </c>
      <c r="E245" s="92"/>
      <c r="F245" s="145">
        <v>191.44</v>
      </c>
    </row>
    <row r="246" spans="1:6" ht="15" customHeight="1" x14ac:dyDescent="0.3">
      <c r="A246" s="144">
        <v>6289</v>
      </c>
      <c r="B246" s="92"/>
      <c r="C246" s="144" t="s">
        <v>928</v>
      </c>
      <c r="E246" s="92"/>
      <c r="F246" s="145">
        <v>430.75</v>
      </c>
    </row>
    <row r="247" spans="1:6" ht="15" customHeight="1" x14ac:dyDescent="0.3">
      <c r="A247" s="144">
        <v>6294</v>
      </c>
      <c r="B247" s="92"/>
      <c r="C247" s="144" t="s">
        <v>1000</v>
      </c>
      <c r="E247" s="92"/>
      <c r="F247" s="145">
        <v>47.86</v>
      </c>
    </row>
    <row r="248" spans="1:6" ht="15" customHeight="1" x14ac:dyDescent="0.3">
      <c r="A248" s="144">
        <v>6333</v>
      </c>
      <c r="B248" s="92"/>
      <c r="C248" s="144" t="s">
        <v>871</v>
      </c>
      <c r="E248" s="92"/>
      <c r="F248" s="145">
        <v>4.78</v>
      </c>
    </row>
    <row r="249" spans="1:6" ht="15" customHeight="1" x14ac:dyDescent="0.3">
      <c r="A249" s="144">
        <v>6338</v>
      </c>
      <c r="B249" s="92"/>
      <c r="C249" s="144" t="s">
        <v>1004</v>
      </c>
      <c r="E249" s="92"/>
      <c r="F249" s="145">
        <v>409.99</v>
      </c>
    </row>
    <row r="250" spans="1:6" ht="15" customHeight="1" x14ac:dyDescent="0.3">
      <c r="A250" s="144">
        <v>6348</v>
      </c>
      <c r="B250" s="92"/>
      <c r="C250" s="144" t="s">
        <v>831</v>
      </c>
      <c r="E250" s="92"/>
      <c r="F250" s="145">
        <v>287.17</v>
      </c>
    </row>
    <row r="251" spans="1:6" ht="15" customHeight="1" x14ac:dyDescent="0.3">
      <c r="A251" s="144">
        <v>6357</v>
      </c>
      <c r="B251" s="92"/>
      <c r="C251" s="144" t="s">
        <v>738</v>
      </c>
      <c r="E251" s="92"/>
      <c r="F251" s="145">
        <v>4.78</v>
      </c>
    </row>
    <row r="252" spans="1:6" ht="15" customHeight="1" x14ac:dyDescent="0.3">
      <c r="A252" s="144">
        <v>6359</v>
      </c>
      <c r="B252" s="92"/>
      <c r="C252" s="144" t="s">
        <v>926</v>
      </c>
      <c r="E252" s="92"/>
      <c r="F252" s="145">
        <v>19.14</v>
      </c>
    </row>
    <row r="253" spans="1:6" ht="15" customHeight="1" x14ac:dyDescent="0.3">
      <c r="A253" s="144">
        <v>6375</v>
      </c>
      <c r="B253" s="92"/>
      <c r="C253" s="144" t="s">
        <v>1078</v>
      </c>
      <c r="E253" s="92"/>
      <c r="F253" s="145">
        <v>47.86</v>
      </c>
    </row>
    <row r="254" spans="1:6" ht="15" customHeight="1" x14ac:dyDescent="0.3">
      <c r="A254" s="144">
        <v>6378</v>
      </c>
      <c r="B254" s="92"/>
      <c r="C254" s="144" t="s">
        <v>958</v>
      </c>
      <c r="E254" s="92"/>
      <c r="F254" s="145">
        <v>143.58000000000001</v>
      </c>
    </row>
    <row r="255" spans="1:6" ht="15" customHeight="1" x14ac:dyDescent="0.3">
      <c r="A255" s="144">
        <v>6384</v>
      </c>
      <c r="B255" s="92"/>
      <c r="C255" s="144" t="s">
        <v>746</v>
      </c>
      <c r="E255" s="92"/>
      <c r="F255" s="145">
        <v>2680.22</v>
      </c>
    </row>
    <row r="256" spans="1:6" ht="15" customHeight="1" x14ac:dyDescent="0.3">
      <c r="A256" s="144">
        <v>6386</v>
      </c>
      <c r="B256" s="92"/>
      <c r="C256" s="144" t="s">
        <v>1008</v>
      </c>
      <c r="E256" s="92"/>
      <c r="F256" s="145">
        <v>1148.67</v>
      </c>
    </row>
    <row r="257" spans="1:6" ht="15" customHeight="1" x14ac:dyDescent="0.3">
      <c r="A257" s="144">
        <v>6387</v>
      </c>
      <c r="B257" s="92"/>
      <c r="C257" s="144" t="s">
        <v>866</v>
      </c>
      <c r="E257" s="92"/>
      <c r="F257" s="145">
        <v>191.44</v>
      </c>
    </row>
    <row r="258" spans="1:6" ht="15" customHeight="1" x14ac:dyDescent="0.3">
      <c r="A258" s="144">
        <v>6390</v>
      </c>
      <c r="B258" s="92"/>
      <c r="C258" s="144" t="s">
        <v>870</v>
      </c>
      <c r="E258" s="92"/>
      <c r="F258" s="145">
        <v>1052.94</v>
      </c>
    </row>
    <row r="259" spans="1:6" ht="15" customHeight="1" x14ac:dyDescent="0.3">
      <c r="A259" s="144">
        <v>6392</v>
      </c>
      <c r="B259" s="92"/>
      <c r="C259" s="144" t="s">
        <v>965</v>
      </c>
      <c r="E259" s="92"/>
      <c r="F259" s="145">
        <v>478.61</v>
      </c>
    </row>
    <row r="260" spans="1:6" ht="15" customHeight="1" x14ac:dyDescent="0.3">
      <c r="A260" s="144">
        <v>6393</v>
      </c>
      <c r="B260" s="92"/>
      <c r="C260" s="144" t="s">
        <v>822</v>
      </c>
      <c r="E260" s="92"/>
      <c r="F260" s="145">
        <v>229.73</v>
      </c>
    </row>
    <row r="261" spans="1:6" ht="15" customHeight="1" x14ac:dyDescent="0.3">
      <c r="A261" s="144">
        <v>6408</v>
      </c>
      <c r="B261" s="92"/>
      <c r="C261" s="144" t="s">
        <v>1036</v>
      </c>
      <c r="E261" s="92"/>
      <c r="F261" s="145">
        <v>38.28</v>
      </c>
    </row>
    <row r="262" spans="1:6" ht="15" customHeight="1" x14ac:dyDescent="0.3">
      <c r="A262" s="144">
        <v>6409</v>
      </c>
      <c r="B262" s="92"/>
      <c r="C262" s="144" t="s">
        <v>1090</v>
      </c>
      <c r="E262" s="92"/>
      <c r="F262" s="145">
        <v>19.14</v>
      </c>
    </row>
    <row r="263" spans="1:6" ht="15" customHeight="1" x14ac:dyDescent="0.3">
      <c r="A263" s="144">
        <v>6415</v>
      </c>
      <c r="B263" s="92"/>
      <c r="C263" s="144" t="s">
        <v>982</v>
      </c>
      <c r="E263" s="92"/>
      <c r="F263" s="145">
        <v>124.44</v>
      </c>
    </row>
    <row r="264" spans="1:6" ht="15" customHeight="1" x14ac:dyDescent="0.3">
      <c r="A264" s="144">
        <v>6417</v>
      </c>
      <c r="B264" s="92"/>
      <c r="C264" s="144" t="s">
        <v>1037</v>
      </c>
      <c r="E264" s="92"/>
      <c r="F264" s="145">
        <v>71.8</v>
      </c>
    </row>
    <row r="265" spans="1:6" ht="15" customHeight="1" x14ac:dyDescent="0.3">
      <c r="A265" s="144">
        <v>6418</v>
      </c>
      <c r="B265" s="92"/>
      <c r="C265" s="144" t="s">
        <v>803</v>
      </c>
      <c r="E265" s="92"/>
      <c r="F265" s="145">
        <v>14.36</v>
      </c>
    </row>
    <row r="266" spans="1:6" ht="15" customHeight="1" x14ac:dyDescent="0.3">
      <c r="A266" s="144">
        <v>6419</v>
      </c>
      <c r="B266" s="92"/>
      <c r="C266" s="144" t="s">
        <v>514</v>
      </c>
      <c r="E266" s="92"/>
      <c r="F266" s="145">
        <v>62.78</v>
      </c>
    </row>
    <row r="267" spans="1:6" ht="15" customHeight="1" x14ac:dyDescent="0.3">
      <c r="A267" s="144">
        <v>6420</v>
      </c>
      <c r="B267" s="92"/>
      <c r="C267" s="144" t="s">
        <v>919</v>
      </c>
      <c r="E267" s="92"/>
      <c r="F267" s="145">
        <v>47.86</v>
      </c>
    </row>
    <row r="268" spans="1:6" ht="15" customHeight="1" x14ac:dyDescent="0.3">
      <c r="A268" s="144">
        <v>6426</v>
      </c>
      <c r="B268" s="92"/>
      <c r="C268" s="144" t="s">
        <v>869</v>
      </c>
      <c r="E268" s="92"/>
      <c r="F268" s="145">
        <v>382.89</v>
      </c>
    </row>
    <row r="269" spans="1:6" ht="15" customHeight="1" x14ac:dyDescent="0.3">
      <c r="A269" s="144">
        <v>6433</v>
      </c>
      <c r="B269" s="92"/>
      <c r="C269" s="144" t="s">
        <v>896</v>
      </c>
      <c r="E269" s="92"/>
      <c r="F269" s="145">
        <v>1340.11</v>
      </c>
    </row>
    <row r="270" spans="1:6" ht="15" customHeight="1" x14ac:dyDescent="0.3">
      <c r="A270" s="144">
        <v>6438</v>
      </c>
      <c r="B270" s="92"/>
      <c r="C270" s="144" t="s">
        <v>1092</v>
      </c>
      <c r="E270" s="92"/>
      <c r="F270" s="145">
        <v>47.86</v>
      </c>
    </row>
    <row r="271" spans="1:6" ht="15" customHeight="1" x14ac:dyDescent="0.3">
      <c r="A271" s="144">
        <v>6450</v>
      </c>
      <c r="B271" s="92"/>
      <c r="C271" s="144" t="s">
        <v>996</v>
      </c>
      <c r="E271" s="92"/>
      <c r="F271" s="145">
        <v>574.33000000000004</v>
      </c>
    </row>
    <row r="272" spans="1:6" ht="15" customHeight="1" x14ac:dyDescent="0.3">
      <c r="A272" s="144">
        <v>6453</v>
      </c>
      <c r="B272" s="92"/>
      <c r="C272" s="144" t="s">
        <v>904</v>
      </c>
      <c r="E272" s="92"/>
      <c r="F272" s="145">
        <v>95.72</v>
      </c>
    </row>
    <row r="273" spans="1:6" ht="15" customHeight="1" x14ac:dyDescent="0.3">
      <c r="A273" s="144">
        <v>6454</v>
      </c>
      <c r="B273" s="92"/>
      <c r="C273" s="144" t="s">
        <v>1047</v>
      </c>
      <c r="E273" s="92"/>
      <c r="F273" s="145">
        <v>71.8</v>
      </c>
    </row>
    <row r="274" spans="1:6" ht="15" customHeight="1" x14ac:dyDescent="0.3">
      <c r="A274" s="144">
        <v>6456</v>
      </c>
      <c r="B274" s="92"/>
      <c r="C274" s="144" t="s">
        <v>974</v>
      </c>
      <c r="E274" s="92"/>
      <c r="F274" s="145">
        <v>19.14</v>
      </c>
    </row>
    <row r="275" spans="1:6" ht="15" customHeight="1" x14ac:dyDescent="0.3">
      <c r="A275" s="144">
        <v>6468</v>
      </c>
      <c r="B275" s="92"/>
      <c r="C275" s="144" t="s">
        <v>1070</v>
      </c>
      <c r="E275" s="92"/>
      <c r="F275" s="145">
        <v>1531.56</v>
      </c>
    </row>
    <row r="276" spans="1:6" ht="15" customHeight="1" x14ac:dyDescent="0.3">
      <c r="A276" s="144">
        <v>6473</v>
      </c>
      <c r="B276" s="92"/>
      <c r="C276" s="144" t="s">
        <v>921</v>
      </c>
      <c r="E276" s="92"/>
      <c r="F276" s="145">
        <v>4.78</v>
      </c>
    </row>
    <row r="277" spans="1:6" ht="15" customHeight="1" x14ac:dyDescent="0.3">
      <c r="A277" s="144">
        <v>6478</v>
      </c>
      <c r="B277" s="92"/>
      <c r="C277" s="144" t="s">
        <v>851</v>
      </c>
      <c r="E277" s="92"/>
      <c r="F277" s="145">
        <v>107.21</v>
      </c>
    </row>
    <row r="278" spans="1:6" ht="15" customHeight="1" x14ac:dyDescent="0.3">
      <c r="A278" s="144">
        <v>6483</v>
      </c>
      <c r="B278" s="92"/>
      <c r="C278" s="144" t="s">
        <v>854</v>
      </c>
      <c r="E278" s="92"/>
      <c r="F278" s="145">
        <v>382.89</v>
      </c>
    </row>
    <row r="279" spans="1:6" ht="15" customHeight="1" x14ac:dyDescent="0.3">
      <c r="A279" s="144">
        <v>6513</v>
      </c>
      <c r="B279" s="92"/>
      <c r="C279" s="144" t="s">
        <v>770</v>
      </c>
      <c r="E279" s="92"/>
      <c r="F279" s="145">
        <v>419.25</v>
      </c>
    </row>
    <row r="280" spans="1:6" ht="15" customHeight="1" x14ac:dyDescent="0.3">
      <c r="A280" s="144">
        <v>6521</v>
      </c>
      <c r="B280" s="92"/>
      <c r="C280" s="144" t="s">
        <v>994</v>
      </c>
      <c r="E280" s="92"/>
      <c r="F280" s="145">
        <v>482.44</v>
      </c>
    </row>
    <row r="281" spans="1:6" ht="15" customHeight="1" x14ac:dyDescent="0.3">
      <c r="A281" s="144">
        <v>6532</v>
      </c>
      <c r="B281" s="92"/>
      <c r="C281" s="144" t="s">
        <v>824</v>
      </c>
      <c r="E281" s="92"/>
      <c r="F281" s="145">
        <v>287.17</v>
      </c>
    </row>
    <row r="282" spans="1:6" ht="15" customHeight="1" x14ac:dyDescent="0.3">
      <c r="A282" s="144">
        <v>6549</v>
      </c>
      <c r="B282" s="92"/>
      <c r="C282" s="144" t="s">
        <v>934</v>
      </c>
      <c r="E282" s="92"/>
      <c r="F282" s="145">
        <v>414.48</v>
      </c>
    </row>
    <row r="283" spans="1:6" ht="15" customHeight="1" x14ac:dyDescent="0.3">
      <c r="A283" s="144">
        <v>6563</v>
      </c>
      <c r="B283" s="92"/>
      <c r="C283" s="144" t="s">
        <v>1062</v>
      </c>
      <c r="E283" s="92"/>
      <c r="F283" s="145">
        <v>47.86</v>
      </c>
    </row>
    <row r="284" spans="1:6" ht="15" customHeight="1" x14ac:dyDescent="0.3">
      <c r="A284" s="144">
        <v>6582</v>
      </c>
      <c r="B284" s="92"/>
      <c r="C284" s="144" t="s">
        <v>1007</v>
      </c>
      <c r="E284" s="92"/>
      <c r="F284" s="145">
        <v>478.61</v>
      </c>
    </row>
    <row r="285" spans="1:6" ht="15" customHeight="1" x14ac:dyDescent="0.3">
      <c r="A285" s="144">
        <v>6661</v>
      </c>
      <c r="B285" s="92"/>
      <c r="C285" s="144" t="s">
        <v>1065</v>
      </c>
      <c r="E285" s="92"/>
      <c r="F285" s="145">
        <v>5743.33</v>
      </c>
    </row>
    <row r="286" spans="1:6" ht="15" customHeight="1" x14ac:dyDescent="0.3">
      <c r="A286" s="144">
        <v>6692</v>
      </c>
      <c r="B286" s="92"/>
      <c r="C286" s="144" t="s">
        <v>513</v>
      </c>
      <c r="E286" s="92"/>
      <c r="F286" s="145">
        <v>627.79</v>
      </c>
    </row>
    <row r="287" spans="1:6" ht="15" customHeight="1" x14ac:dyDescent="0.3">
      <c r="A287" s="144">
        <v>6729</v>
      </c>
      <c r="B287" s="92"/>
      <c r="C287" s="144" t="s">
        <v>597</v>
      </c>
      <c r="E287" s="92"/>
      <c r="F287" s="145">
        <v>141.25</v>
      </c>
    </row>
    <row r="288" spans="1:6" ht="15" customHeight="1" x14ac:dyDescent="0.3">
      <c r="A288" s="144">
        <v>6761</v>
      </c>
      <c r="B288" s="92"/>
      <c r="C288" s="144" t="s">
        <v>499</v>
      </c>
      <c r="E288" s="92"/>
      <c r="F288" s="145">
        <v>599.54</v>
      </c>
    </row>
    <row r="289" spans="1:6" ht="15" customHeight="1" x14ac:dyDescent="0.3">
      <c r="A289" s="144">
        <v>6762</v>
      </c>
      <c r="B289" s="92"/>
      <c r="C289" s="144" t="s">
        <v>500</v>
      </c>
      <c r="E289" s="92"/>
      <c r="F289" s="145">
        <v>941.69</v>
      </c>
    </row>
    <row r="290" spans="1:6" ht="15" customHeight="1" x14ac:dyDescent="0.3">
      <c r="A290" s="144">
        <v>6785</v>
      </c>
      <c r="B290" s="92"/>
      <c r="C290" s="144" t="s">
        <v>481</v>
      </c>
      <c r="E290" s="92"/>
      <c r="F290" s="145">
        <v>470.84</v>
      </c>
    </row>
    <row r="291" spans="1:6" ht="15" customHeight="1" x14ac:dyDescent="0.3">
      <c r="A291" s="144">
        <v>6792</v>
      </c>
      <c r="B291" s="92"/>
      <c r="C291" s="144" t="s">
        <v>474</v>
      </c>
      <c r="E291" s="92"/>
      <c r="F291" s="145">
        <v>326.45</v>
      </c>
    </row>
    <row r="292" spans="1:6" ht="15" customHeight="1" x14ac:dyDescent="0.3">
      <c r="A292" s="144">
        <v>6819</v>
      </c>
      <c r="B292" s="92"/>
      <c r="C292" s="144" t="s">
        <v>624</v>
      </c>
      <c r="E292" s="92"/>
      <c r="F292" s="145">
        <v>141.26</v>
      </c>
    </row>
    <row r="293" spans="1:6" ht="15" customHeight="1" x14ac:dyDescent="0.3">
      <c r="A293" s="144">
        <v>6839</v>
      </c>
      <c r="B293" s="92"/>
      <c r="C293" s="144" t="s">
        <v>619</v>
      </c>
      <c r="E293" s="92"/>
      <c r="F293" s="145">
        <v>910.3</v>
      </c>
    </row>
    <row r="294" spans="1:6" ht="15" customHeight="1" x14ac:dyDescent="0.3">
      <c r="A294" s="144">
        <v>6840</v>
      </c>
      <c r="B294" s="92"/>
      <c r="C294" s="144" t="s">
        <v>620</v>
      </c>
      <c r="E294" s="92"/>
      <c r="F294" s="145">
        <v>951.1</v>
      </c>
    </row>
    <row r="295" spans="1:6" ht="15" customHeight="1" x14ac:dyDescent="0.3">
      <c r="A295" s="144">
        <v>6847</v>
      </c>
      <c r="B295" s="92"/>
      <c r="C295" s="144" t="s">
        <v>488</v>
      </c>
      <c r="E295" s="92"/>
      <c r="F295" s="145">
        <v>156.94999999999999</v>
      </c>
    </row>
    <row r="296" spans="1:6" ht="15" customHeight="1" x14ac:dyDescent="0.3">
      <c r="A296" s="144">
        <v>6849</v>
      </c>
      <c r="B296" s="92"/>
      <c r="C296" s="144" t="s">
        <v>559</v>
      </c>
      <c r="E296" s="92"/>
      <c r="F296" s="145">
        <v>1883.37</v>
      </c>
    </row>
    <row r="297" spans="1:6" ht="15" customHeight="1" x14ac:dyDescent="0.3">
      <c r="A297" s="144">
        <v>6856</v>
      </c>
      <c r="B297" s="92"/>
      <c r="C297" s="144" t="s">
        <v>560</v>
      </c>
      <c r="E297" s="92"/>
      <c r="F297" s="145">
        <v>1883.37</v>
      </c>
    </row>
    <row r="298" spans="1:6" ht="15" customHeight="1" x14ac:dyDescent="0.3">
      <c r="A298" s="144">
        <v>6883</v>
      </c>
      <c r="B298" s="92"/>
      <c r="C298" s="144" t="s">
        <v>938</v>
      </c>
      <c r="E298" s="92"/>
      <c r="F298" s="145">
        <v>36.369999999999997</v>
      </c>
    </row>
    <row r="299" spans="1:6" ht="15" customHeight="1" x14ac:dyDescent="0.3">
      <c r="A299" s="144">
        <v>6941</v>
      </c>
      <c r="B299" s="92"/>
      <c r="C299" s="144" t="s">
        <v>1044</v>
      </c>
      <c r="E299" s="92"/>
      <c r="F299" s="145">
        <v>574.33000000000004</v>
      </c>
    </row>
    <row r="300" spans="1:6" ht="15" customHeight="1" x14ac:dyDescent="0.3">
      <c r="A300" s="144">
        <v>6973</v>
      </c>
      <c r="B300" s="92"/>
      <c r="C300" s="144" t="s">
        <v>740</v>
      </c>
      <c r="E300" s="92"/>
      <c r="F300" s="145">
        <v>47.86</v>
      </c>
    </row>
    <row r="301" spans="1:6" ht="15" customHeight="1" x14ac:dyDescent="0.3">
      <c r="A301" s="144">
        <v>7037</v>
      </c>
      <c r="B301" s="92"/>
      <c r="C301" s="144" t="s">
        <v>1030</v>
      </c>
      <c r="E301" s="92"/>
      <c r="F301" s="145">
        <v>95.72</v>
      </c>
    </row>
    <row r="302" spans="1:6" ht="15" customHeight="1" x14ac:dyDescent="0.3">
      <c r="A302" s="144">
        <v>7178</v>
      </c>
      <c r="B302" s="92"/>
      <c r="C302" s="144" t="s">
        <v>975</v>
      </c>
      <c r="E302" s="92"/>
      <c r="F302" s="145">
        <v>5.75</v>
      </c>
    </row>
    <row r="303" spans="1:6" ht="15" customHeight="1" x14ac:dyDescent="0.3">
      <c r="A303" s="144">
        <v>7189</v>
      </c>
      <c r="B303" s="92"/>
      <c r="C303" s="144" t="s">
        <v>877</v>
      </c>
      <c r="E303" s="92"/>
      <c r="F303" s="145">
        <v>191.44</v>
      </c>
    </row>
    <row r="304" spans="1:6" ht="15" customHeight="1" x14ac:dyDescent="0.3">
      <c r="A304" s="144">
        <v>7418</v>
      </c>
      <c r="B304" s="92"/>
      <c r="C304" s="144" t="s">
        <v>1012</v>
      </c>
      <c r="E304" s="92"/>
      <c r="F304" s="145">
        <v>18.190000000000001</v>
      </c>
    </row>
    <row r="305" spans="1:6" ht="15" customHeight="1" x14ac:dyDescent="0.3">
      <c r="A305" s="144">
        <v>10521</v>
      </c>
      <c r="B305" s="92"/>
      <c r="C305" s="144" t="s">
        <v>813</v>
      </c>
      <c r="E305" s="92"/>
      <c r="F305" s="145">
        <v>32.549999999999997</v>
      </c>
    </row>
    <row r="306" spans="1:6" ht="15" customHeight="1" x14ac:dyDescent="0.3">
      <c r="A306" s="144">
        <v>10996</v>
      </c>
      <c r="B306" s="92"/>
      <c r="C306" s="144" t="s">
        <v>607</v>
      </c>
      <c r="E306" s="92"/>
      <c r="F306" s="145">
        <v>141.26</v>
      </c>
    </row>
    <row r="307" spans="1:6" ht="15" customHeight="1" x14ac:dyDescent="0.3">
      <c r="A307" s="144">
        <v>92321</v>
      </c>
      <c r="B307" s="92"/>
      <c r="C307" s="144" t="s">
        <v>818</v>
      </c>
      <c r="E307" s="92"/>
      <c r="F307" s="145">
        <v>194.61</v>
      </c>
    </row>
    <row r="308" spans="1:6" ht="15" customHeight="1" x14ac:dyDescent="0.3">
      <c r="A308" s="144">
        <v>6128</v>
      </c>
      <c r="B308" s="92"/>
      <c r="C308" s="144" t="s">
        <v>935</v>
      </c>
      <c r="E308" s="92"/>
      <c r="F308" s="145">
        <v>1544</v>
      </c>
    </row>
    <row r="309" spans="1:6" ht="15" customHeight="1" x14ac:dyDescent="0.3">
      <c r="A309" s="144">
        <v>6181</v>
      </c>
      <c r="B309" s="92"/>
      <c r="C309" s="144" t="s">
        <v>988</v>
      </c>
      <c r="E309" s="92"/>
      <c r="F309" s="145">
        <v>69.88</v>
      </c>
    </row>
    <row r="310" spans="1:6" ht="15" customHeight="1" x14ac:dyDescent="0.3">
      <c r="A310" s="144">
        <v>6217</v>
      </c>
      <c r="B310" s="92"/>
      <c r="C310" s="144" t="s">
        <v>1082</v>
      </c>
      <c r="E310" s="92"/>
      <c r="F310" s="145">
        <v>105.3</v>
      </c>
    </row>
    <row r="311" spans="1:6" ht="15" customHeight="1" x14ac:dyDescent="0.3">
      <c r="A311" s="144">
        <v>6240</v>
      </c>
      <c r="B311" s="92"/>
      <c r="C311" s="144" t="s">
        <v>1063</v>
      </c>
      <c r="E311" s="92"/>
      <c r="F311" s="145">
        <v>191.44</v>
      </c>
    </row>
    <row r="312" spans="1:6" ht="15" customHeight="1" x14ac:dyDescent="0.3">
      <c r="A312" s="144">
        <v>6309</v>
      </c>
      <c r="B312" s="92"/>
      <c r="C312" s="144" t="s">
        <v>1088</v>
      </c>
      <c r="E312" s="92"/>
      <c r="F312" s="145">
        <v>95.72</v>
      </c>
    </row>
    <row r="313" spans="1:6" ht="15" customHeight="1" x14ac:dyDescent="0.3">
      <c r="A313" s="144">
        <v>6318</v>
      </c>
      <c r="B313" s="92"/>
      <c r="C313" s="144" t="s">
        <v>767</v>
      </c>
      <c r="E313" s="92"/>
      <c r="F313" s="145">
        <v>95.72</v>
      </c>
    </row>
    <row r="314" spans="1:6" ht="15" customHeight="1" x14ac:dyDescent="0.3">
      <c r="A314" s="144">
        <v>6330</v>
      </c>
      <c r="B314" s="92"/>
      <c r="C314" s="144" t="s">
        <v>728</v>
      </c>
      <c r="E314" s="92"/>
      <c r="F314" s="145">
        <v>2393.06</v>
      </c>
    </row>
    <row r="315" spans="1:6" ht="15" customHeight="1" x14ac:dyDescent="0.3">
      <c r="A315" s="144">
        <v>6335</v>
      </c>
      <c r="B315" s="92"/>
      <c r="C315" s="144" t="s">
        <v>1040</v>
      </c>
      <c r="E315" s="92"/>
      <c r="F315" s="145">
        <v>47.86</v>
      </c>
    </row>
    <row r="316" spans="1:6" ht="15" customHeight="1" x14ac:dyDescent="0.3">
      <c r="A316" s="144">
        <v>6339</v>
      </c>
      <c r="B316" s="92"/>
      <c r="C316" s="144" t="s">
        <v>910</v>
      </c>
      <c r="E316" s="92"/>
      <c r="F316" s="145">
        <v>683.45</v>
      </c>
    </row>
    <row r="317" spans="1:6" ht="15" customHeight="1" x14ac:dyDescent="0.3">
      <c r="A317" s="144">
        <v>6356</v>
      </c>
      <c r="B317" s="92"/>
      <c r="C317" s="144" t="s">
        <v>469</v>
      </c>
      <c r="E317" s="92"/>
      <c r="F317" s="145">
        <v>18.829999999999998</v>
      </c>
    </row>
    <row r="318" spans="1:6" ht="15" customHeight="1" x14ac:dyDescent="0.3">
      <c r="A318" s="144">
        <v>6358</v>
      </c>
      <c r="B318" s="92"/>
      <c r="C318" s="144" t="s">
        <v>1074</v>
      </c>
      <c r="E318" s="92"/>
      <c r="F318" s="145">
        <v>95.72</v>
      </c>
    </row>
    <row r="319" spans="1:6" ht="15" customHeight="1" x14ac:dyDescent="0.3">
      <c r="A319" s="144">
        <v>6376</v>
      </c>
      <c r="B319" s="92"/>
      <c r="C319" s="144" t="s">
        <v>878</v>
      </c>
      <c r="E319" s="92"/>
      <c r="F319" s="145">
        <v>191.44</v>
      </c>
    </row>
    <row r="320" spans="1:6" ht="15" customHeight="1" x14ac:dyDescent="0.3">
      <c r="A320" s="144">
        <v>6397</v>
      </c>
      <c r="B320" s="92"/>
      <c r="C320" s="144" t="s">
        <v>886</v>
      </c>
      <c r="E320" s="92"/>
      <c r="F320" s="145">
        <v>1137.17</v>
      </c>
    </row>
    <row r="321" spans="1:6" ht="15" customHeight="1" x14ac:dyDescent="0.3">
      <c r="A321" s="144">
        <v>6414</v>
      </c>
      <c r="B321" s="92"/>
      <c r="C321" s="144" t="s">
        <v>960</v>
      </c>
      <c r="E321" s="92"/>
      <c r="F321" s="145">
        <v>201.02</v>
      </c>
    </row>
    <row r="322" spans="1:6" ht="15" customHeight="1" x14ac:dyDescent="0.3">
      <c r="A322" s="144">
        <v>6428</v>
      </c>
      <c r="B322" s="92"/>
      <c r="C322" s="144" t="s">
        <v>724</v>
      </c>
      <c r="E322" s="92"/>
      <c r="F322" s="145">
        <v>9.58</v>
      </c>
    </row>
    <row r="323" spans="1:6" ht="15" customHeight="1" x14ac:dyDescent="0.3">
      <c r="A323" s="144">
        <v>6437</v>
      </c>
      <c r="B323" s="92"/>
      <c r="C323" s="144" t="s">
        <v>845</v>
      </c>
      <c r="E323" s="92"/>
      <c r="F323" s="145">
        <v>124.44</v>
      </c>
    </row>
    <row r="324" spans="1:6" ht="15" customHeight="1" x14ac:dyDescent="0.3">
      <c r="A324" s="144">
        <v>6446</v>
      </c>
      <c r="B324" s="92"/>
      <c r="C324" s="144" t="s">
        <v>985</v>
      </c>
      <c r="E324" s="92"/>
      <c r="F324" s="145">
        <v>765.78</v>
      </c>
    </row>
    <row r="325" spans="1:6" ht="15" customHeight="1" x14ac:dyDescent="0.3">
      <c r="A325" s="144">
        <v>6447</v>
      </c>
      <c r="B325" s="92"/>
      <c r="C325" s="144" t="s">
        <v>752</v>
      </c>
      <c r="E325" s="92"/>
      <c r="F325" s="145">
        <v>47.86</v>
      </c>
    </row>
    <row r="326" spans="1:6" ht="15" customHeight="1" x14ac:dyDescent="0.3">
      <c r="A326" s="144">
        <v>6475</v>
      </c>
      <c r="B326" s="92"/>
      <c r="C326" s="144" t="s">
        <v>883</v>
      </c>
      <c r="E326" s="92"/>
      <c r="F326" s="145">
        <v>2680.22</v>
      </c>
    </row>
    <row r="327" spans="1:6" ht="15" customHeight="1" x14ac:dyDescent="0.3">
      <c r="A327" s="144">
        <v>6500</v>
      </c>
      <c r="B327" s="92"/>
      <c r="C327" s="144" t="s">
        <v>820</v>
      </c>
      <c r="E327" s="92"/>
      <c r="F327" s="145">
        <v>957.22</v>
      </c>
    </row>
    <row r="328" spans="1:6" ht="15" customHeight="1" x14ac:dyDescent="0.3">
      <c r="A328" s="144">
        <v>6503</v>
      </c>
      <c r="B328" s="92"/>
      <c r="C328" s="144" t="s">
        <v>1105</v>
      </c>
      <c r="E328" s="92"/>
      <c r="F328" s="145">
        <v>47.86</v>
      </c>
    </row>
    <row r="329" spans="1:6" ht="15" customHeight="1" x14ac:dyDescent="0.3">
      <c r="A329" s="144">
        <v>6519</v>
      </c>
      <c r="B329" s="92"/>
      <c r="C329" s="144" t="s">
        <v>942</v>
      </c>
      <c r="E329" s="92"/>
      <c r="F329" s="145">
        <v>66.06</v>
      </c>
    </row>
    <row r="330" spans="1:6" ht="15" customHeight="1" x14ac:dyDescent="0.3">
      <c r="A330" s="144">
        <v>6520</v>
      </c>
      <c r="B330" s="92"/>
      <c r="C330" s="144" t="s">
        <v>849</v>
      </c>
      <c r="E330" s="92"/>
      <c r="F330" s="145">
        <v>164.64</v>
      </c>
    </row>
    <row r="331" spans="1:6" ht="15" customHeight="1" x14ac:dyDescent="0.3">
      <c r="A331" s="144">
        <v>6580</v>
      </c>
      <c r="B331" s="92"/>
      <c r="C331" s="144" t="s">
        <v>1006</v>
      </c>
      <c r="E331" s="92"/>
      <c r="F331" s="145">
        <v>478.61</v>
      </c>
    </row>
    <row r="332" spans="1:6" ht="15" customHeight="1" x14ac:dyDescent="0.3">
      <c r="A332" s="144">
        <v>6609</v>
      </c>
      <c r="B332" s="92"/>
      <c r="C332" s="144" t="s">
        <v>902</v>
      </c>
      <c r="E332" s="92"/>
      <c r="F332" s="145">
        <v>19.149999999999999</v>
      </c>
    </row>
    <row r="333" spans="1:6" ht="15" customHeight="1" x14ac:dyDescent="0.3">
      <c r="A333" s="144">
        <v>6633</v>
      </c>
      <c r="B333" s="92"/>
      <c r="C333" s="144" t="s">
        <v>797</v>
      </c>
      <c r="E333" s="92"/>
      <c r="F333" s="145">
        <v>2201.61</v>
      </c>
    </row>
    <row r="334" spans="1:6" ht="15" customHeight="1" x14ac:dyDescent="0.3">
      <c r="A334" s="144">
        <v>6657</v>
      </c>
      <c r="B334" s="92"/>
      <c r="C334" s="144" t="s">
        <v>862</v>
      </c>
      <c r="E334" s="92"/>
      <c r="F334" s="145">
        <v>287.17</v>
      </c>
    </row>
    <row r="335" spans="1:6" ht="15" customHeight="1" x14ac:dyDescent="0.3">
      <c r="A335" s="144">
        <v>6687</v>
      </c>
      <c r="B335" s="92"/>
      <c r="C335" s="144" t="s">
        <v>591</v>
      </c>
      <c r="E335" s="92"/>
      <c r="F335" s="145">
        <v>226.01</v>
      </c>
    </row>
    <row r="336" spans="1:6" ht="15" customHeight="1" x14ac:dyDescent="0.3">
      <c r="A336" s="144">
        <v>6700</v>
      </c>
      <c r="B336" s="92"/>
      <c r="C336" s="144" t="s">
        <v>524</v>
      </c>
      <c r="E336" s="92"/>
      <c r="F336" s="145">
        <v>891.46</v>
      </c>
    </row>
    <row r="337" spans="1:6" ht="15" customHeight="1" x14ac:dyDescent="0.3">
      <c r="A337" s="144">
        <v>6701</v>
      </c>
      <c r="B337" s="92"/>
      <c r="C337" s="144" t="s">
        <v>525</v>
      </c>
      <c r="E337" s="92"/>
      <c r="F337" s="145">
        <v>891.46</v>
      </c>
    </row>
    <row r="338" spans="1:6" ht="15" customHeight="1" x14ac:dyDescent="0.3">
      <c r="A338" s="144">
        <v>6705</v>
      </c>
      <c r="B338" s="92"/>
      <c r="C338" s="144" t="s">
        <v>532</v>
      </c>
      <c r="E338" s="92"/>
      <c r="F338" s="145">
        <v>627.79</v>
      </c>
    </row>
    <row r="339" spans="1:6" ht="15" customHeight="1" x14ac:dyDescent="0.3">
      <c r="A339" s="144">
        <v>6716</v>
      </c>
      <c r="B339" s="92"/>
      <c r="C339" s="144" t="s">
        <v>535</v>
      </c>
      <c r="E339" s="92"/>
      <c r="F339" s="145">
        <v>125.55</v>
      </c>
    </row>
    <row r="340" spans="1:6" ht="15" customHeight="1" x14ac:dyDescent="0.3">
      <c r="A340" s="144">
        <v>6744</v>
      </c>
      <c r="B340" s="92"/>
      <c r="C340" s="144" t="s">
        <v>571</v>
      </c>
      <c r="E340" s="92"/>
      <c r="F340" s="145">
        <v>408.07</v>
      </c>
    </row>
    <row r="341" spans="1:6" ht="15" customHeight="1" x14ac:dyDescent="0.3">
      <c r="A341" s="144">
        <v>6751</v>
      </c>
      <c r="B341" s="92"/>
      <c r="C341" s="144" t="s">
        <v>577</v>
      </c>
      <c r="E341" s="92"/>
      <c r="F341" s="145">
        <v>1883.37</v>
      </c>
    </row>
    <row r="342" spans="1:6" ht="15" customHeight="1" x14ac:dyDescent="0.3">
      <c r="A342" s="144">
        <v>6759</v>
      </c>
      <c r="B342" s="92"/>
      <c r="C342" s="144" t="s">
        <v>583</v>
      </c>
      <c r="E342" s="92"/>
      <c r="F342" s="145">
        <v>1883.37</v>
      </c>
    </row>
    <row r="343" spans="1:6" ht="15" customHeight="1" x14ac:dyDescent="0.3">
      <c r="A343" s="144">
        <v>6777</v>
      </c>
      <c r="B343" s="92"/>
      <c r="C343" s="144" t="s">
        <v>477</v>
      </c>
      <c r="E343" s="92"/>
      <c r="F343" s="145">
        <v>156.94999999999999</v>
      </c>
    </row>
    <row r="344" spans="1:6" ht="15" customHeight="1" x14ac:dyDescent="0.3">
      <c r="A344" s="144">
        <v>6778</v>
      </c>
      <c r="B344" s="92"/>
      <c r="C344" s="144" t="s">
        <v>472</v>
      </c>
      <c r="E344" s="92"/>
      <c r="F344" s="145">
        <v>627.79</v>
      </c>
    </row>
    <row r="345" spans="1:6" ht="15" customHeight="1" x14ac:dyDescent="0.3">
      <c r="A345" s="144">
        <v>6786</v>
      </c>
      <c r="B345" s="92"/>
      <c r="C345" s="144" t="s">
        <v>482</v>
      </c>
      <c r="E345" s="92"/>
      <c r="F345" s="145">
        <v>166.36</v>
      </c>
    </row>
    <row r="346" spans="1:6" ht="15" customHeight="1" x14ac:dyDescent="0.3">
      <c r="A346" s="144">
        <v>6794</v>
      </c>
      <c r="B346" s="92"/>
      <c r="C346" s="144" t="s">
        <v>490</v>
      </c>
      <c r="E346" s="92"/>
      <c r="F346" s="145">
        <v>100.45</v>
      </c>
    </row>
    <row r="347" spans="1:6" ht="15" customHeight="1" x14ac:dyDescent="0.3">
      <c r="A347" s="144">
        <v>6816</v>
      </c>
      <c r="B347" s="92"/>
      <c r="C347" s="144" t="s">
        <v>618</v>
      </c>
      <c r="E347" s="92"/>
      <c r="F347" s="145">
        <v>941.68</v>
      </c>
    </row>
    <row r="348" spans="1:6" ht="15" customHeight="1" x14ac:dyDescent="0.3">
      <c r="A348" s="144">
        <v>6817</v>
      </c>
      <c r="B348" s="92"/>
      <c r="C348" s="144" t="s">
        <v>622</v>
      </c>
      <c r="E348" s="92"/>
      <c r="F348" s="145">
        <v>188.33</v>
      </c>
    </row>
    <row r="349" spans="1:6" ht="15" customHeight="1" x14ac:dyDescent="0.3">
      <c r="A349" s="144">
        <v>6820</v>
      </c>
      <c r="B349" s="92"/>
      <c r="C349" s="144" t="s">
        <v>608</v>
      </c>
      <c r="E349" s="92"/>
      <c r="F349" s="145">
        <v>313.89</v>
      </c>
    </row>
    <row r="350" spans="1:6" ht="15" customHeight="1" x14ac:dyDescent="0.3">
      <c r="A350" s="144">
        <v>6831</v>
      </c>
      <c r="B350" s="92"/>
      <c r="C350" s="144" t="s">
        <v>603</v>
      </c>
      <c r="E350" s="92"/>
      <c r="F350" s="145">
        <v>624.66</v>
      </c>
    </row>
    <row r="351" spans="1:6" ht="15" customHeight="1" x14ac:dyDescent="0.3">
      <c r="A351" s="144">
        <v>6832</v>
      </c>
      <c r="B351" s="92"/>
      <c r="C351" s="144" t="s">
        <v>604</v>
      </c>
      <c r="E351" s="92"/>
      <c r="F351" s="145">
        <v>166.36</v>
      </c>
    </row>
    <row r="352" spans="1:6" ht="15" customHeight="1" x14ac:dyDescent="0.3">
      <c r="A352" s="144">
        <v>6843</v>
      </c>
      <c r="B352" s="92"/>
      <c r="C352" s="144" t="s">
        <v>549</v>
      </c>
      <c r="E352" s="92"/>
      <c r="F352" s="145">
        <v>502.23</v>
      </c>
    </row>
    <row r="353" spans="1:6" ht="15" customHeight="1" x14ac:dyDescent="0.3">
      <c r="A353" s="144">
        <v>6850</v>
      </c>
      <c r="B353" s="92"/>
      <c r="C353" s="144" t="s">
        <v>561</v>
      </c>
      <c r="E353" s="92"/>
      <c r="F353" s="145">
        <v>4394.54</v>
      </c>
    </row>
    <row r="354" spans="1:6" ht="15" customHeight="1" x14ac:dyDescent="0.3">
      <c r="A354" s="144">
        <v>6951</v>
      </c>
      <c r="B354" s="92"/>
      <c r="C354" s="144" t="s">
        <v>891</v>
      </c>
      <c r="E354" s="92"/>
      <c r="F354" s="145">
        <v>5012.97</v>
      </c>
    </row>
    <row r="355" spans="1:6" ht="15" customHeight="1" x14ac:dyDescent="0.3">
      <c r="A355" s="144">
        <v>7029</v>
      </c>
      <c r="B355" s="92"/>
      <c r="C355" s="144" t="s">
        <v>881</v>
      </c>
      <c r="E355" s="92"/>
      <c r="F355" s="145">
        <v>72.75</v>
      </c>
    </row>
    <row r="356" spans="1:6" ht="15" customHeight="1" x14ac:dyDescent="0.3">
      <c r="A356" s="144">
        <v>7038</v>
      </c>
      <c r="B356" s="92"/>
      <c r="C356" s="144" t="s">
        <v>959</v>
      </c>
      <c r="E356" s="92"/>
      <c r="F356" s="145">
        <v>124.44</v>
      </c>
    </row>
    <row r="357" spans="1:6" ht="15" customHeight="1" x14ac:dyDescent="0.3">
      <c r="A357" s="144">
        <v>7198</v>
      </c>
      <c r="B357" s="92"/>
      <c r="C357" s="144" t="s">
        <v>860</v>
      </c>
      <c r="E357" s="92"/>
      <c r="F357" s="145">
        <v>18.190000000000001</v>
      </c>
    </row>
    <row r="358" spans="1:6" ht="15" customHeight="1" x14ac:dyDescent="0.3">
      <c r="A358" s="144">
        <v>7395</v>
      </c>
      <c r="B358" s="92"/>
      <c r="C358" s="144" t="s">
        <v>914</v>
      </c>
      <c r="E358" s="92"/>
      <c r="F358" s="145">
        <v>716</v>
      </c>
    </row>
    <row r="359" spans="1:6" ht="15" customHeight="1" x14ac:dyDescent="0.3">
      <c r="A359" s="144">
        <v>7426</v>
      </c>
      <c r="B359" s="92"/>
      <c r="C359" s="144" t="s">
        <v>1053</v>
      </c>
      <c r="E359" s="92"/>
      <c r="F359" s="145">
        <v>286.20999999999998</v>
      </c>
    </row>
    <row r="360" spans="1:6" ht="15" customHeight="1" x14ac:dyDescent="0.3">
      <c r="A360" s="144">
        <v>91023</v>
      </c>
      <c r="B360" s="92"/>
      <c r="C360" s="144" t="s">
        <v>1107</v>
      </c>
      <c r="E360" s="92"/>
      <c r="F360" s="145">
        <v>10.53</v>
      </c>
    </row>
    <row r="361" spans="1:6" ht="15" customHeight="1" x14ac:dyDescent="0.3">
      <c r="A361" s="144">
        <v>92329</v>
      </c>
      <c r="B361" s="92"/>
      <c r="C361" s="144" t="s">
        <v>855</v>
      </c>
      <c r="E361" s="92"/>
      <c r="F361" s="145">
        <v>408.07</v>
      </c>
    </row>
    <row r="362" spans="1:6" ht="15" customHeight="1" x14ac:dyDescent="0.3">
      <c r="A362" s="144">
        <v>92320</v>
      </c>
      <c r="B362" s="92"/>
      <c r="C362" s="144" t="s">
        <v>1049</v>
      </c>
      <c r="E362" s="92"/>
      <c r="F362" s="145">
        <v>14.36</v>
      </c>
    </row>
    <row r="363" spans="1:6" ht="15" customHeight="1" x14ac:dyDescent="0.3">
      <c r="A363" s="144">
        <v>6072</v>
      </c>
      <c r="B363" s="92"/>
      <c r="C363" s="144" t="s">
        <v>693</v>
      </c>
      <c r="E363" s="92"/>
      <c r="F363" s="145">
        <v>95.72</v>
      </c>
    </row>
    <row r="364" spans="1:6" ht="15" customHeight="1" x14ac:dyDescent="0.3">
      <c r="A364" s="144">
        <v>6170</v>
      </c>
      <c r="B364" s="92"/>
      <c r="C364" s="144" t="s">
        <v>805</v>
      </c>
      <c r="E364" s="92"/>
      <c r="F364" s="145">
        <v>47.86</v>
      </c>
    </row>
    <row r="365" spans="1:6" ht="15" customHeight="1" x14ac:dyDescent="0.3">
      <c r="A365" s="144">
        <v>6223</v>
      </c>
      <c r="B365" s="92"/>
      <c r="C365" s="144" t="s">
        <v>1039</v>
      </c>
      <c r="E365" s="92"/>
      <c r="F365" s="145">
        <v>9.58</v>
      </c>
    </row>
    <row r="366" spans="1:6" ht="15" customHeight="1" x14ac:dyDescent="0.3">
      <c r="A366" s="144">
        <v>6234</v>
      </c>
      <c r="B366" s="92"/>
      <c r="C366" s="144" t="s">
        <v>888</v>
      </c>
      <c r="E366" s="92"/>
      <c r="F366" s="145">
        <v>19.14</v>
      </c>
    </row>
    <row r="367" spans="1:6" ht="15" customHeight="1" x14ac:dyDescent="0.3">
      <c r="A367" s="144">
        <v>6241</v>
      </c>
      <c r="B367" s="92"/>
      <c r="C367" s="144" t="s">
        <v>1035</v>
      </c>
      <c r="E367" s="92"/>
      <c r="F367" s="145">
        <v>47.86</v>
      </c>
    </row>
    <row r="368" spans="1:6" ht="15" customHeight="1" x14ac:dyDescent="0.3">
      <c r="A368" s="144">
        <v>6299</v>
      </c>
      <c r="B368" s="92"/>
      <c r="C368" s="144" t="s">
        <v>882</v>
      </c>
      <c r="E368" s="92"/>
      <c r="F368" s="145">
        <v>86.15</v>
      </c>
    </row>
    <row r="369" spans="1:6" ht="15" customHeight="1" x14ac:dyDescent="0.3">
      <c r="A369" s="144">
        <v>6311</v>
      </c>
      <c r="B369" s="92"/>
      <c r="C369" s="144" t="s">
        <v>745</v>
      </c>
      <c r="E369" s="92"/>
      <c r="F369" s="145">
        <v>47.86</v>
      </c>
    </row>
    <row r="370" spans="1:6" ht="15" customHeight="1" x14ac:dyDescent="0.3">
      <c r="A370" s="144">
        <v>6319</v>
      </c>
      <c r="B370" s="92"/>
      <c r="C370" s="144" t="s">
        <v>749</v>
      </c>
      <c r="E370" s="92"/>
      <c r="F370" s="145">
        <v>57.44</v>
      </c>
    </row>
    <row r="371" spans="1:6" ht="15" customHeight="1" x14ac:dyDescent="0.3">
      <c r="A371" s="144">
        <v>6329</v>
      </c>
      <c r="B371" s="92"/>
      <c r="C371" s="144" t="s">
        <v>1018</v>
      </c>
      <c r="E371" s="92"/>
      <c r="F371" s="145">
        <v>2105.89</v>
      </c>
    </row>
    <row r="372" spans="1:6" ht="15" customHeight="1" x14ac:dyDescent="0.3">
      <c r="A372" s="144">
        <v>6349</v>
      </c>
      <c r="B372" s="92"/>
      <c r="C372" s="144" t="s">
        <v>792</v>
      </c>
      <c r="E372" s="92"/>
      <c r="F372" s="145">
        <v>287.17</v>
      </c>
    </row>
    <row r="373" spans="1:6" ht="15" customHeight="1" x14ac:dyDescent="0.3">
      <c r="A373" s="144">
        <v>6361</v>
      </c>
      <c r="B373" s="92"/>
      <c r="C373" s="144" t="s">
        <v>872</v>
      </c>
      <c r="E373" s="92"/>
      <c r="F373" s="145">
        <v>287.17</v>
      </c>
    </row>
    <row r="374" spans="1:6" ht="15" customHeight="1" x14ac:dyDescent="0.3">
      <c r="A374" s="144">
        <v>6370</v>
      </c>
      <c r="B374" s="92"/>
      <c r="C374" s="144" t="s">
        <v>794</v>
      </c>
      <c r="E374" s="92"/>
      <c r="F374" s="145">
        <v>47.86</v>
      </c>
    </row>
    <row r="375" spans="1:6" ht="15" customHeight="1" x14ac:dyDescent="0.3">
      <c r="A375" s="144">
        <v>6371</v>
      </c>
      <c r="B375" s="92"/>
      <c r="C375" s="144" t="s">
        <v>1069</v>
      </c>
      <c r="E375" s="92"/>
      <c r="F375" s="145">
        <v>47.86</v>
      </c>
    </row>
    <row r="376" spans="1:6" ht="15" customHeight="1" x14ac:dyDescent="0.3">
      <c r="A376" s="144">
        <v>6372</v>
      </c>
      <c r="B376" s="92"/>
      <c r="C376" s="144" t="s">
        <v>973</v>
      </c>
      <c r="E376" s="92"/>
      <c r="F376" s="145">
        <v>47.86</v>
      </c>
    </row>
    <row r="377" spans="1:6" ht="15" customHeight="1" x14ac:dyDescent="0.3">
      <c r="A377" s="144">
        <v>6410</v>
      </c>
      <c r="B377" s="92"/>
      <c r="C377" s="144" t="s">
        <v>815</v>
      </c>
      <c r="E377" s="92"/>
      <c r="F377" s="145">
        <v>191.44</v>
      </c>
    </row>
    <row r="378" spans="1:6" ht="15" customHeight="1" x14ac:dyDescent="0.3">
      <c r="A378" s="144">
        <v>6439</v>
      </c>
      <c r="B378" s="92"/>
      <c r="C378" s="144" t="s">
        <v>989</v>
      </c>
      <c r="E378" s="92"/>
      <c r="F378" s="145">
        <v>19.14</v>
      </c>
    </row>
    <row r="379" spans="1:6" ht="15" customHeight="1" x14ac:dyDescent="0.3">
      <c r="A379" s="144">
        <v>6440</v>
      </c>
      <c r="B379" s="92"/>
      <c r="C379" s="144" t="s">
        <v>755</v>
      </c>
      <c r="E379" s="92"/>
      <c r="F379" s="145">
        <v>9.58</v>
      </c>
    </row>
    <row r="380" spans="1:6" ht="15" customHeight="1" x14ac:dyDescent="0.3">
      <c r="A380" s="144">
        <v>6452</v>
      </c>
      <c r="B380" s="92"/>
      <c r="C380" s="144" t="s">
        <v>1103</v>
      </c>
      <c r="E380" s="92"/>
      <c r="F380" s="145">
        <v>9.58</v>
      </c>
    </row>
    <row r="381" spans="1:6" ht="15" customHeight="1" x14ac:dyDescent="0.3">
      <c r="A381" s="144">
        <v>6461</v>
      </c>
      <c r="B381" s="92"/>
      <c r="C381" s="144" t="s">
        <v>948</v>
      </c>
      <c r="E381" s="92"/>
      <c r="F381" s="145">
        <v>191.44</v>
      </c>
    </row>
    <row r="382" spans="1:6" ht="15" customHeight="1" x14ac:dyDescent="0.3">
      <c r="A382" s="144">
        <v>6477</v>
      </c>
      <c r="B382" s="92"/>
      <c r="C382" s="144" t="s">
        <v>947</v>
      </c>
      <c r="E382" s="92"/>
      <c r="F382" s="145">
        <v>153.16</v>
      </c>
    </row>
    <row r="383" spans="1:6" ht="15" customHeight="1" x14ac:dyDescent="0.3">
      <c r="A383" s="144">
        <v>6484</v>
      </c>
      <c r="B383" s="92"/>
      <c r="C383" s="144" t="s">
        <v>762</v>
      </c>
      <c r="E383" s="92"/>
      <c r="F383" s="145">
        <v>47.86</v>
      </c>
    </row>
    <row r="384" spans="1:6" ht="15" customHeight="1" x14ac:dyDescent="0.3">
      <c r="A384" s="144">
        <v>6486</v>
      </c>
      <c r="B384" s="92"/>
      <c r="C384" s="144" t="s">
        <v>759</v>
      </c>
      <c r="E384" s="92"/>
      <c r="F384" s="145">
        <v>153.16</v>
      </c>
    </row>
    <row r="385" spans="1:6" ht="15" customHeight="1" x14ac:dyDescent="0.3">
      <c r="A385" s="144">
        <v>6511</v>
      </c>
      <c r="B385" s="92"/>
      <c r="C385" s="144" t="s">
        <v>993</v>
      </c>
      <c r="E385" s="92"/>
      <c r="F385" s="145">
        <v>167.52</v>
      </c>
    </row>
    <row r="386" spans="1:6" ht="15" customHeight="1" x14ac:dyDescent="0.3">
      <c r="A386" s="144">
        <v>6577</v>
      </c>
      <c r="B386" s="92"/>
      <c r="C386" s="144" t="s">
        <v>1086</v>
      </c>
      <c r="E386" s="92"/>
      <c r="F386" s="145">
        <v>478.61</v>
      </c>
    </row>
    <row r="387" spans="1:6" ht="15" customHeight="1" x14ac:dyDescent="0.3">
      <c r="A387" s="144">
        <v>6598</v>
      </c>
      <c r="B387" s="92"/>
      <c r="C387" s="144" t="s">
        <v>807</v>
      </c>
      <c r="E387" s="92"/>
      <c r="F387" s="145">
        <v>162.72</v>
      </c>
    </row>
    <row r="388" spans="1:6" ht="15" customHeight="1" x14ac:dyDescent="0.3">
      <c r="A388" s="144">
        <v>6614</v>
      </c>
      <c r="B388" s="92"/>
      <c r="C388" s="144" t="s">
        <v>751</v>
      </c>
      <c r="E388" s="92"/>
      <c r="F388" s="145">
        <v>191.44</v>
      </c>
    </row>
    <row r="389" spans="1:6" ht="15" customHeight="1" x14ac:dyDescent="0.3">
      <c r="A389" s="144">
        <v>6628</v>
      </c>
      <c r="B389" s="92"/>
      <c r="C389" s="144" t="s">
        <v>821</v>
      </c>
      <c r="E389" s="92"/>
      <c r="F389" s="145">
        <v>28.72</v>
      </c>
    </row>
    <row r="390" spans="1:6" ht="15" customHeight="1" x14ac:dyDescent="0.3">
      <c r="A390" s="144">
        <v>6634</v>
      </c>
      <c r="B390" s="92"/>
      <c r="C390" s="144" t="s">
        <v>785</v>
      </c>
      <c r="E390" s="92"/>
      <c r="F390" s="145">
        <v>95.72</v>
      </c>
    </row>
    <row r="391" spans="1:6" ht="15" customHeight="1" x14ac:dyDescent="0.3">
      <c r="A391" s="144">
        <v>6677</v>
      </c>
      <c r="B391" s="92"/>
      <c r="C391" s="144" t="s">
        <v>503</v>
      </c>
      <c r="E391" s="92"/>
      <c r="F391" s="145">
        <v>188.34</v>
      </c>
    </row>
    <row r="392" spans="1:6" ht="15" customHeight="1" x14ac:dyDescent="0.3">
      <c r="A392" s="144">
        <v>6694</v>
      </c>
      <c r="B392" s="92"/>
      <c r="C392" s="144" t="s">
        <v>542</v>
      </c>
      <c r="E392" s="92"/>
      <c r="F392" s="145">
        <v>109.87</v>
      </c>
    </row>
    <row r="393" spans="1:6" ht="15" customHeight="1" x14ac:dyDescent="0.3">
      <c r="A393" s="144">
        <v>6698</v>
      </c>
      <c r="B393" s="92"/>
      <c r="C393" s="144" t="s">
        <v>520</v>
      </c>
      <c r="E393" s="92"/>
      <c r="F393" s="145">
        <v>354.71</v>
      </c>
    </row>
    <row r="394" spans="1:6" ht="15" customHeight="1" x14ac:dyDescent="0.3">
      <c r="A394" s="144">
        <v>6702</v>
      </c>
      <c r="B394" s="92"/>
      <c r="C394" s="144" t="s">
        <v>529</v>
      </c>
      <c r="E394" s="92"/>
      <c r="F394" s="145">
        <v>251.12</v>
      </c>
    </row>
    <row r="395" spans="1:6" ht="15" customHeight="1" x14ac:dyDescent="0.3">
      <c r="A395" s="144">
        <v>6706</v>
      </c>
      <c r="B395" s="92"/>
      <c r="C395" s="144" t="s">
        <v>526</v>
      </c>
      <c r="E395" s="92"/>
      <c r="F395" s="145">
        <v>662.32</v>
      </c>
    </row>
    <row r="396" spans="1:6" ht="15" customHeight="1" x14ac:dyDescent="0.3">
      <c r="A396" s="144">
        <v>6715</v>
      </c>
      <c r="B396" s="92"/>
      <c r="C396" s="144" t="s">
        <v>533</v>
      </c>
      <c r="E396" s="92"/>
      <c r="F396" s="145">
        <v>125.55</v>
      </c>
    </row>
    <row r="397" spans="1:6" ht="15" customHeight="1" x14ac:dyDescent="0.3">
      <c r="A397" s="144">
        <v>6717</v>
      </c>
      <c r="B397" s="92"/>
      <c r="C397" s="144" t="s">
        <v>536</v>
      </c>
      <c r="E397" s="92"/>
      <c r="F397" s="145">
        <v>113</v>
      </c>
    </row>
    <row r="398" spans="1:6" ht="15" customHeight="1" x14ac:dyDescent="0.3">
      <c r="A398" s="144">
        <v>6737</v>
      </c>
      <c r="B398" s="92"/>
      <c r="C398" s="144" t="s">
        <v>600</v>
      </c>
      <c r="E398" s="92"/>
      <c r="F398" s="145">
        <v>31.39</v>
      </c>
    </row>
    <row r="399" spans="1:6" ht="15" customHeight="1" x14ac:dyDescent="0.3">
      <c r="A399" s="144">
        <v>6738</v>
      </c>
      <c r="B399" s="92"/>
      <c r="C399" s="144" t="s">
        <v>564</v>
      </c>
      <c r="E399" s="92"/>
      <c r="F399" s="145">
        <v>502.23</v>
      </c>
    </row>
    <row r="400" spans="1:6" ht="15" customHeight="1" x14ac:dyDescent="0.3">
      <c r="A400" s="144">
        <v>6742</v>
      </c>
      <c r="B400" s="92"/>
      <c r="C400" s="144" t="s">
        <v>572</v>
      </c>
      <c r="E400" s="92"/>
      <c r="F400" s="145">
        <v>408.07</v>
      </c>
    </row>
    <row r="401" spans="1:6" ht="15" customHeight="1" x14ac:dyDescent="0.3">
      <c r="A401" s="144">
        <v>6754</v>
      </c>
      <c r="B401" s="92"/>
      <c r="C401" s="144" t="s">
        <v>580</v>
      </c>
      <c r="E401" s="92"/>
      <c r="F401" s="145">
        <v>3138.96</v>
      </c>
    </row>
    <row r="402" spans="1:6" ht="15" customHeight="1" x14ac:dyDescent="0.3">
      <c r="A402" s="144">
        <v>6760</v>
      </c>
      <c r="B402" s="92"/>
      <c r="C402" s="144" t="s">
        <v>585</v>
      </c>
      <c r="E402" s="92"/>
      <c r="F402" s="145">
        <v>502.24</v>
      </c>
    </row>
    <row r="403" spans="1:6" ht="15" customHeight="1" x14ac:dyDescent="0.3">
      <c r="A403" s="144">
        <v>6772</v>
      </c>
      <c r="B403" s="92"/>
      <c r="C403" s="144" t="s">
        <v>467</v>
      </c>
      <c r="E403" s="92"/>
      <c r="F403" s="145">
        <v>313.89999999999998</v>
      </c>
    </row>
    <row r="404" spans="1:6" ht="15" customHeight="1" x14ac:dyDescent="0.3">
      <c r="A404" s="144">
        <v>6776</v>
      </c>
      <c r="B404" s="92"/>
      <c r="C404" s="144" t="s">
        <v>471</v>
      </c>
      <c r="E404" s="92"/>
      <c r="F404" s="145">
        <v>156.94999999999999</v>
      </c>
    </row>
    <row r="405" spans="1:6" ht="15" customHeight="1" x14ac:dyDescent="0.3">
      <c r="A405" s="144">
        <v>6791</v>
      </c>
      <c r="B405" s="92"/>
      <c r="C405" s="144" t="s">
        <v>480</v>
      </c>
      <c r="E405" s="92"/>
      <c r="F405" s="145">
        <v>357.84</v>
      </c>
    </row>
    <row r="406" spans="1:6" ht="15" customHeight="1" x14ac:dyDescent="0.3">
      <c r="A406" s="144">
        <v>6808</v>
      </c>
      <c r="B406" s="92"/>
      <c r="C406" s="144" t="s">
        <v>611</v>
      </c>
      <c r="E406" s="92"/>
      <c r="F406" s="145">
        <v>188.33</v>
      </c>
    </row>
    <row r="407" spans="1:6" ht="15" customHeight="1" x14ac:dyDescent="0.3">
      <c r="A407" s="144">
        <v>6811</v>
      </c>
      <c r="B407" s="92"/>
      <c r="C407" s="144" t="s">
        <v>617</v>
      </c>
      <c r="E407" s="92"/>
      <c r="F407" s="145">
        <v>470.84</v>
      </c>
    </row>
    <row r="408" spans="1:6" ht="15" customHeight="1" x14ac:dyDescent="0.3">
      <c r="A408" s="144">
        <v>6814</v>
      </c>
      <c r="B408" s="92"/>
      <c r="C408" s="144" t="s">
        <v>615</v>
      </c>
      <c r="E408" s="92"/>
      <c r="F408" s="145">
        <v>266.81</v>
      </c>
    </row>
    <row r="409" spans="1:6" ht="15" customHeight="1" x14ac:dyDescent="0.3">
      <c r="A409" s="144">
        <v>6825</v>
      </c>
      <c r="B409" s="92"/>
      <c r="C409" s="144" t="s">
        <v>629</v>
      </c>
      <c r="E409" s="92"/>
      <c r="F409" s="146">
        <v>448.87</v>
      </c>
    </row>
    <row r="410" spans="1:6" ht="15" customHeight="1" x14ac:dyDescent="0.3">
      <c r="A410" s="144">
        <v>6827</v>
      </c>
      <c r="B410" s="92"/>
      <c r="C410" s="144" t="s">
        <v>627</v>
      </c>
      <c r="E410" s="92"/>
      <c r="F410" s="145">
        <v>166.37</v>
      </c>
    </row>
    <row r="411" spans="1:6" ht="15" customHeight="1" x14ac:dyDescent="0.3">
      <c r="A411" s="144">
        <v>6828</v>
      </c>
      <c r="B411" s="92"/>
      <c r="C411" s="144" t="s">
        <v>631</v>
      </c>
      <c r="E411" s="92"/>
      <c r="F411" s="145">
        <v>150.66</v>
      </c>
    </row>
    <row r="412" spans="1:6" ht="15" customHeight="1" x14ac:dyDescent="0.3">
      <c r="A412" s="144">
        <v>6833</v>
      </c>
      <c r="B412" s="92"/>
      <c r="C412" s="144" t="s">
        <v>605</v>
      </c>
      <c r="E412" s="92"/>
      <c r="F412" s="145">
        <v>546.17999999999995</v>
      </c>
    </row>
    <row r="413" spans="1:6" ht="15" customHeight="1" x14ac:dyDescent="0.3">
      <c r="A413" s="144">
        <v>6844</v>
      </c>
      <c r="B413" s="92"/>
      <c r="C413" s="144" t="s">
        <v>553</v>
      </c>
      <c r="E413" s="92"/>
      <c r="F413" s="145">
        <v>408.07</v>
      </c>
    </row>
    <row r="414" spans="1:6" ht="15" customHeight="1" x14ac:dyDescent="0.3">
      <c r="A414" s="144">
        <v>6848</v>
      </c>
      <c r="B414" s="92"/>
      <c r="C414" s="144" t="s">
        <v>558</v>
      </c>
      <c r="E414" s="92"/>
      <c r="F414" s="145">
        <v>408.07</v>
      </c>
    </row>
    <row r="415" spans="1:6" ht="15" customHeight="1" x14ac:dyDescent="0.3">
      <c r="A415" s="144">
        <v>6855</v>
      </c>
      <c r="B415" s="92"/>
      <c r="C415" s="144" t="s">
        <v>551</v>
      </c>
      <c r="E415" s="92"/>
      <c r="F415" s="145">
        <v>533.62</v>
      </c>
    </row>
    <row r="416" spans="1:6" ht="15" customHeight="1" x14ac:dyDescent="0.3">
      <c r="A416" s="144">
        <v>6861</v>
      </c>
      <c r="B416" s="92"/>
      <c r="C416" s="144" t="s">
        <v>612</v>
      </c>
      <c r="E416" s="92"/>
      <c r="F416" s="145">
        <v>141.26</v>
      </c>
    </row>
    <row r="417" spans="1:6" ht="15" customHeight="1" x14ac:dyDescent="0.3">
      <c r="A417" s="144">
        <v>6923</v>
      </c>
      <c r="B417" s="92"/>
      <c r="C417" s="144" t="s">
        <v>1099</v>
      </c>
      <c r="E417" s="92"/>
      <c r="F417" s="145">
        <v>201.03</v>
      </c>
    </row>
    <row r="418" spans="1:6" ht="15" customHeight="1" x14ac:dyDescent="0.3">
      <c r="A418" s="144">
        <v>6955</v>
      </c>
      <c r="B418" s="92"/>
      <c r="C418" s="144" t="s">
        <v>734</v>
      </c>
      <c r="E418" s="92"/>
      <c r="F418" s="145">
        <v>52.64</v>
      </c>
    </row>
    <row r="419" spans="1:6" ht="15" customHeight="1" x14ac:dyDescent="0.3">
      <c r="A419" s="144">
        <v>6972</v>
      </c>
      <c r="B419" s="92"/>
      <c r="C419" s="144" t="s">
        <v>832</v>
      </c>
      <c r="E419" s="92"/>
      <c r="F419" s="145">
        <v>191.44</v>
      </c>
    </row>
    <row r="420" spans="1:6" ht="15" customHeight="1" x14ac:dyDescent="0.3">
      <c r="A420" s="144">
        <v>7043</v>
      </c>
      <c r="B420" s="92"/>
      <c r="C420" s="144" t="s">
        <v>1011</v>
      </c>
      <c r="E420" s="92"/>
      <c r="F420" s="145">
        <v>28.72</v>
      </c>
    </row>
    <row r="421" spans="1:6" ht="15" customHeight="1" x14ac:dyDescent="0.3">
      <c r="A421" s="144">
        <v>7049</v>
      </c>
      <c r="B421" s="92"/>
      <c r="C421" s="144" t="s">
        <v>955</v>
      </c>
      <c r="E421" s="92"/>
      <c r="F421" s="145">
        <v>47.86</v>
      </c>
    </row>
    <row r="422" spans="1:6" ht="15" customHeight="1" x14ac:dyDescent="0.3">
      <c r="A422" s="144">
        <v>7090</v>
      </c>
      <c r="B422" s="92"/>
      <c r="C422" s="144" t="s">
        <v>737</v>
      </c>
      <c r="E422" s="92"/>
      <c r="F422" s="145">
        <v>191.44</v>
      </c>
    </row>
    <row r="423" spans="1:6" ht="15" customHeight="1" x14ac:dyDescent="0.3">
      <c r="A423" s="144">
        <v>7100</v>
      </c>
      <c r="B423" s="92"/>
      <c r="C423" s="144" t="s">
        <v>733</v>
      </c>
      <c r="E423" s="92"/>
      <c r="F423" s="145">
        <v>5.75</v>
      </c>
    </row>
    <row r="424" spans="1:6" ht="15" customHeight="1" x14ac:dyDescent="0.3">
      <c r="A424" s="144">
        <v>7176</v>
      </c>
      <c r="B424" s="92"/>
      <c r="C424" s="144" t="s">
        <v>830</v>
      </c>
      <c r="E424" s="92"/>
      <c r="F424" s="145">
        <v>287.17</v>
      </c>
    </row>
    <row r="425" spans="1:6" ht="15" customHeight="1" x14ac:dyDescent="0.3">
      <c r="A425" s="144">
        <v>7186</v>
      </c>
      <c r="B425" s="92"/>
      <c r="C425" s="144" t="s">
        <v>739</v>
      </c>
      <c r="E425" s="92"/>
      <c r="F425" s="145">
        <v>191.44</v>
      </c>
    </row>
    <row r="426" spans="1:6" ht="15" customHeight="1" x14ac:dyDescent="0.3">
      <c r="A426" s="144">
        <v>7339</v>
      </c>
      <c r="B426" s="92"/>
      <c r="C426" s="144" t="s">
        <v>1091</v>
      </c>
      <c r="E426" s="92"/>
      <c r="F426" s="145">
        <v>638.47</v>
      </c>
    </row>
    <row r="427" spans="1:6" ht="15" customHeight="1" x14ac:dyDescent="0.3">
      <c r="A427" s="144">
        <v>7595</v>
      </c>
      <c r="B427" s="92"/>
      <c r="C427" s="144" t="s">
        <v>1100</v>
      </c>
      <c r="E427" s="92"/>
      <c r="F427" s="145">
        <v>44.03</v>
      </c>
    </row>
    <row r="428" spans="1:6" ht="15" customHeight="1" x14ac:dyDescent="0.3">
      <c r="A428" s="144">
        <v>7896</v>
      </c>
      <c r="B428" s="92"/>
      <c r="C428" s="144" t="s">
        <v>466</v>
      </c>
      <c r="E428" s="92"/>
      <c r="F428" s="145">
        <v>134.97</v>
      </c>
    </row>
    <row r="429" spans="1:6" ht="15" customHeight="1" x14ac:dyDescent="0.3">
      <c r="A429" s="144">
        <v>26376</v>
      </c>
      <c r="B429" s="92"/>
      <c r="C429" s="144" t="s">
        <v>856</v>
      </c>
      <c r="E429" s="92"/>
      <c r="F429" s="145">
        <v>1</v>
      </c>
    </row>
    <row r="430" spans="1:6" ht="15" customHeight="1" x14ac:dyDescent="0.3">
      <c r="A430" s="144">
        <v>6043</v>
      </c>
      <c r="B430" s="92"/>
      <c r="C430" s="144" t="s">
        <v>1023</v>
      </c>
      <c r="E430" s="92"/>
      <c r="F430" s="145">
        <v>28.72</v>
      </c>
    </row>
    <row r="431" spans="1:6" ht="15" customHeight="1" x14ac:dyDescent="0.3">
      <c r="A431" s="144">
        <v>6055</v>
      </c>
      <c r="B431" s="92"/>
      <c r="C431" s="144" t="s">
        <v>1001</v>
      </c>
      <c r="E431" s="92"/>
      <c r="F431" s="145">
        <v>28.72</v>
      </c>
    </row>
    <row r="432" spans="1:6" ht="15" customHeight="1" x14ac:dyDescent="0.3">
      <c r="A432" s="144">
        <v>6061</v>
      </c>
      <c r="B432" s="92"/>
      <c r="C432" s="144" t="s">
        <v>1085</v>
      </c>
      <c r="E432" s="92"/>
      <c r="F432" s="145">
        <v>287.17</v>
      </c>
    </row>
    <row r="433" spans="1:6" ht="15" customHeight="1" x14ac:dyDescent="0.3">
      <c r="A433" s="144">
        <v>6062</v>
      </c>
      <c r="B433" s="92"/>
      <c r="C433" s="144" t="s">
        <v>1022</v>
      </c>
      <c r="E433" s="92"/>
      <c r="F433" s="145">
        <v>28.72</v>
      </c>
    </row>
    <row r="434" spans="1:6" ht="15" customHeight="1" x14ac:dyDescent="0.3">
      <c r="A434" s="144">
        <v>6151</v>
      </c>
      <c r="B434" s="92"/>
      <c r="C434" s="144" t="s">
        <v>1355</v>
      </c>
      <c r="E434" s="92"/>
      <c r="F434" s="145">
        <v>5.75</v>
      </c>
    </row>
    <row r="435" spans="1:6" ht="15" customHeight="1" x14ac:dyDescent="0.3">
      <c r="A435" s="144">
        <v>6155</v>
      </c>
      <c r="B435" s="92"/>
      <c r="C435" s="144" t="s">
        <v>987</v>
      </c>
      <c r="E435" s="92"/>
      <c r="F435" s="145">
        <v>67</v>
      </c>
    </row>
    <row r="436" spans="1:6" ht="15" customHeight="1" x14ac:dyDescent="0.3">
      <c r="A436" s="144">
        <v>6195</v>
      </c>
      <c r="B436" s="92"/>
      <c r="C436" s="144" t="s">
        <v>1014</v>
      </c>
      <c r="E436" s="92"/>
      <c r="F436" s="145">
        <v>1052.94</v>
      </c>
    </row>
    <row r="437" spans="1:6" ht="15" customHeight="1" x14ac:dyDescent="0.3">
      <c r="A437" s="144">
        <v>6229</v>
      </c>
      <c r="B437" s="92"/>
      <c r="C437" s="144" t="s">
        <v>1071</v>
      </c>
      <c r="E437" s="92"/>
      <c r="F437" s="145">
        <v>382.89</v>
      </c>
    </row>
    <row r="438" spans="1:6" ht="15" customHeight="1" x14ac:dyDescent="0.3">
      <c r="A438" s="144">
        <v>6288</v>
      </c>
      <c r="B438" s="92"/>
      <c r="C438" s="144" t="s">
        <v>812</v>
      </c>
      <c r="E438" s="92"/>
      <c r="F438" s="145">
        <v>28.72</v>
      </c>
    </row>
    <row r="439" spans="1:6" ht="15" customHeight="1" x14ac:dyDescent="0.3">
      <c r="A439" s="144">
        <v>6297</v>
      </c>
      <c r="B439" s="92"/>
      <c r="C439" s="144" t="s">
        <v>1084</v>
      </c>
      <c r="E439" s="92"/>
      <c r="F439" s="145">
        <v>19.14</v>
      </c>
    </row>
    <row r="440" spans="1:6" ht="15" customHeight="1" x14ac:dyDescent="0.3">
      <c r="A440" s="144">
        <v>6327</v>
      </c>
      <c r="B440" s="92"/>
      <c r="C440" s="144" t="s">
        <v>1060</v>
      </c>
      <c r="E440" s="92"/>
      <c r="F440" s="145">
        <v>478.61</v>
      </c>
    </row>
    <row r="441" spans="1:6" ht="15" customHeight="1" x14ac:dyDescent="0.3">
      <c r="A441" s="144">
        <v>6353</v>
      </c>
      <c r="B441" s="92"/>
      <c r="C441" s="144" t="s">
        <v>977</v>
      </c>
      <c r="E441" s="92"/>
      <c r="F441" s="145">
        <v>95.72</v>
      </c>
    </row>
    <row r="442" spans="1:6" ht="15" customHeight="1" x14ac:dyDescent="0.3">
      <c r="A442" s="144">
        <v>6360</v>
      </c>
      <c r="B442" s="92"/>
      <c r="C442" s="144" t="s">
        <v>1020</v>
      </c>
      <c r="E442" s="92"/>
      <c r="F442" s="145">
        <v>287.17</v>
      </c>
    </row>
    <row r="443" spans="1:6" ht="15" customHeight="1" x14ac:dyDescent="0.3">
      <c r="A443" s="144">
        <v>6362</v>
      </c>
      <c r="B443" s="92"/>
      <c r="C443" s="144" t="s">
        <v>1021</v>
      </c>
      <c r="E443" s="92"/>
      <c r="F443" s="145">
        <v>57.44</v>
      </c>
    </row>
    <row r="444" spans="1:6" ht="15" customHeight="1" x14ac:dyDescent="0.3">
      <c r="A444" s="144">
        <v>6374</v>
      </c>
      <c r="B444" s="92"/>
      <c r="C444" s="144" t="s">
        <v>1025</v>
      </c>
      <c r="E444" s="92"/>
      <c r="F444" s="145">
        <v>47.86</v>
      </c>
    </row>
    <row r="445" spans="1:6" ht="15" customHeight="1" x14ac:dyDescent="0.3">
      <c r="A445" s="144">
        <v>6382</v>
      </c>
      <c r="B445" s="92"/>
      <c r="C445" s="144" t="s">
        <v>931</v>
      </c>
      <c r="E445" s="92"/>
      <c r="F445" s="145">
        <v>95.72</v>
      </c>
    </row>
    <row r="446" spans="1:6" ht="15" customHeight="1" x14ac:dyDescent="0.3">
      <c r="A446" s="144">
        <v>6383</v>
      </c>
      <c r="B446" s="92"/>
      <c r="C446" s="144" t="s">
        <v>784</v>
      </c>
      <c r="E446" s="92"/>
      <c r="F446" s="145">
        <v>478.61</v>
      </c>
    </row>
    <row r="447" spans="1:6" ht="15" customHeight="1" x14ac:dyDescent="0.3">
      <c r="A447" s="144">
        <v>6385</v>
      </c>
      <c r="B447" s="92"/>
      <c r="C447" s="144" t="s">
        <v>1089</v>
      </c>
      <c r="E447" s="92"/>
      <c r="F447" s="145">
        <v>2201.61</v>
      </c>
    </row>
    <row r="448" spans="1:6" ht="15" customHeight="1" x14ac:dyDescent="0.3">
      <c r="A448" s="144">
        <v>6398</v>
      </c>
      <c r="B448" s="92"/>
      <c r="C448" s="144" t="s">
        <v>748</v>
      </c>
      <c r="E448" s="92"/>
      <c r="F448" s="145">
        <v>95.72</v>
      </c>
    </row>
    <row r="449" spans="1:6" ht="15" customHeight="1" x14ac:dyDescent="0.3">
      <c r="A449" s="144">
        <v>6399</v>
      </c>
      <c r="B449" s="92"/>
      <c r="C449" s="144" t="s">
        <v>839</v>
      </c>
      <c r="E449" s="92"/>
      <c r="F449" s="145">
        <v>4403.22</v>
      </c>
    </row>
    <row r="450" spans="1:6" ht="15" customHeight="1" x14ac:dyDescent="0.3">
      <c r="A450" s="144">
        <v>6413</v>
      </c>
      <c r="B450" s="92"/>
      <c r="C450" s="144" t="s">
        <v>796</v>
      </c>
      <c r="E450" s="92"/>
      <c r="F450" s="145">
        <v>26.8</v>
      </c>
    </row>
    <row r="451" spans="1:6" ht="15" customHeight="1" x14ac:dyDescent="0.3">
      <c r="A451" s="144">
        <v>6434</v>
      </c>
      <c r="B451" s="92"/>
      <c r="C451" s="144" t="s">
        <v>897</v>
      </c>
      <c r="E451" s="92"/>
      <c r="F451" s="145">
        <v>1340.11</v>
      </c>
    </row>
    <row r="452" spans="1:6" ht="15" customHeight="1" x14ac:dyDescent="0.3">
      <c r="A452" s="144">
        <v>6448</v>
      </c>
      <c r="B452" s="92"/>
      <c r="C452" s="144" t="s">
        <v>937</v>
      </c>
      <c r="E452" s="92"/>
      <c r="F452" s="145">
        <v>47.86</v>
      </c>
    </row>
    <row r="453" spans="1:6" ht="15" customHeight="1" x14ac:dyDescent="0.3">
      <c r="A453" s="144">
        <v>6449</v>
      </c>
      <c r="B453" s="92"/>
      <c r="C453" s="144" t="s">
        <v>899</v>
      </c>
      <c r="E453" s="92"/>
      <c r="F453" s="145">
        <v>191.44</v>
      </c>
    </row>
    <row r="454" spans="1:6" ht="15" customHeight="1" x14ac:dyDescent="0.3">
      <c r="A454" s="144">
        <v>6459</v>
      </c>
      <c r="B454" s="92"/>
      <c r="C454" s="144" t="s">
        <v>838</v>
      </c>
      <c r="E454" s="92"/>
      <c r="F454" s="145">
        <v>191.44</v>
      </c>
    </row>
    <row r="455" spans="1:6" ht="15" customHeight="1" x14ac:dyDescent="0.3">
      <c r="A455" s="144">
        <v>6481</v>
      </c>
      <c r="B455" s="92"/>
      <c r="C455" s="144" t="s">
        <v>602</v>
      </c>
      <c r="E455" s="92"/>
      <c r="F455" s="145">
        <v>191.44</v>
      </c>
    </row>
    <row r="456" spans="1:6" ht="15" customHeight="1" x14ac:dyDescent="0.3">
      <c r="A456" s="144">
        <v>6523</v>
      </c>
      <c r="B456" s="92"/>
      <c r="C456" s="144" t="s">
        <v>945</v>
      </c>
      <c r="E456" s="92"/>
      <c r="F456" s="145">
        <v>46.91</v>
      </c>
    </row>
    <row r="457" spans="1:6" ht="15" customHeight="1" x14ac:dyDescent="0.3">
      <c r="A457" s="144">
        <v>6540</v>
      </c>
      <c r="B457" s="92"/>
      <c r="C457" s="144" t="s">
        <v>1079</v>
      </c>
      <c r="E457" s="92"/>
      <c r="F457" s="145">
        <v>15.31</v>
      </c>
    </row>
    <row r="458" spans="1:6" ht="15" customHeight="1" x14ac:dyDescent="0.3">
      <c r="A458" s="144">
        <v>6560</v>
      </c>
      <c r="B458" s="92"/>
      <c r="C458" s="144" t="s">
        <v>774</v>
      </c>
      <c r="E458" s="92"/>
      <c r="F458" s="145">
        <v>909.36</v>
      </c>
    </row>
    <row r="459" spans="1:6" ht="15" customHeight="1" x14ac:dyDescent="0.3">
      <c r="A459" s="144">
        <v>6572</v>
      </c>
      <c r="B459" s="92"/>
      <c r="C459" s="144" t="s">
        <v>744</v>
      </c>
      <c r="E459" s="92"/>
      <c r="F459" s="145">
        <v>14.36</v>
      </c>
    </row>
    <row r="460" spans="1:6" ht="15" customHeight="1" x14ac:dyDescent="0.3">
      <c r="A460" s="144">
        <v>6573</v>
      </c>
      <c r="B460" s="92"/>
      <c r="C460" s="144" t="s">
        <v>798</v>
      </c>
      <c r="E460" s="92"/>
      <c r="F460" s="145">
        <v>191.44</v>
      </c>
    </row>
    <row r="461" spans="1:6" ht="15" customHeight="1" x14ac:dyDescent="0.3">
      <c r="A461" s="144">
        <v>6635</v>
      </c>
      <c r="B461" s="92"/>
      <c r="C461" s="144" t="s">
        <v>799</v>
      </c>
      <c r="E461" s="92"/>
      <c r="F461" s="145">
        <v>5743.33</v>
      </c>
    </row>
    <row r="462" spans="1:6" ht="15" customHeight="1" x14ac:dyDescent="0.3">
      <c r="A462" s="144">
        <v>6636</v>
      </c>
      <c r="B462" s="92"/>
      <c r="C462" s="144" t="s">
        <v>838</v>
      </c>
      <c r="E462" s="92"/>
      <c r="F462" s="145">
        <v>191.44</v>
      </c>
    </row>
    <row r="463" spans="1:6" ht="15" customHeight="1" x14ac:dyDescent="0.3">
      <c r="A463" s="144">
        <v>6665</v>
      </c>
      <c r="B463" s="92"/>
      <c r="C463" s="144" t="s">
        <v>857</v>
      </c>
      <c r="E463" s="92"/>
      <c r="F463" s="145">
        <v>684.41</v>
      </c>
    </row>
    <row r="464" spans="1:6" ht="15" customHeight="1" x14ac:dyDescent="0.3">
      <c r="A464" s="144">
        <v>6675</v>
      </c>
      <c r="B464" s="92"/>
      <c r="C464" s="144" t="s">
        <v>595</v>
      </c>
      <c r="E464" s="92"/>
      <c r="F464" s="145">
        <v>188.34</v>
      </c>
    </row>
    <row r="465" spans="1:6" ht="15" customHeight="1" x14ac:dyDescent="0.3">
      <c r="A465" s="144">
        <v>6678</v>
      </c>
      <c r="B465" s="92"/>
      <c r="C465" s="144" t="s">
        <v>557</v>
      </c>
      <c r="E465" s="92"/>
      <c r="F465" s="145">
        <v>125.55</v>
      </c>
    </row>
    <row r="466" spans="1:6" ht="15" customHeight="1" x14ac:dyDescent="0.3">
      <c r="A466" s="144">
        <v>6680</v>
      </c>
      <c r="B466" s="92"/>
      <c r="C466" s="144" t="s">
        <v>586</v>
      </c>
      <c r="E466" s="92"/>
      <c r="F466" s="145">
        <v>703.13</v>
      </c>
    </row>
    <row r="467" spans="1:6" ht="15" customHeight="1" x14ac:dyDescent="0.3">
      <c r="A467" s="144">
        <v>6703</v>
      </c>
      <c r="B467" s="92"/>
      <c r="C467" s="144" t="s">
        <v>530</v>
      </c>
      <c r="E467" s="92"/>
      <c r="F467" s="145">
        <v>251.12</v>
      </c>
    </row>
    <row r="468" spans="1:6" ht="15" customHeight="1" x14ac:dyDescent="0.3">
      <c r="A468" s="144">
        <v>6707</v>
      </c>
      <c r="B468" s="92"/>
      <c r="C468" s="144" t="s">
        <v>527</v>
      </c>
      <c r="E468" s="92"/>
      <c r="F468" s="145">
        <v>219.72</v>
      </c>
    </row>
    <row r="469" spans="1:6" ht="15" customHeight="1" x14ac:dyDescent="0.3">
      <c r="A469" s="144">
        <v>6708</v>
      </c>
      <c r="B469" s="92"/>
      <c r="C469" s="144" t="s">
        <v>545</v>
      </c>
      <c r="E469" s="92"/>
      <c r="F469" s="145">
        <v>420.62</v>
      </c>
    </row>
    <row r="470" spans="1:6" ht="15" customHeight="1" x14ac:dyDescent="0.3">
      <c r="A470" s="144">
        <v>6713</v>
      </c>
      <c r="B470" s="92"/>
      <c r="C470" s="144" t="s">
        <v>523</v>
      </c>
      <c r="E470" s="92"/>
      <c r="F470" s="145">
        <v>458.29</v>
      </c>
    </row>
    <row r="471" spans="1:6" ht="15" customHeight="1" x14ac:dyDescent="0.3">
      <c r="A471" s="144">
        <v>6719</v>
      </c>
      <c r="B471" s="92"/>
      <c r="C471" s="144" t="s">
        <v>592</v>
      </c>
      <c r="E471" s="92"/>
      <c r="F471" s="145">
        <v>62.78</v>
      </c>
    </row>
    <row r="472" spans="1:6" ht="15" customHeight="1" x14ac:dyDescent="0.3">
      <c r="A472" s="144">
        <v>6725</v>
      </c>
      <c r="B472" s="92"/>
      <c r="C472" s="144" t="s">
        <v>689</v>
      </c>
      <c r="E472" s="92"/>
      <c r="F472" s="145">
        <v>910.29</v>
      </c>
    </row>
    <row r="473" spans="1:6" ht="15" customHeight="1" x14ac:dyDescent="0.3">
      <c r="A473" s="144">
        <v>6727</v>
      </c>
      <c r="B473" s="92"/>
      <c r="C473" s="144" t="s">
        <v>543</v>
      </c>
      <c r="E473" s="92"/>
      <c r="F473" s="145">
        <v>2511.16</v>
      </c>
    </row>
    <row r="474" spans="1:6" ht="15" customHeight="1" x14ac:dyDescent="0.3">
      <c r="A474" s="144">
        <v>6730</v>
      </c>
      <c r="B474" s="92"/>
      <c r="C474" s="144" t="s">
        <v>587</v>
      </c>
      <c r="E474" s="92"/>
      <c r="F474" s="145">
        <v>141.25</v>
      </c>
    </row>
    <row r="475" spans="1:6" ht="15" customHeight="1" x14ac:dyDescent="0.3">
      <c r="A475" s="144">
        <v>6749</v>
      </c>
      <c r="B475" s="92"/>
      <c r="C475" s="144" t="s">
        <v>575</v>
      </c>
      <c r="E475" s="92"/>
      <c r="F475" s="145">
        <v>408.07</v>
      </c>
    </row>
    <row r="476" spans="1:6" ht="15" customHeight="1" x14ac:dyDescent="0.3">
      <c r="A476" s="144">
        <v>6750</v>
      </c>
      <c r="B476" s="92"/>
      <c r="C476" s="144" t="s">
        <v>576</v>
      </c>
      <c r="E476" s="92"/>
      <c r="F476" s="145">
        <v>408.07</v>
      </c>
    </row>
    <row r="477" spans="1:6" ht="15" customHeight="1" x14ac:dyDescent="0.3">
      <c r="A477" s="144">
        <v>6753</v>
      </c>
      <c r="B477" s="92"/>
      <c r="C477" s="144" t="s">
        <v>579</v>
      </c>
      <c r="E477" s="92"/>
      <c r="F477" s="145">
        <v>4394.54</v>
      </c>
    </row>
    <row r="478" spans="1:6" ht="15" customHeight="1" x14ac:dyDescent="0.3">
      <c r="A478" s="144">
        <v>6758</v>
      </c>
      <c r="B478" s="92"/>
      <c r="C478" s="144" t="s">
        <v>582</v>
      </c>
      <c r="E478" s="92"/>
      <c r="F478" s="145">
        <v>627.79</v>
      </c>
    </row>
    <row r="479" spans="1:6" ht="15" customHeight="1" x14ac:dyDescent="0.3">
      <c r="A479" s="144">
        <v>6763</v>
      </c>
      <c r="B479" s="92"/>
      <c r="C479" s="144" t="s">
        <v>462</v>
      </c>
      <c r="E479" s="92"/>
      <c r="F479" s="145">
        <v>116.14</v>
      </c>
    </row>
    <row r="480" spans="1:6" ht="15" customHeight="1" x14ac:dyDescent="0.3">
      <c r="A480" s="144">
        <v>6766</v>
      </c>
      <c r="B480" s="92"/>
      <c r="C480" s="144" t="s">
        <v>465</v>
      </c>
      <c r="E480" s="92"/>
      <c r="F480" s="145">
        <v>113</v>
      </c>
    </row>
    <row r="481" spans="1:6" ht="15" customHeight="1" x14ac:dyDescent="0.3">
      <c r="A481" s="144">
        <v>6781</v>
      </c>
      <c r="B481" s="92"/>
      <c r="C481" s="144" t="s">
        <v>486</v>
      </c>
      <c r="E481" s="92"/>
      <c r="F481" s="145">
        <v>313.89999999999998</v>
      </c>
    </row>
    <row r="482" spans="1:6" ht="15" customHeight="1" x14ac:dyDescent="0.3">
      <c r="A482" s="144">
        <v>6789</v>
      </c>
      <c r="B482" s="92"/>
      <c r="C482" s="144" t="s">
        <v>476</v>
      </c>
      <c r="E482" s="92"/>
      <c r="F482" s="145">
        <v>326.45</v>
      </c>
    </row>
    <row r="483" spans="1:6" ht="15" customHeight="1" x14ac:dyDescent="0.3">
      <c r="A483" s="144">
        <v>6796</v>
      </c>
      <c r="B483" s="92"/>
      <c r="C483" s="144" t="s">
        <v>489</v>
      </c>
      <c r="E483" s="92"/>
      <c r="F483" s="145">
        <v>91.02</v>
      </c>
    </row>
    <row r="484" spans="1:6" ht="15" customHeight="1" x14ac:dyDescent="0.3">
      <c r="A484" s="144">
        <v>6797</v>
      </c>
      <c r="B484" s="92"/>
      <c r="C484" s="144" t="s">
        <v>502</v>
      </c>
      <c r="E484" s="92"/>
      <c r="F484" s="145">
        <v>62.78</v>
      </c>
    </row>
    <row r="485" spans="1:6" ht="15" customHeight="1" x14ac:dyDescent="0.3">
      <c r="A485" s="144">
        <v>6799</v>
      </c>
      <c r="B485" s="92"/>
      <c r="C485" s="144" t="s">
        <v>492</v>
      </c>
      <c r="E485" s="92"/>
      <c r="F485" s="145">
        <v>100.45</v>
      </c>
    </row>
    <row r="486" spans="1:6" ht="15" customHeight="1" x14ac:dyDescent="0.3">
      <c r="A486" s="144">
        <v>6826</v>
      </c>
      <c r="B486" s="92"/>
      <c r="C486" s="144" t="s">
        <v>630</v>
      </c>
      <c r="E486" s="92"/>
      <c r="F486" s="145">
        <v>141.26</v>
      </c>
    </row>
    <row r="487" spans="1:6" ht="15" customHeight="1" x14ac:dyDescent="0.3">
      <c r="A487" s="144">
        <v>6845</v>
      </c>
      <c r="B487" s="92"/>
      <c r="C487" s="144" t="s">
        <v>550</v>
      </c>
      <c r="E487" s="92"/>
      <c r="F487" s="145">
        <v>533.62</v>
      </c>
    </row>
    <row r="488" spans="1:6" ht="15" customHeight="1" x14ac:dyDescent="0.3">
      <c r="A488" s="144">
        <v>6846</v>
      </c>
      <c r="B488" s="92"/>
      <c r="C488" s="144" t="s">
        <v>552</v>
      </c>
      <c r="E488" s="92"/>
      <c r="F488" s="145">
        <v>4708.43</v>
      </c>
    </row>
    <row r="489" spans="1:6" ht="15" customHeight="1" x14ac:dyDescent="0.3">
      <c r="A489" s="144">
        <v>6853</v>
      </c>
      <c r="B489" s="92"/>
      <c r="C489" s="144" t="s">
        <v>555</v>
      </c>
      <c r="E489" s="92"/>
      <c r="F489" s="145">
        <v>408.07</v>
      </c>
    </row>
    <row r="490" spans="1:6" ht="15" customHeight="1" x14ac:dyDescent="0.3">
      <c r="A490" s="144">
        <v>6864</v>
      </c>
      <c r="B490" s="92"/>
      <c r="C490" s="144" t="s">
        <v>954</v>
      </c>
      <c r="E490" s="92"/>
      <c r="F490" s="145">
        <v>191.44</v>
      </c>
    </row>
    <row r="491" spans="1:6" ht="15" customHeight="1" x14ac:dyDescent="0.3">
      <c r="A491" s="144">
        <v>6878</v>
      </c>
      <c r="B491" s="92"/>
      <c r="C491" s="144" t="s">
        <v>801</v>
      </c>
      <c r="E491" s="92"/>
      <c r="F491" s="145">
        <v>5233.13</v>
      </c>
    </row>
    <row r="492" spans="1:6" ht="15" customHeight="1" x14ac:dyDescent="0.3">
      <c r="A492" s="144">
        <v>6925</v>
      </c>
      <c r="B492" s="92"/>
      <c r="C492" s="144" t="s">
        <v>861</v>
      </c>
      <c r="E492" s="92"/>
      <c r="F492" s="145">
        <v>804.06</v>
      </c>
    </row>
    <row r="493" spans="1:6" ht="15" customHeight="1" x14ac:dyDescent="0.3">
      <c r="A493" s="144">
        <v>6947</v>
      </c>
      <c r="B493" s="92"/>
      <c r="C493" s="144" t="s">
        <v>847</v>
      </c>
      <c r="E493" s="92"/>
      <c r="F493" s="145">
        <v>2546.21</v>
      </c>
    </row>
    <row r="494" spans="1:6" ht="15" customHeight="1" x14ac:dyDescent="0.3">
      <c r="A494" s="144">
        <v>6950</v>
      </c>
      <c r="B494" s="92"/>
      <c r="C494" s="144" t="s">
        <v>1097</v>
      </c>
      <c r="E494" s="92"/>
      <c r="F494" s="145">
        <v>2546.21</v>
      </c>
    </row>
    <row r="495" spans="1:6" ht="15" customHeight="1" x14ac:dyDescent="0.3">
      <c r="A495" s="144">
        <v>6960</v>
      </c>
      <c r="B495" s="92"/>
      <c r="C495" s="144" t="s">
        <v>823</v>
      </c>
      <c r="E495" s="92"/>
      <c r="F495" s="145">
        <v>229.73</v>
      </c>
    </row>
    <row r="496" spans="1:6" ht="15" customHeight="1" x14ac:dyDescent="0.3">
      <c r="A496" s="144">
        <v>7036</v>
      </c>
      <c r="B496" s="92"/>
      <c r="C496" s="144" t="s">
        <v>979</v>
      </c>
      <c r="E496" s="92"/>
      <c r="F496" s="145">
        <v>95.72</v>
      </c>
    </row>
    <row r="497" spans="1:6" ht="15" customHeight="1" x14ac:dyDescent="0.3">
      <c r="A497" s="144">
        <v>7182</v>
      </c>
      <c r="B497" s="92"/>
      <c r="C497" s="144" t="s">
        <v>1076</v>
      </c>
      <c r="E497" s="92"/>
      <c r="F497" s="145">
        <v>47.86</v>
      </c>
    </row>
    <row r="498" spans="1:6" ht="15" customHeight="1" x14ac:dyDescent="0.3">
      <c r="A498" s="144">
        <v>7183</v>
      </c>
      <c r="B498" s="92"/>
      <c r="C498" s="144" t="s">
        <v>829</v>
      </c>
      <c r="E498" s="92"/>
      <c r="F498" s="145">
        <v>47.86</v>
      </c>
    </row>
    <row r="499" spans="1:6" ht="15" customHeight="1" x14ac:dyDescent="0.3">
      <c r="A499" s="144">
        <v>7423</v>
      </c>
      <c r="B499" s="92"/>
      <c r="C499" s="144" t="s">
        <v>867</v>
      </c>
      <c r="E499" s="92"/>
      <c r="F499" s="145">
        <v>286.20999999999998</v>
      </c>
    </row>
    <row r="500" spans="1:6" ht="15" customHeight="1" x14ac:dyDescent="0.3">
      <c r="A500" s="144">
        <v>7429</v>
      </c>
      <c r="B500" s="92"/>
      <c r="C500" s="144" t="s">
        <v>868</v>
      </c>
      <c r="E500" s="92"/>
      <c r="F500" s="145">
        <v>717.92</v>
      </c>
    </row>
    <row r="501" spans="1:6" ht="15" customHeight="1" x14ac:dyDescent="0.3">
      <c r="A501" s="144">
        <v>7558</v>
      </c>
      <c r="B501" s="92"/>
      <c r="C501" s="144" t="s">
        <v>757</v>
      </c>
      <c r="E501" s="92"/>
      <c r="F501" s="145">
        <v>180.92</v>
      </c>
    </row>
    <row r="502" spans="1:6" ht="15" customHeight="1" x14ac:dyDescent="0.3">
      <c r="A502" s="144">
        <v>7582</v>
      </c>
      <c r="B502" s="92"/>
      <c r="C502" s="144" t="s">
        <v>811</v>
      </c>
      <c r="E502" s="92"/>
      <c r="F502" s="145">
        <v>626.97</v>
      </c>
    </row>
    <row r="503" spans="1:6" ht="15" customHeight="1" x14ac:dyDescent="0.3">
      <c r="A503" s="144">
        <v>7640</v>
      </c>
      <c r="B503" s="92"/>
      <c r="C503" s="144" t="s">
        <v>1102</v>
      </c>
      <c r="E503" s="92"/>
      <c r="F503" s="145">
        <v>19.14</v>
      </c>
    </row>
    <row r="504" spans="1:6" ht="15" customHeight="1" x14ac:dyDescent="0.3">
      <c r="A504" s="144">
        <v>7801</v>
      </c>
      <c r="B504" s="92"/>
      <c r="C504" s="144" t="s">
        <v>909</v>
      </c>
      <c r="E504" s="92"/>
      <c r="F504" s="145">
        <v>1148.67</v>
      </c>
    </row>
    <row r="505" spans="1:6" ht="15" customHeight="1" x14ac:dyDescent="0.3">
      <c r="A505" s="144">
        <v>9433</v>
      </c>
      <c r="B505" s="92"/>
      <c r="C505" s="144" t="s">
        <v>735</v>
      </c>
      <c r="E505" s="92"/>
      <c r="F505" s="145">
        <v>382.89</v>
      </c>
    </row>
    <row r="506" spans="1:6" ht="15" customHeight="1" x14ac:dyDescent="0.3">
      <c r="A506" s="144">
        <v>6069</v>
      </c>
      <c r="B506" s="92"/>
      <c r="C506" s="144" t="s">
        <v>508</v>
      </c>
      <c r="E506" s="92"/>
      <c r="F506" s="145">
        <v>95.72</v>
      </c>
    </row>
    <row r="507" spans="1:6" ht="15" customHeight="1" x14ac:dyDescent="0.3">
      <c r="A507" s="144">
        <v>6156</v>
      </c>
      <c r="B507" s="92"/>
      <c r="C507" s="144" t="s">
        <v>754</v>
      </c>
      <c r="E507" s="92"/>
      <c r="F507" s="145">
        <v>67</v>
      </c>
    </row>
    <row r="508" spans="1:6" ht="15" customHeight="1" x14ac:dyDescent="0.3">
      <c r="A508" s="144">
        <v>6169</v>
      </c>
      <c r="B508" s="92"/>
      <c r="C508" s="144" t="s">
        <v>971</v>
      </c>
      <c r="E508" s="92"/>
      <c r="F508" s="145">
        <v>1052.94</v>
      </c>
    </row>
    <row r="509" spans="1:6" ht="15" customHeight="1" x14ac:dyDescent="0.3">
      <c r="A509" s="144">
        <v>6212</v>
      </c>
      <c r="B509" s="92"/>
      <c r="C509" s="144" t="s">
        <v>1080</v>
      </c>
      <c r="E509" s="92"/>
      <c r="F509" s="145">
        <v>81.36</v>
      </c>
    </row>
    <row r="510" spans="1:6" ht="15" customHeight="1" x14ac:dyDescent="0.3">
      <c r="A510" s="144">
        <v>6242</v>
      </c>
      <c r="B510" s="92"/>
      <c r="C510" s="144" t="s">
        <v>1016</v>
      </c>
      <c r="E510" s="92"/>
      <c r="F510" s="145">
        <v>191.44</v>
      </c>
    </row>
    <row r="511" spans="1:6" ht="15" customHeight="1" x14ac:dyDescent="0.3">
      <c r="A511" s="144">
        <v>6245</v>
      </c>
      <c r="B511" s="92"/>
      <c r="C511" s="144" t="s">
        <v>894</v>
      </c>
      <c r="E511" s="92"/>
      <c r="F511" s="145">
        <v>574.33000000000004</v>
      </c>
    </row>
    <row r="512" spans="1:6" ht="15" customHeight="1" x14ac:dyDescent="0.3">
      <c r="A512" s="144">
        <v>6253</v>
      </c>
      <c r="B512" s="92"/>
      <c r="C512" s="144" t="s">
        <v>729</v>
      </c>
      <c r="E512" s="92"/>
      <c r="F512" s="145">
        <v>47.86</v>
      </c>
    </row>
    <row r="513" spans="1:6" ht="15" customHeight="1" x14ac:dyDescent="0.3">
      <c r="A513" s="144">
        <v>6254</v>
      </c>
      <c r="B513" s="92"/>
      <c r="C513" s="144" t="s">
        <v>1066</v>
      </c>
      <c r="E513" s="92"/>
      <c r="F513" s="145">
        <v>47.86</v>
      </c>
    </row>
    <row r="514" spans="1:6" ht="15" customHeight="1" x14ac:dyDescent="0.3">
      <c r="A514" s="144">
        <v>6255</v>
      </c>
      <c r="B514" s="92"/>
      <c r="C514" s="144" t="s">
        <v>980</v>
      </c>
      <c r="E514" s="92"/>
      <c r="F514" s="145">
        <v>124.44</v>
      </c>
    </row>
    <row r="515" spans="1:6" ht="15" customHeight="1" x14ac:dyDescent="0.3">
      <c r="A515" s="144">
        <v>6287</v>
      </c>
      <c r="B515" s="92"/>
      <c r="C515" s="144" t="s">
        <v>773</v>
      </c>
      <c r="E515" s="92"/>
      <c r="F515" s="145">
        <v>191.44</v>
      </c>
    </row>
    <row r="516" spans="1:6" ht="15" customHeight="1" x14ac:dyDescent="0.3">
      <c r="A516" s="144">
        <v>6291</v>
      </c>
      <c r="B516" s="92"/>
      <c r="C516" s="144" t="s">
        <v>834</v>
      </c>
      <c r="E516" s="92"/>
      <c r="F516" s="145">
        <v>287.17</v>
      </c>
    </row>
    <row r="517" spans="1:6" ht="15" customHeight="1" x14ac:dyDescent="0.3">
      <c r="A517" s="144">
        <v>6295</v>
      </c>
      <c r="B517" s="92"/>
      <c r="C517" s="144" t="s">
        <v>844</v>
      </c>
      <c r="E517" s="92"/>
      <c r="F517" s="145">
        <v>9.58</v>
      </c>
    </row>
    <row r="518" spans="1:6" ht="15" customHeight="1" x14ac:dyDescent="0.3">
      <c r="A518" s="144">
        <v>6296</v>
      </c>
      <c r="B518" s="92"/>
      <c r="C518" s="144" t="s">
        <v>929</v>
      </c>
      <c r="E518" s="92"/>
      <c r="F518" s="145">
        <v>19.14</v>
      </c>
    </row>
    <row r="519" spans="1:6" ht="15" customHeight="1" x14ac:dyDescent="0.3">
      <c r="A519" s="144">
        <v>6315</v>
      </c>
      <c r="B519" s="92"/>
      <c r="C519" s="144" t="s">
        <v>819</v>
      </c>
      <c r="E519" s="92"/>
      <c r="F519" s="145">
        <v>47.86</v>
      </c>
    </row>
    <row r="520" spans="1:6" ht="15" customHeight="1" x14ac:dyDescent="0.3">
      <c r="A520" s="144">
        <v>6316</v>
      </c>
      <c r="B520" s="92"/>
      <c r="C520" s="144" t="s">
        <v>956</v>
      </c>
      <c r="E520" s="92"/>
      <c r="F520" s="145">
        <v>239.31</v>
      </c>
    </row>
    <row r="521" spans="1:6" ht="15" customHeight="1" x14ac:dyDescent="0.3">
      <c r="A521" s="144">
        <v>6351</v>
      </c>
      <c r="B521" s="92"/>
      <c r="C521" s="144" t="s">
        <v>828</v>
      </c>
      <c r="E521" s="92"/>
      <c r="F521" s="145">
        <v>9.58</v>
      </c>
    </row>
    <row r="522" spans="1:6" ht="15" customHeight="1" x14ac:dyDescent="0.3">
      <c r="A522" s="144">
        <v>6369</v>
      </c>
      <c r="B522" s="92"/>
      <c r="C522" s="144" t="s">
        <v>972</v>
      </c>
      <c r="E522" s="92"/>
      <c r="F522" s="145">
        <v>47.86</v>
      </c>
    </row>
    <row r="523" spans="1:6" ht="15" customHeight="1" x14ac:dyDescent="0.3">
      <c r="A523" s="144">
        <v>6380</v>
      </c>
      <c r="B523" s="92"/>
      <c r="C523" s="144" t="s">
        <v>836</v>
      </c>
      <c r="E523" s="92"/>
      <c r="F523" s="145">
        <v>1244.3900000000001</v>
      </c>
    </row>
    <row r="524" spans="1:6" ht="15" customHeight="1" x14ac:dyDescent="0.3">
      <c r="A524" s="144">
        <v>6411</v>
      </c>
      <c r="B524" s="92"/>
      <c r="C524" s="144" t="s">
        <v>727</v>
      </c>
      <c r="E524" s="92"/>
      <c r="F524" s="145">
        <v>323.54000000000002</v>
      </c>
    </row>
    <row r="525" spans="1:6" ht="15" customHeight="1" x14ac:dyDescent="0.3">
      <c r="A525" s="144">
        <v>6422</v>
      </c>
      <c r="B525" s="92"/>
      <c r="C525" s="144" t="s">
        <v>775</v>
      </c>
      <c r="E525" s="92"/>
      <c r="F525" s="145">
        <v>239.31</v>
      </c>
    </row>
    <row r="526" spans="1:6" ht="15" customHeight="1" x14ac:dyDescent="0.3">
      <c r="A526" s="144">
        <v>6423</v>
      </c>
      <c r="B526" s="92"/>
      <c r="C526" s="144" t="s">
        <v>967</v>
      </c>
      <c r="E526" s="92"/>
      <c r="F526" s="145">
        <v>191.44</v>
      </c>
    </row>
    <row r="527" spans="1:6" ht="15" customHeight="1" x14ac:dyDescent="0.3">
      <c r="A527" s="144">
        <v>6443</v>
      </c>
      <c r="B527" s="92"/>
      <c r="C527" s="144" t="s">
        <v>1041</v>
      </c>
      <c r="E527" s="92"/>
      <c r="F527" s="145">
        <v>19.14</v>
      </c>
    </row>
    <row r="528" spans="1:6" ht="15" customHeight="1" x14ac:dyDescent="0.3">
      <c r="A528" s="144">
        <v>6444</v>
      </c>
      <c r="B528" s="92"/>
      <c r="C528" s="144" t="s">
        <v>806</v>
      </c>
      <c r="E528" s="92"/>
      <c r="F528" s="145">
        <v>9.58</v>
      </c>
    </row>
    <row r="529" spans="1:6" ht="15" customHeight="1" x14ac:dyDescent="0.3">
      <c r="A529" s="144">
        <v>6445</v>
      </c>
      <c r="B529" s="92"/>
      <c r="C529" s="144" t="s">
        <v>936</v>
      </c>
      <c r="E529" s="92"/>
      <c r="F529" s="145">
        <v>47.86</v>
      </c>
    </row>
    <row r="530" spans="1:6" ht="15" customHeight="1" x14ac:dyDescent="0.3">
      <c r="A530" s="144">
        <v>6458</v>
      </c>
      <c r="B530" s="92"/>
      <c r="C530" s="144" t="s">
        <v>730</v>
      </c>
      <c r="E530" s="92"/>
      <c r="F530" s="145">
        <v>1052.94</v>
      </c>
    </row>
    <row r="531" spans="1:6" ht="15" customHeight="1" x14ac:dyDescent="0.3">
      <c r="A531" s="144">
        <v>6463</v>
      </c>
      <c r="B531" s="92"/>
      <c r="C531" s="144" t="s">
        <v>1095</v>
      </c>
      <c r="E531" s="92"/>
      <c r="F531" s="145">
        <v>124.44</v>
      </c>
    </row>
    <row r="532" spans="1:6" ht="15" customHeight="1" x14ac:dyDescent="0.3">
      <c r="A532" s="144">
        <v>6466</v>
      </c>
      <c r="B532" s="92"/>
      <c r="C532" s="144" t="s">
        <v>835</v>
      </c>
      <c r="E532" s="92"/>
      <c r="F532" s="145">
        <v>287.17</v>
      </c>
    </row>
    <row r="533" spans="1:6" ht="15" customHeight="1" x14ac:dyDescent="0.3">
      <c r="A533" s="144">
        <v>6467</v>
      </c>
      <c r="B533" s="92"/>
      <c r="C533" s="144" t="s">
        <v>873</v>
      </c>
      <c r="E533" s="92"/>
      <c r="F533" s="145">
        <v>1914.44</v>
      </c>
    </row>
    <row r="534" spans="1:6" ht="15" customHeight="1" x14ac:dyDescent="0.3">
      <c r="A534" s="144">
        <v>6474</v>
      </c>
      <c r="B534" s="92"/>
      <c r="C534" s="144" t="s">
        <v>840</v>
      </c>
      <c r="E534" s="92"/>
      <c r="F534" s="145">
        <v>5360.44</v>
      </c>
    </row>
    <row r="535" spans="1:6" ht="15" customHeight="1" x14ac:dyDescent="0.3">
      <c r="A535" s="144">
        <v>6501</v>
      </c>
      <c r="B535" s="92"/>
      <c r="C535" s="144" t="s">
        <v>1104</v>
      </c>
      <c r="E535" s="92"/>
      <c r="F535" s="145">
        <v>47.86</v>
      </c>
    </row>
    <row r="536" spans="1:6" ht="15" customHeight="1" x14ac:dyDescent="0.3">
      <c r="A536" s="144">
        <v>6506</v>
      </c>
      <c r="B536" s="92"/>
      <c r="C536" s="144" t="s">
        <v>764</v>
      </c>
      <c r="E536" s="92"/>
      <c r="F536" s="145">
        <v>47.86</v>
      </c>
    </row>
    <row r="537" spans="1:6" ht="15" customHeight="1" x14ac:dyDescent="0.3">
      <c r="A537" s="144">
        <v>6517</v>
      </c>
      <c r="B537" s="92"/>
      <c r="C537" s="144" t="s">
        <v>771</v>
      </c>
      <c r="E537" s="92"/>
      <c r="F537" s="145">
        <v>193.36</v>
      </c>
    </row>
    <row r="538" spans="1:6" ht="15" customHeight="1" x14ac:dyDescent="0.3">
      <c r="A538" s="144">
        <v>6527</v>
      </c>
      <c r="B538" s="92"/>
      <c r="C538" s="144" t="s">
        <v>1106</v>
      </c>
      <c r="E538" s="92"/>
      <c r="F538" s="145">
        <v>526.47</v>
      </c>
    </row>
    <row r="539" spans="1:6" ht="15" customHeight="1" x14ac:dyDescent="0.3">
      <c r="A539" s="144">
        <v>6579</v>
      </c>
      <c r="B539" s="92"/>
      <c r="C539" s="144" t="s">
        <v>778</v>
      </c>
      <c r="E539" s="92"/>
      <c r="F539" s="145">
        <v>478.61</v>
      </c>
    </row>
    <row r="540" spans="1:6" ht="15" customHeight="1" x14ac:dyDescent="0.3">
      <c r="A540" s="144">
        <v>6581</v>
      </c>
      <c r="B540" s="92"/>
      <c r="C540" s="144" t="s">
        <v>865</v>
      </c>
      <c r="E540" s="92"/>
      <c r="F540" s="145">
        <v>478.61</v>
      </c>
    </row>
    <row r="541" spans="1:6" ht="15" customHeight="1" x14ac:dyDescent="0.3">
      <c r="A541" s="144">
        <v>6594</v>
      </c>
      <c r="B541" s="92"/>
      <c r="C541" s="144" t="s">
        <v>1061</v>
      </c>
      <c r="E541" s="92"/>
      <c r="F541" s="145">
        <v>670.06</v>
      </c>
    </row>
    <row r="542" spans="1:6" ht="15" customHeight="1" x14ac:dyDescent="0.3">
      <c r="A542" s="144">
        <v>6612</v>
      </c>
      <c r="B542" s="92"/>
      <c r="C542" s="144" t="s">
        <v>546</v>
      </c>
      <c r="E542" s="92"/>
      <c r="F542" s="145">
        <v>156.94999999999999</v>
      </c>
    </row>
    <row r="543" spans="1:6" ht="15" customHeight="1" x14ac:dyDescent="0.3">
      <c r="A543" s="144">
        <v>6642</v>
      </c>
      <c r="B543" s="92"/>
      <c r="C543" s="144" t="s">
        <v>978</v>
      </c>
      <c r="E543" s="92"/>
      <c r="F543" s="145">
        <v>47.86</v>
      </c>
    </row>
    <row r="544" spans="1:6" ht="15" customHeight="1" x14ac:dyDescent="0.3">
      <c r="A544" s="144">
        <v>6655</v>
      </c>
      <c r="B544" s="92"/>
      <c r="C544" s="144" t="s">
        <v>808</v>
      </c>
      <c r="E544" s="92"/>
      <c r="F544" s="145">
        <v>19.149999999999999</v>
      </c>
    </row>
    <row r="545" spans="1:6" ht="15" customHeight="1" x14ac:dyDescent="0.3">
      <c r="A545" s="144">
        <v>6670</v>
      </c>
      <c r="B545" s="92"/>
      <c r="C545" s="144" t="s">
        <v>788</v>
      </c>
      <c r="E545" s="92"/>
      <c r="F545" s="145">
        <v>957.22</v>
      </c>
    </row>
    <row r="546" spans="1:6" ht="15" customHeight="1" x14ac:dyDescent="0.3">
      <c r="A546" s="144">
        <v>6674</v>
      </c>
      <c r="B546" s="92"/>
      <c r="C546" s="144" t="s">
        <v>594</v>
      </c>
      <c r="E546" s="92"/>
      <c r="F546" s="145">
        <v>188.34</v>
      </c>
    </row>
    <row r="547" spans="1:6" ht="15" customHeight="1" x14ac:dyDescent="0.3">
      <c r="A547" s="144">
        <v>6682</v>
      </c>
      <c r="B547" s="92"/>
      <c r="C547" s="144" t="s">
        <v>506</v>
      </c>
      <c r="E547" s="92"/>
      <c r="F547" s="145">
        <v>150.66999999999999</v>
      </c>
    </row>
    <row r="548" spans="1:6" ht="15" customHeight="1" x14ac:dyDescent="0.3">
      <c r="A548" s="144">
        <v>6711</v>
      </c>
      <c r="B548" s="92"/>
      <c r="C548" s="144" t="s">
        <v>522</v>
      </c>
      <c r="E548" s="92"/>
      <c r="F548" s="145">
        <v>401.79</v>
      </c>
    </row>
    <row r="549" spans="1:6" ht="15" customHeight="1" x14ac:dyDescent="0.3">
      <c r="A549" s="144">
        <v>6722</v>
      </c>
      <c r="B549" s="92"/>
      <c r="C549" s="144" t="s">
        <v>539</v>
      </c>
      <c r="E549" s="92"/>
      <c r="F549" s="145">
        <v>113</v>
      </c>
    </row>
    <row r="550" spans="1:6" ht="15" customHeight="1" x14ac:dyDescent="0.3">
      <c r="A550" s="144">
        <v>6728</v>
      </c>
      <c r="B550" s="92"/>
      <c r="C550" s="144" t="s">
        <v>544</v>
      </c>
      <c r="E550" s="92"/>
      <c r="F550" s="145">
        <v>3452.85</v>
      </c>
    </row>
    <row r="551" spans="1:6" ht="15" customHeight="1" x14ac:dyDescent="0.3">
      <c r="A551" s="144">
        <v>6746</v>
      </c>
      <c r="B551" s="92"/>
      <c r="C551" s="144" t="s">
        <v>569</v>
      </c>
      <c r="E551" s="92"/>
      <c r="F551" s="145">
        <v>533.62</v>
      </c>
    </row>
    <row r="552" spans="1:6" ht="15" customHeight="1" x14ac:dyDescent="0.3">
      <c r="A552" s="144">
        <v>6755</v>
      </c>
      <c r="B552" s="92"/>
      <c r="C552" s="144" t="s">
        <v>581</v>
      </c>
      <c r="E552" s="92"/>
      <c r="F552" s="145">
        <v>4394.54</v>
      </c>
    </row>
    <row r="553" spans="1:6" ht="15" customHeight="1" x14ac:dyDescent="0.3">
      <c r="A553" s="144">
        <v>6768</v>
      </c>
      <c r="B553" s="92"/>
      <c r="C553" s="144" t="s">
        <v>460</v>
      </c>
      <c r="E553" s="92"/>
      <c r="F553" s="145">
        <v>6.28</v>
      </c>
    </row>
    <row r="554" spans="1:6" ht="15" customHeight="1" x14ac:dyDescent="0.3">
      <c r="A554" s="144">
        <v>6771</v>
      </c>
      <c r="B554" s="92"/>
      <c r="C554" s="144" t="s">
        <v>459</v>
      </c>
      <c r="E554" s="92"/>
      <c r="F554" s="145">
        <v>3.14</v>
      </c>
    </row>
    <row r="555" spans="1:6" ht="15" customHeight="1" x14ac:dyDescent="0.3">
      <c r="A555" s="144">
        <v>6773</v>
      </c>
      <c r="B555" s="92"/>
      <c r="C555" s="144" t="s">
        <v>468</v>
      </c>
      <c r="E555" s="92"/>
      <c r="F555" s="145">
        <v>109.87</v>
      </c>
    </row>
    <row r="556" spans="1:6" ht="15" customHeight="1" x14ac:dyDescent="0.3">
      <c r="A556" s="144">
        <v>6779</v>
      </c>
      <c r="B556" s="92"/>
      <c r="C556" s="144" t="s">
        <v>478</v>
      </c>
      <c r="E556" s="92"/>
      <c r="F556" s="145">
        <v>627.79</v>
      </c>
    </row>
    <row r="557" spans="1:6" ht="15" customHeight="1" x14ac:dyDescent="0.3">
      <c r="A557" s="144">
        <v>6780</v>
      </c>
      <c r="B557" s="92"/>
      <c r="C557" s="144" t="s">
        <v>479</v>
      </c>
      <c r="E557" s="92"/>
      <c r="F557" s="145">
        <v>627.79</v>
      </c>
    </row>
    <row r="558" spans="1:6" ht="15" customHeight="1" x14ac:dyDescent="0.3">
      <c r="A558" s="144">
        <v>6801</v>
      </c>
      <c r="B558" s="92"/>
      <c r="C558" s="144" t="s">
        <v>493</v>
      </c>
      <c r="E558" s="92"/>
      <c r="F558" s="145">
        <v>1412.53</v>
      </c>
    </row>
    <row r="559" spans="1:6" ht="15" customHeight="1" x14ac:dyDescent="0.3">
      <c r="A559" s="144">
        <v>6803</v>
      </c>
      <c r="B559" s="92"/>
      <c r="C559" s="144" t="s">
        <v>496</v>
      </c>
      <c r="E559" s="92"/>
      <c r="F559" s="145">
        <v>373.54</v>
      </c>
    </row>
    <row r="560" spans="1:6" ht="15" customHeight="1" x14ac:dyDescent="0.3">
      <c r="A560" s="144">
        <v>6806</v>
      </c>
      <c r="B560" s="92"/>
      <c r="C560" s="144" t="s">
        <v>609</v>
      </c>
      <c r="E560" s="92"/>
      <c r="F560" s="145">
        <v>188.33</v>
      </c>
    </row>
    <row r="561" spans="1:6" ht="15" customHeight="1" x14ac:dyDescent="0.3">
      <c r="A561" s="144">
        <v>6812</v>
      </c>
      <c r="B561" s="92"/>
      <c r="C561" s="144" t="s">
        <v>613</v>
      </c>
      <c r="E561" s="92"/>
      <c r="F561" s="145">
        <v>204.04</v>
      </c>
    </row>
    <row r="562" spans="1:6" ht="15" customHeight="1" x14ac:dyDescent="0.3">
      <c r="A562" s="144">
        <v>6818</v>
      </c>
      <c r="B562" s="92"/>
      <c r="C562" s="144" t="s">
        <v>623</v>
      </c>
      <c r="E562" s="92"/>
      <c r="F562" s="145">
        <v>188.33</v>
      </c>
    </row>
    <row r="563" spans="1:6" ht="15" customHeight="1" x14ac:dyDescent="0.3">
      <c r="A563" s="144">
        <v>6822</v>
      </c>
      <c r="B563" s="92"/>
      <c r="C563" s="144" t="s">
        <v>621</v>
      </c>
      <c r="E563" s="92"/>
      <c r="F563" s="145">
        <v>282.51</v>
      </c>
    </row>
    <row r="564" spans="1:6" ht="15" customHeight="1" x14ac:dyDescent="0.3">
      <c r="A564" s="144">
        <v>6824</v>
      </c>
      <c r="B564" s="92"/>
      <c r="C564" s="144" t="s">
        <v>628</v>
      </c>
      <c r="E564" s="92"/>
      <c r="F564" s="145">
        <v>141.26</v>
      </c>
    </row>
    <row r="565" spans="1:6" ht="15" customHeight="1" x14ac:dyDescent="0.3">
      <c r="A565" s="144">
        <v>6829</v>
      </c>
      <c r="B565" s="92"/>
      <c r="C565" s="144" t="s">
        <v>633</v>
      </c>
      <c r="E565" s="92"/>
      <c r="F565" s="145">
        <v>109.86</v>
      </c>
    </row>
    <row r="566" spans="1:6" ht="15" customHeight="1" x14ac:dyDescent="0.3">
      <c r="A566" s="144">
        <v>6830</v>
      </c>
      <c r="B566" s="92"/>
      <c r="C566" s="144" t="s">
        <v>634</v>
      </c>
      <c r="E566" s="92"/>
      <c r="F566" s="145">
        <v>141.26</v>
      </c>
    </row>
    <row r="567" spans="1:6" ht="15" customHeight="1" x14ac:dyDescent="0.3">
      <c r="A567" s="144">
        <v>6851</v>
      </c>
      <c r="B567" s="92"/>
      <c r="C567" s="144" t="s">
        <v>562</v>
      </c>
      <c r="E567" s="92"/>
      <c r="F567" s="145">
        <v>3138.96</v>
      </c>
    </row>
    <row r="568" spans="1:6" ht="15" customHeight="1" x14ac:dyDescent="0.3">
      <c r="A568" s="144">
        <v>6859</v>
      </c>
      <c r="B568" s="92"/>
      <c r="C568" s="144" t="s">
        <v>692</v>
      </c>
      <c r="E568" s="92"/>
      <c r="F568" s="145">
        <v>131.83000000000001</v>
      </c>
    </row>
    <row r="569" spans="1:6" ht="15" customHeight="1" x14ac:dyDescent="0.3">
      <c r="A569" s="144">
        <v>6884</v>
      </c>
      <c r="B569" s="92"/>
      <c r="C569" s="144" t="s">
        <v>949</v>
      </c>
      <c r="E569" s="92"/>
      <c r="F569" s="145">
        <v>478.61</v>
      </c>
    </row>
    <row r="570" spans="1:6" ht="15" customHeight="1" x14ac:dyDescent="0.3">
      <c r="A570" s="144">
        <v>6889</v>
      </c>
      <c r="B570" s="92"/>
      <c r="C570" s="144" t="s">
        <v>900</v>
      </c>
      <c r="E570" s="92"/>
      <c r="F570" s="145">
        <v>36.369999999999997</v>
      </c>
    </row>
    <row r="571" spans="1:6" ht="15" customHeight="1" x14ac:dyDescent="0.3">
      <c r="A571" s="144">
        <v>6918</v>
      </c>
      <c r="B571" s="92"/>
      <c r="C571" s="144" t="s">
        <v>892</v>
      </c>
      <c r="E571" s="92"/>
      <c r="F571" s="145">
        <v>218.25</v>
      </c>
    </row>
    <row r="572" spans="1:6" ht="15" customHeight="1" x14ac:dyDescent="0.3">
      <c r="A572" s="144">
        <v>6933</v>
      </c>
      <c r="B572" s="92"/>
      <c r="C572" s="144" t="s">
        <v>1003</v>
      </c>
      <c r="E572" s="92"/>
      <c r="F572" s="145">
        <v>1006.05</v>
      </c>
    </row>
    <row r="573" spans="1:6" ht="15" customHeight="1" x14ac:dyDescent="0.3">
      <c r="A573" s="144">
        <v>6982</v>
      </c>
      <c r="B573" s="92"/>
      <c r="C573" s="144" t="s">
        <v>981</v>
      </c>
      <c r="E573" s="92"/>
      <c r="F573" s="145">
        <v>124.44</v>
      </c>
    </row>
    <row r="574" spans="1:6" ht="15" customHeight="1" x14ac:dyDescent="0.3">
      <c r="A574" s="144">
        <v>7135</v>
      </c>
      <c r="B574" s="92"/>
      <c r="C574" s="144" t="s">
        <v>922</v>
      </c>
      <c r="E574" s="92"/>
      <c r="F574" s="145">
        <v>124.44</v>
      </c>
    </row>
    <row r="575" spans="1:6" ht="15" customHeight="1" x14ac:dyDescent="0.3">
      <c r="A575" s="144">
        <v>7175</v>
      </c>
      <c r="B575" s="92"/>
      <c r="C575" s="144" t="s">
        <v>1024</v>
      </c>
      <c r="E575" s="92"/>
      <c r="F575" s="145">
        <v>287.17</v>
      </c>
    </row>
    <row r="576" spans="1:6" ht="15" customHeight="1" x14ac:dyDescent="0.3">
      <c r="A576" s="144">
        <v>7201</v>
      </c>
      <c r="B576" s="92"/>
      <c r="C576" s="144" t="s">
        <v>927</v>
      </c>
      <c r="E576" s="92"/>
      <c r="F576" s="145">
        <v>71.8</v>
      </c>
    </row>
    <row r="577" spans="1:6" ht="15" customHeight="1" x14ac:dyDescent="0.3">
      <c r="A577" s="144">
        <v>7540</v>
      </c>
      <c r="B577" s="92"/>
      <c r="C577" s="144" t="s">
        <v>809</v>
      </c>
      <c r="E577" s="92"/>
      <c r="F577" s="145">
        <v>175.17</v>
      </c>
    </row>
    <row r="578" spans="1:6" ht="15" customHeight="1" x14ac:dyDescent="0.3">
      <c r="A578" s="144">
        <v>7895</v>
      </c>
      <c r="B578" s="92"/>
      <c r="C578" s="144" t="s">
        <v>588</v>
      </c>
      <c r="E578" s="92"/>
      <c r="F578" s="145">
        <v>146.26</v>
      </c>
    </row>
    <row r="579" spans="1:6" ht="15" customHeight="1" x14ac:dyDescent="0.3">
      <c r="A579" s="144">
        <v>7954</v>
      </c>
      <c r="B579" s="92"/>
      <c r="C579" s="144" t="s">
        <v>817</v>
      </c>
      <c r="E579" s="92"/>
      <c r="F579" s="145">
        <v>150.66999999999999</v>
      </c>
    </row>
    <row r="580" spans="1:6" ht="15" customHeight="1" x14ac:dyDescent="0.3">
      <c r="A580" s="144">
        <v>8091</v>
      </c>
      <c r="B580" s="92"/>
      <c r="C580" s="144" t="s">
        <v>800</v>
      </c>
      <c r="E580" s="92"/>
      <c r="F580" s="145">
        <v>38.28</v>
      </c>
    </row>
    <row r="581" spans="1:6" ht="15" customHeight="1" x14ac:dyDescent="0.3">
      <c r="A581" s="144">
        <v>8771</v>
      </c>
      <c r="B581" s="92"/>
      <c r="C581" s="144" t="s">
        <v>464</v>
      </c>
      <c r="E581" s="92"/>
      <c r="F581" s="145">
        <v>373.54</v>
      </c>
    </row>
    <row r="582" spans="1:6" ht="15" customHeight="1" x14ac:dyDescent="0.3">
      <c r="A582" s="144">
        <v>92324</v>
      </c>
      <c r="B582" s="92"/>
      <c r="C582" s="144" t="s">
        <v>906</v>
      </c>
      <c r="E582" s="92"/>
      <c r="F582" s="145">
        <v>87.11</v>
      </c>
    </row>
  </sheetData>
  <autoFilter ref="A2:F2" xr:uid="{00000000-0001-0000-0200-000000000000}"/>
  <printOptions horizontalCentered="1" gridLines="1"/>
  <pageMargins left="0.7" right="0.7" top="0.75" bottom="0.75" header="0" footer="0"/>
  <pageSetup paperSize="9" scale="83" fitToHeight="0" pageOrder="overThenDown" orientation="portrait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0080"/>
    <pageSetUpPr fitToPage="1"/>
  </sheetPr>
  <dimension ref="B1:AK77"/>
  <sheetViews>
    <sheetView showGridLines="0" tabSelected="1" zoomScale="55" zoomScaleNormal="55" workbookViewId="0">
      <selection activeCell="D39" sqref="D39:AA39"/>
    </sheetView>
  </sheetViews>
  <sheetFormatPr defaultColWidth="14.44140625" defaultRowHeight="15" customHeight="1" x14ac:dyDescent="0.3"/>
  <cols>
    <col min="2" max="2" width="18" customWidth="1"/>
    <col min="3" max="3" width="7" customWidth="1"/>
    <col min="4" max="4" width="13.5546875" customWidth="1"/>
    <col min="5" max="5" width="6.109375" customWidth="1"/>
    <col min="6" max="6" width="3.5546875" customWidth="1"/>
    <col min="7" max="7" width="6" customWidth="1"/>
    <col min="8" max="8" width="5.5546875" customWidth="1"/>
    <col min="9" max="9" width="6.109375" customWidth="1"/>
    <col min="10" max="10" width="8.109375" customWidth="1"/>
    <col min="11" max="11" width="7.33203125" customWidth="1"/>
    <col min="12" max="12" width="13" customWidth="1"/>
    <col min="13" max="13" width="14.109375" customWidth="1"/>
    <col min="14" max="14" width="10.5546875" customWidth="1"/>
    <col min="15" max="15" width="9.5546875" customWidth="1"/>
    <col min="16" max="16" width="16.33203125" customWidth="1"/>
    <col min="17" max="17" width="5.6640625" customWidth="1"/>
    <col min="18" max="18" width="6.44140625" customWidth="1"/>
    <col min="19" max="19" width="9.33203125" customWidth="1"/>
    <col min="20" max="20" width="11.44140625" customWidth="1"/>
    <col min="21" max="21" width="8.44140625" customWidth="1"/>
    <col min="22" max="22" width="8.109375" customWidth="1"/>
    <col min="23" max="24" width="6" customWidth="1"/>
    <col min="25" max="25" width="6.6640625" customWidth="1"/>
    <col min="26" max="27" width="6" customWidth="1"/>
    <col min="28" max="28" width="7.33203125" customWidth="1"/>
    <col min="29" max="29" width="7.44140625" customWidth="1"/>
    <col min="30" max="30" width="6" customWidth="1"/>
    <col min="31" max="31" width="10.5546875" customWidth="1"/>
    <col min="32" max="32" width="15.33203125" customWidth="1"/>
    <col min="33" max="33" width="12.33203125" customWidth="1"/>
    <col min="34" max="34" width="7.6640625" customWidth="1"/>
    <col min="35" max="35" width="5" customWidth="1"/>
    <col min="36" max="36" width="6.44140625" bestFit="1" customWidth="1"/>
    <col min="37" max="37" width="22.44140625" bestFit="1" customWidth="1"/>
  </cols>
  <sheetData>
    <row r="1" spans="2:37" ht="3" customHeight="1" x14ac:dyDescent="0.3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8"/>
    </row>
    <row r="2" spans="2:37" ht="90.75" customHeight="1" x14ac:dyDescent="0.3">
      <c r="B2" s="39"/>
      <c r="C2" s="40"/>
      <c r="D2" s="40"/>
      <c r="E2" s="40"/>
      <c r="F2" s="40"/>
      <c r="G2" s="40"/>
      <c r="H2" s="40"/>
      <c r="I2" s="40"/>
      <c r="J2" s="191" t="s">
        <v>653</v>
      </c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40"/>
      <c r="AE2" s="192" t="s">
        <v>708</v>
      </c>
      <c r="AF2" s="150"/>
      <c r="AG2" s="151"/>
      <c r="AH2" s="193"/>
      <c r="AI2" s="150"/>
      <c r="AJ2" s="150"/>
      <c r="AK2" s="151"/>
    </row>
    <row r="3" spans="2:37" ht="7.5" customHeight="1" x14ac:dyDescent="0.3"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3"/>
    </row>
    <row r="4" spans="2:37" ht="6" customHeight="1" x14ac:dyDescent="0.3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6"/>
    </row>
    <row r="5" spans="2:37" ht="21" customHeight="1" x14ac:dyDescent="0.3">
      <c r="B5" s="47" t="s">
        <v>654</v>
      </c>
      <c r="C5" s="199"/>
      <c r="D5" s="151"/>
      <c r="E5" s="45"/>
      <c r="F5" s="45"/>
      <c r="G5" s="200" t="s">
        <v>655</v>
      </c>
      <c r="H5" s="148"/>
      <c r="I5" s="148"/>
      <c r="J5" s="182"/>
      <c r="K5" s="201"/>
      <c r="L5" s="151"/>
      <c r="M5" s="48" t="s">
        <v>656</v>
      </c>
      <c r="N5" s="202"/>
      <c r="O5" s="151"/>
      <c r="P5" s="45" t="s">
        <v>657</v>
      </c>
      <c r="Q5" s="49">
        <f>N5-K5</f>
        <v>0</v>
      </c>
      <c r="R5" s="194"/>
      <c r="S5" s="148"/>
      <c r="T5" s="48" t="s">
        <v>658</v>
      </c>
      <c r="U5" s="195"/>
      <c r="V5" s="151"/>
      <c r="W5" s="180">
        <f>U5</f>
        <v>0</v>
      </c>
      <c r="X5" s="150"/>
      <c r="Y5" s="150"/>
      <c r="Z5" s="151"/>
      <c r="AA5" s="181"/>
      <c r="AB5" s="148"/>
      <c r="AC5" s="148"/>
      <c r="AD5" s="182"/>
      <c r="AE5" s="183" t="s">
        <v>659</v>
      </c>
      <c r="AF5" s="184"/>
      <c r="AG5" s="185"/>
      <c r="AH5" s="188"/>
      <c r="AI5" s="184"/>
      <c r="AJ5" s="184"/>
      <c r="AK5" s="185"/>
    </row>
    <row r="6" spans="2:37" ht="3" customHeight="1" x14ac:dyDescent="0.3">
      <c r="B6" s="50"/>
      <c r="C6" s="51"/>
      <c r="D6" s="48"/>
      <c r="E6" s="48"/>
      <c r="F6" s="45"/>
      <c r="G6" s="48"/>
      <c r="H6" s="48"/>
      <c r="I6" s="48"/>
      <c r="J6" s="48"/>
      <c r="K6" s="45"/>
      <c r="L6" s="45"/>
      <c r="M6" s="52"/>
      <c r="N6" s="45"/>
      <c r="O6" s="52"/>
      <c r="P6" s="52"/>
      <c r="Q6" s="53"/>
      <c r="R6" s="53"/>
      <c r="S6" s="52"/>
      <c r="T6" s="52"/>
      <c r="U6" s="45"/>
      <c r="V6" s="45"/>
      <c r="W6" s="45"/>
      <c r="X6" s="45"/>
      <c r="Y6" s="45"/>
      <c r="Z6" s="45"/>
      <c r="AA6" s="45"/>
      <c r="AB6" s="45"/>
      <c r="AC6" s="45"/>
      <c r="AD6" s="45"/>
      <c r="AE6" s="186"/>
      <c r="AF6" s="148"/>
      <c r="AG6" s="182"/>
      <c r="AH6" s="186"/>
      <c r="AI6" s="148"/>
      <c r="AJ6" s="148"/>
      <c r="AK6" s="182"/>
    </row>
    <row r="7" spans="2:37" ht="21" customHeight="1" x14ac:dyDescent="0.3">
      <c r="B7" s="54"/>
      <c r="C7" s="196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52"/>
      <c r="X7" s="52"/>
      <c r="Y7" s="45"/>
      <c r="Z7" s="45"/>
      <c r="AA7" s="45"/>
      <c r="AB7" s="45"/>
      <c r="AC7" s="45"/>
      <c r="AD7" s="45"/>
      <c r="AE7" s="186"/>
      <c r="AF7" s="148"/>
      <c r="AG7" s="182"/>
      <c r="AH7" s="186"/>
      <c r="AI7" s="148"/>
      <c r="AJ7" s="148"/>
      <c r="AK7" s="182"/>
    </row>
    <row r="8" spans="2:37" ht="21" customHeight="1" x14ac:dyDescent="0.3">
      <c r="B8" s="54" t="s">
        <v>660</v>
      </c>
      <c r="C8" s="197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1"/>
      <c r="W8" s="52"/>
      <c r="X8" s="189" t="s">
        <v>661</v>
      </c>
      <c r="Y8" s="148"/>
      <c r="Z8" s="148"/>
      <c r="AA8" s="148"/>
      <c r="AB8" s="190"/>
      <c r="AC8" s="151"/>
      <c r="AD8" s="45"/>
      <c r="AE8" s="186"/>
      <c r="AF8" s="148"/>
      <c r="AG8" s="182"/>
      <c r="AH8" s="186"/>
      <c r="AI8" s="148"/>
      <c r="AJ8" s="148"/>
      <c r="AK8" s="182"/>
    </row>
    <row r="9" spans="2:37" ht="11.25" customHeight="1" x14ac:dyDescent="0.3">
      <c r="B9" s="19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56"/>
      <c r="AE9" s="187"/>
      <c r="AF9" s="177"/>
      <c r="AG9" s="178"/>
      <c r="AH9" s="187"/>
      <c r="AI9" s="177"/>
      <c r="AJ9" s="177"/>
      <c r="AK9" s="178"/>
    </row>
    <row r="10" spans="2:37" ht="6" customHeight="1" x14ac:dyDescent="0.3"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6"/>
    </row>
    <row r="11" spans="2:37" ht="27.15" customHeight="1" x14ac:dyDescent="0.3">
      <c r="B11" s="189" t="s">
        <v>662</v>
      </c>
      <c r="C11" s="148"/>
      <c r="D11" s="148"/>
      <c r="E11" s="197"/>
      <c r="F11" s="215"/>
      <c r="G11" s="215"/>
      <c r="H11" s="215"/>
      <c r="I11" s="215"/>
      <c r="J11" s="215"/>
      <c r="K11" s="215"/>
      <c r="L11" s="216"/>
      <c r="M11" s="48" t="s">
        <v>663</v>
      </c>
      <c r="N11" s="217"/>
      <c r="O11" s="150"/>
      <c r="P11" s="151"/>
      <c r="Q11" s="57"/>
      <c r="R11" s="220" t="s">
        <v>664</v>
      </c>
      <c r="S11" s="148"/>
      <c r="T11" s="217" t="s">
        <v>1111</v>
      </c>
      <c r="U11" s="150"/>
      <c r="V11" s="151"/>
      <c r="W11" s="57"/>
      <c r="X11" s="48" t="s">
        <v>665</v>
      </c>
      <c r="Y11" s="217"/>
      <c r="Z11" s="150"/>
      <c r="AA11" s="150"/>
      <c r="AB11" s="150"/>
      <c r="AC11" s="151"/>
      <c r="AD11" s="58"/>
      <c r="AE11" s="221" t="s">
        <v>666</v>
      </c>
      <c r="AF11" s="184"/>
      <c r="AG11" s="185"/>
      <c r="AH11" s="188"/>
      <c r="AI11" s="203"/>
      <c r="AJ11" s="203"/>
      <c r="AK11" s="204"/>
    </row>
    <row r="12" spans="2:37" ht="45.75" customHeight="1" x14ac:dyDescent="0.3">
      <c r="B12" s="59"/>
      <c r="C12" s="189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52"/>
      <c r="P12" s="55"/>
      <c r="Q12" s="55"/>
      <c r="R12" s="55"/>
      <c r="S12" s="55"/>
      <c r="T12" s="55"/>
      <c r="U12" s="55"/>
      <c r="V12" s="55"/>
      <c r="W12" s="58"/>
      <c r="X12" s="60"/>
      <c r="Y12" s="60"/>
      <c r="Z12" s="60"/>
      <c r="AA12" s="60"/>
      <c r="AB12" s="60"/>
      <c r="AC12" s="58"/>
      <c r="AD12" s="61" t="s">
        <v>450</v>
      </c>
      <c r="AE12" s="218" t="s">
        <v>667</v>
      </c>
      <c r="AF12" s="148"/>
      <c r="AG12" s="182"/>
      <c r="AH12" s="205"/>
      <c r="AI12" s="206"/>
      <c r="AJ12" s="206"/>
      <c r="AK12" s="207"/>
    </row>
    <row r="13" spans="2:37" ht="30" customHeight="1" x14ac:dyDescent="0.3">
      <c r="B13" s="44" t="s">
        <v>668</v>
      </c>
      <c r="C13" s="222"/>
      <c r="D13" s="150"/>
      <c r="E13" s="151"/>
      <c r="F13" s="62"/>
      <c r="G13" s="223" t="s">
        <v>669</v>
      </c>
      <c r="H13" s="148"/>
      <c r="I13" s="148"/>
      <c r="J13" s="222"/>
      <c r="K13" s="150"/>
      <c r="L13" s="151"/>
      <c r="M13" s="63" t="s">
        <v>670</v>
      </c>
      <c r="N13" s="202"/>
      <c r="O13" s="151"/>
      <c r="P13" s="48" t="s">
        <v>671</v>
      </c>
      <c r="Q13" s="172"/>
      <c r="R13" s="150"/>
      <c r="S13" s="150"/>
      <c r="T13" s="151"/>
      <c r="U13" s="64"/>
      <c r="V13" s="173"/>
      <c r="W13" s="148"/>
      <c r="X13" s="148"/>
      <c r="Y13" s="174"/>
      <c r="Z13" s="148"/>
      <c r="AA13" s="148"/>
      <c r="AB13" s="148"/>
      <c r="AC13" s="58"/>
      <c r="AD13" s="61"/>
      <c r="AE13" s="219" t="s">
        <v>672</v>
      </c>
      <c r="AF13" s="177"/>
      <c r="AG13" s="178"/>
      <c r="AH13" s="208"/>
      <c r="AI13" s="203"/>
      <c r="AJ13" s="203"/>
      <c r="AK13" s="204"/>
    </row>
    <row r="14" spans="2:37" ht="12.9" customHeight="1" x14ac:dyDescent="0.3">
      <c r="B14" s="19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82"/>
    </row>
    <row r="15" spans="2:37" ht="14.4" x14ac:dyDescent="0.3">
      <c r="B15" s="214" t="s">
        <v>673</v>
      </c>
      <c r="C15" s="209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5"/>
    </row>
    <row r="16" spans="2:37" ht="14.4" x14ac:dyDescent="0.3">
      <c r="B16" s="186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82"/>
    </row>
    <row r="17" spans="2:37" ht="14.4" x14ac:dyDescent="0.3">
      <c r="B17" s="186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82"/>
    </row>
    <row r="18" spans="2:37" ht="14.4" x14ac:dyDescent="0.3">
      <c r="B18" s="186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82"/>
    </row>
    <row r="19" spans="2:37" ht="14.4" x14ac:dyDescent="0.3">
      <c r="B19" s="18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8"/>
    </row>
    <row r="20" spans="2:37" ht="46.8" x14ac:dyDescent="0.3">
      <c r="B20" s="65" t="s">
        <v>674</v>
      </c>
      <c r="C20" s="210" t="s">
        <v>675</v>
      </c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/>
      <c r="S20" s="66" t="s">
        <v>22</v>
      </c>
      <c r="T20" s="67" t="s">
        <v>676</v>
      </c>
      <c r="U20" s="213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2"/>
      <c r="AJ20" s="68" t="s">
        <v>677</v>
      </c>
      <c r="AK20" s="69" t="s">
        <v>456</v>
      </c>
    </row>
    <row r="21" spans="2:37" ht="18" customHeight="1" x14ac:dyDescent="0.3">
      <c r="B21" s="70"/>
      <c r="C21" s="155" t="str">
        <f>IF(B21="","",VLOOKUP(B21,'Mão de Obra'!A:F,3,FALSE))</f>
        <v/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1"/>
      <c r="S21" s="71" t="str">
        <f>IF(B21="","",VLOOKUP(B21,'Mão de Obra'!A:F,4,FALSE))</f>
        <v/>
      </c>
      <c r="T21" s="72" t="str">
        <f>IF(B21="","",VLOOKUP(B21,'Mão de Obra'!A:F,6,FALSE))</f>
        <v/>
      </c>
      <c r="U21" s="167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1"/>
      <c r="AJ21" s="73">
        <f t="shared" ref="AJ21:AJ36" si="0">U21</f>
        <v>0</v>
      </c>
      <c r="AK21" s="74" t="str">
        <f t="shared" ref="AK21:AK36" si="1">IF(U21="","",(AJ21*T21))</f>
        <v/>
      </c>
    </row>
    <row r="22" spans="2:37" ht="18" customHeight="1" x14ac:dyDescent="0.3">
      <c r="B22" s="70"/>
      <c r="C22" s="155" t="str">
        <f>IF(B22="","",VLOOKUP(B22,'Mão de Obra'!A:F,3,FALSE))</f>
        <v/>
      </c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1"/>
      <c r="S22" s="71" t="str">
        <f>IF(B22="","",VLOOKUP(B22,'Mão de Obra'!A:F,4,FALSE))</f>
        <v/>
      </c>
      <c r="T22" s="72" t="str">
        <f>IF(B22="","",VLOOKUP(B22,'Mão de Obra'!A:F,6,FALSE))</f>
        <v/>
      </c>
      <c r="U22" s="167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1"/>
      <c r="AJ22" s="73">
        <f t="shared" si="0"/>
        <v>0</v>
      </c>
      <c r="AK22" s="74" t="str">
        <f t="shared" si="1"/>
        <v/>
      </c>
    </row>
    <row r="23" spans="2:37" ht="18" customHeight="1" x14ac:dyDescent="0.3">
      <c r="B23" s="70"/>
      <c r="C23" s="155" t="str">
        <f>IF(B23="","",VLOOKUP(B23,'Mão de Obra'!A:F,3,FALSE))</f>
        <v/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  <c r="S23" s="71" t="str">
        <f>IF(B23="","",VLOOKUP(B23,'Mão de Obra'!A:F,4,FALSE))</f>
        <v/>
      </c>
      <c r="T23" s="72" t="str">
        <f>IF(B23="","",VLOOKUP(B23,'Mão de Obra'!A:F,6,FALSE))</f>
        <v/>
      </c>
      <c r="U23" s="167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1"/>
      <c r="AJ23" s="73">
        <f t="shared" si="0"/>
        <v>0</v>
      </c>
      <c r="AK23" s="74" t="str">
        <f t="shared" si="1"/>
        <v/>
      </c>
    </row>
    <row r="24" spans="2:37" ht="18" customHeight="1" x14ac:dyDescent="0.3">
      <c r="B24" s="70"/>
      <c r="C24" s="155" t="str">
        <f>IF(B24="","",VLOOKUP(B24,'Mão de Obra'!A:F,3,FALSE))</f>
        <v/>
      </c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1"/>
      <c r="S24" s="71" t="str">
        <f>IF(B24="","",VLOOKUP(B24,'Mão de Obra'!A:F,4,FALSE))</f>
        <v/>
      </c>
      <c r="T24" s="72" t="str">
        <f>IF(B24="","",VLOOKUP(B24,'Mão de Obra'!A:F,6,FALSE))</f>
        <v/>
      </c>
      <c r="U24" s="167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1"/>
      <c r="AJ24" s="73">
        <f t="shared" si="0"/>
        <v>0</v>
      </c>
      <c r="AK24" s="74" t="str">
        <f t="shared" si="1"/>
        <v/>
      </c>
    </row>
    <row r="25" spans="2:37" ht="18" customHeight="1" x14ac:dyDescent="0.3">
      <c r="B25" s="70"/>
      <c r="C25" s="155" t="str">
        <f>IF(B25="","",VLOOKUP(B25,'Mão de Obra'!A:F,3,FALSE))</f>
        <v/>
      </c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1"/>
      <c r="S25" s="71" t="str">
        <f>IF(B25="","",VLOOKUP(B25,'Mão de Obra'!A:F,4,FALSE))</f>
        <v/>
      </c>
      <c r="T25" s="72" t="str">
        <f>IF(B25="","",VLOOKUP(B25,'Mão de Obra'!A:F,6,FALSE))</f>
        <v/>
      </c>
      <c r="U25" s="167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1"/>
      <c r="AJ25" s="73">
        <f t="shared" si="0"/>
        <v>0</v>
      </c>
      <c r="AK25" s="74" t="str">
        <f t="shared" si="1"/>
        <v/>
      </c>
    </row>
    <row r="26" spans="2:37" ht="18" customHeight="1" x14ac:dyDescent="0.3">
      <c r="B26" s="70"/>
      <c r="C26" s="155" t="str">
        <f>IF(B26="","",VLOOKUP(B26,'Mão de Obra'!A:F,3,FALSE))</f>
        <v/>
      </c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1"/>
      <c r="S26" s="71" t="str">
        <f>IF(B26="","",VLOOKUP(B26,'Mão de Obra'!A:F,4,FALSE))</f>
        <v/>
      </c>
      <c r="T26" s="72" t="str">
        <f>IF(B26="","",VLOOKUP(B26,'Mão de Obra'!A:F,6,FALSE))</f>
        <v/>
      </c>
      <c r="U26" s="149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1"/>
      <c r="AJ26" s="73">
        <f t="shared" si="0"/>
        <v>0</v>
      </c>
      <c r="AK26" s="74" t="str">
        <f t="shared" si="1"/>
        <v/>
      </c>
    </row>
    <row r="27" spans="2:37" ht="18" customHeight="1" x14ac:dyDescent="0.3">
      <c r="B27" s="70"/>
      <c r="C27" s="155" t="str">
        <f>IF(B27="","",VLOOKUP(B27,'Mão de Obra'!A:F,3,FALSE))</f>
        <v/>
      </c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1"/>
      <c r="S27" s="71" t="str">
        <f>IF(B27="","",VLOOKUP(B27,'Mão de Obra'!A:F,4,FALSE))</f>
        <v/>
      </c>
      <c r="T27" s="72" t="str">
        <f>IF(B27="","",VLOOKUP(B27,'Mão de Obra'!A:F,6,FALSE))</f>
        <v/>
      </c>
      <c r="U27" s="149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1"/>
      <c r="AJ27" s="73">
        <f t="shared" si="0"/>
        <v>0</v>
      </c>
      <c r="AK27" s="74" t="str">
        <f t="shared" si="1"/>
        <v/>
      </c>
    </row>
    <row r="28" spans="2:37" ht="18" customHeight="1" x14ac:dyDescent="0.3">
      <c r="B28" s="70"/>
      <c r="C28" s="155" t="str">
        <f>IF(B28="","",VLOOKUP(B28,'Mão de Obra'!A:F,3,FALSE))</f>
        <v/>
      </c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1"/>
      <c r="S28" s="71" t="str">
        <f>IF(B28="","",VLOOKUP(B28,'Mão de Obra'!A:F,4,FALSE))</f>
        <v/>
      </c>
      <c r="T28" s="72" t="str">
        <f>IF(B28="","",VLOOKUP(B28,'Mão de Obra'!A:F,6,FALSE))</f>
        <v/>
      </c>
      <c r="U28" s="149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1"/>
      <c r="AJ28" s="73">
        <f t="shared" si="0"/>
        <v>0</v>
      </c>
      <c r="AK28" s="74" t="str">
        <f t="shared" si="1"/>
        <v/>
      </c>
    </row>
    <row r="29" spans="2:37" ht="18" customHeight="1" x14ac:dyDescent="0.3">
      <c r="B29" s="70"/>
      <c r="C29" s="155" t="str">
        <f>IF(B29="","",VLOOKUP(B29,'Mão de Obra'!A:F,3,FALSE))</f>
        <v/>
      </c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1"/>
      <c r="S29" s="71" t="str">
        <f>IF(B29="","",VLOOKUP(B29,'Mão de Obra'!A:F,4,FALSE))</f>
        <v/>
      </c>
      <c r="T29" s="72" t="str">
        <f>IF(B29="","",VLOOKUP(B29,'Mão de Obra'!A:F,6,FALSE))</f>
        <v/>
      </c>
      <c r="U29" s="149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1"/>
      <c r="AJ29" s="73">
        <f t="shared" si="0"/>
        <v>0</v>
      </c>
      <c r="AK29" s="74" t="str">
        <f t="shared" si="1"/>
        <v/>
      </c>
    </row>
    <row r="30" spans="2:37" ht="18" customHeight="1" x14ac:dyDescent="0.3">
      <c r="B30" s="70"/>
      <c r="C30" s="155" t="str">
        <f>IF(B30="","",VLOOKUP(B30,'Mão de Obra'!A:F,3,FALSE))</f>
        <v/>
      </c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1"/>
      <c r="S30" s="71" t="str">
        <f>IF(B30="","",VLOOKUP(B30,'Mão de Obra'!A:F,4,FALSE))</f>
        <v/>
      </c>
      <c r="T30" s="72" t="str">
        <f>IF(B30="","",VLOOKUP(B30,'Mão de Obra'!A:F,6,FALSE))</f>
        <v/>
      </c>
      <c r="U30" s="149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1"/>
      <c r="AJ30" s="73">
        <f t="shared" si="0"/>
        <v>0</v>
      </c>
      <c r="AK30" s="74" t="str">
        <f t="shared" si="1"/>
        <v/>
      </c>
    </row>
    <row r="31" spans="2:37" ht="18" customHeight="1" x14ac:dyDescent="0.3">
      <c r="B31" s="70"/>
      <c r="C31" s="155" t="str">
        <f>IF(B31="","",VLOOKUP(B31,'Mão de Obra'!A:F,3,FALSE))</f>
        <v/>
      </c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1"/>
      <c r="S31" s="71" t="str">
        <f>IF(B31="","",VLOOKUP(B31,'Mão de Obra'!A:F,4,FALSE))</f>
        <v/>
      </c>
      <c r="T31" s="72" t="str">
        <f>IF(B31="","",VLOOKUP(B31,'Mão de Obra'!A:F,6,FALSE))</f>
        <v/>
      </c>
      <c r="U31" s="149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1"/>
      <c r="AJ31" s="73">
        <f t="shared" si="0"/>
        <v>0</v>
      </c>
      <c r="AK31" s="74" t="str">
        <f t="shared" si="1"/>
        <v/>
      </c>
    </row>
    <row r="32" spans="2:37" ht="18" customHeight="1" x14ac:dyDescent="0.3">
      <c r="B32" s="70"/>
      <c r="C32" s="155" t="str">
        <f>IF(B32="","",VLOOKUP(B32,'Mão de Obra'!A:F,3,FALSE))</f>
        <v/>
      </c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1"/>
      <c r="S32" s="71" t="str">
        <f>IF(B32="","",VLOOKUP(B32,'Mão de Obra'!A:F,4,FALSE))</f>
        <v/>
      </c>
      <c r="T32" s="72" t="str">
        <f>IF(B32="","",VLOOKUP(B32,'Mão de Obra'!A:F,6,FALSE))</f>
        <v/>
      </c>
      <c r="U32" s="149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1"/>
      <c r="AJ32" s="73">
        <f t="shared" si="0"/>
        <v>0</v>
      </c>
      <c r="AK32" s="74" t="str">
        <f t="shared" si="1"/>
        <v/>
      </c>
    </row>
    <row r="33" spans="2:37" ht="18" customHeight="1" x14ac:dyDescent="0.3">
      <c r="B33" s="70"/>
      <c r="C33" s="155" t="str">
        <f>IF(B33="","",VLOOKUP(B33,'Mão de Obra'!A:F,3,FALSE))</f>
        <v/>
      </c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1"/>
      <c r="S33" s="71" t="str">
        <f>IF(B33="","",VLOOKUP(B33,'Mão de Obra'!A:F,4,FALSE))</f>
        <v/>
      </c>
      <c r="T33" s="72" t="str">
        <f>IF(B33="","",VLOOKUP(B33,'Mão de Obra'!A:F,6,FALSE))</f>
        <v/>
      </c>
      <c r="U33" s="149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1"/>
      <c r="AJ33" s="73">
        <f t="shared" si="0"/>
        <v>0</v>
      </c>
      <c r="AK33" s="74" t="str">
        <f t="shared" si="1"/>
        <v/>
      </c>
    </row>
    <row r="34" spans="2:37" ht="18" customHeight="1" x14ac:dyDescent="0.3">
      <c r="B34" s="70"/>
      <c r="C34" s="155" t="str">
        <f>IF(B34="","",VLOOKUP(B34,'Mão de Obra'!A:F,3,FALSE))</f>
        <v/>
      </c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1"/>
      <c r="S34" s="71" t="str">
        <f>IF(B34="","",VLOOKUP(B34,'Mão de Obra'!A:F,4,FALSE))</f>
        <v/>
      </c>
      <c r="T34" s="72" t="str">
        <f>IF(B34="","",VLOOKUP(B34,'Mão de Obra'!A:F,6,FALSE))</f>
        <v/>
      </c>
      <c r="U34" s="149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1"/>
      <c r="AJ34" s="73">
        <f t="shared" si="0"/>
        <v>0</v>
      </c>
      <c r="AK34" s="74" t="str">
        <f t="shared" si="1"/>
        <v/>
      </c>
    </row>
    <row r="35" spans="2:37" ht="18" customHeight="1" x14ac:dyDescent="0.3">
      <c r="B35" s="70"/>
      <c r="C35" s="155" t="str">
        <f>IF(B35="","",VLOOKUP(B35,'Mão de Obra'!A:F,3,FALSE))</f>
        <v/>
      </c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1"/>
      <c r="S35" s="71" t="str">
        <f>IF(B35="","",VLOOKUP(B35,'Mão de Obra'!A:F,4,FALSE))</f>
        <v/>
      </c>
      <c r="T35" s="72" t="str">
        <f>IF(B35="","",VLOOKUP(B35,'Mão de Obra'!A:F,6,FALSE))</f>
        <v/>
      </c>
      <c r="U35" s="149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1"/>
      <c r="AJ35" s="73">
        <f>U35</f>
        <v>0</v>
      </c>
      <c r="AK35" s="74" t="str">
        <f>IF(U35="","",(AJ35*T35))</f>
        <v/>
      </c>
    </row>
    <row r="36" spans="2:37" ht="18" customHeight="1" x14ac:dyDescent="0.3">
      <c r="B36" s="75"/>
      <c r="C36" s="155" t="str">
        <f>IF(B36="","",VLOOKUP(B36,'Mão de Obra'!A:F,3,FALSE))</f>
        <v/>
      </c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1"/>
      <c r="S36" s="71" t="str">
        <f>IF(B36="","",VLOOKUP(B36,'Mão de Obra'!A:F,4,FALSE))</f>
        <v/>
      </c>
      <c r="T36" s="72" t="str">
        <f>IF(B36="","",VLOOKUP(B36,'Mão de Obra'!A:F,6,FALSE))</f>
        <v/>
      </c>
      <c r="U36" s="149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1"/>
      <c r="AJ36" s="73">
        <f t="shared" si="0"/>
        <v>0</v>
      </c>
      <c r="AK36" s="74" t="str">
        <f t="shared" si="1"/>
        <v/>
      </c>
    </row>
    <row r="37" spans="2:37" ht="34.65" customHeight="1" x14ac:dyDescent="0.3">
      <c r="B37" s="175" t="s">
        <v>1115</v>
      </c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4"/>
      <c r="AK37" s="96">
        <f>SUM(AK21:AK36)</f>
        <v>0</v>
      </c>
    </row>
    <row r="38" spans="2:37" ht="34.65" customHeight="1" x14ac:dyDescent="0.3">
      <c r="B38" s="157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9"/>
    </row>
    <row r="39" spans="2:37" ht="34.65" customHeight="1" x14ac:dyDescent="0.3">
      <c r="B39" s="168">
        <v>26376</v>
      </c>
      <c r="C39" s="168"/>
      <c r="D39" s="160" t="s">
        <v>856</v>
      </c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1" t="s">
        <v>1116</v>
      </c>
      <c r="AC39" s="161"/>
      <c r="AD39" s="161"/>
      <c r="AE39" s="162" t="str">
        <f>IF(AG39&gt;0,($AK$37*0.3),"0")</f>
        <v>0</v>
      </c>
      <c r="AF39" s="163"/>
      <c r="AG39" s="156"/>
      <c r="AH39" s="156"/>
      <c r="AI39" s="156"/>
      <c r="AJ39" s="156"/>
      <c r="AK39" s="95" t="str">
        <f>AE39</f>
        <v>0</v>
      </c>
    </row>
    <row r="40" spans="2:37" ht="34.65" customHeight="1" x14ac:dyDescent="0.3">
      <c r="B40" s="168">
        <v>92525</v>
      </c>
      <c r="C40" s="168"/>
      <c r="D40" s="160" t="s">
        <v>998</v>
      </c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1" t="s">
        <v>1116</v>
      </c>
      <c r="AC40" s="161"/>
      <c r="AD40" s="161"/>
      <c r="AE40" s="162" t="str">
        <f>IF(AG40&gt;0,($AK$37*0.12),"0")</f>
        <v>0</v>
      </c>
      <c r="AF40" s="163"/>
      <c r="AG40" s="156"/>
      <c r="AH40" s="156"/>
      <c r="AI40" s="156"/>
      <c r="AJ40" s="156"/>
      <c r="AK40" s="95" t="str">
        <f>AE40</f>
        <v>0</v>
      </c>
    </row>
    <row r="41" spans="2:37" ht="34.65" customHeight="1" x14ac:dyDescent="0.3">
      <c r="B41" s="169" t="s">
        <v>1117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1"/>
      <c r="AK41" s="95">
        <f>SUM(AK40+AK39+AK37)</f>
        <v>0</v>
      </c>
    </row>
    <row r="42" spans="2:37" ht="15.75" customHeight="1" x14ac:dyDescent="0.3">
      <c r="B42" s="176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8"/>
    </row>
    <row r="43" spans="2:37" ht="15.75" customHeight="1" x14ac:dyDescent="0.3">
      <c r="B43" s="76" t="s">
        <v>674</v>
      </c>
      <c r="C43" s="164" t="s">
        <v>678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77" t="s">
        <v>22</v>
      </c>
      <c r="U43" s="179">
        <f>U20</f>
        <v>0</v>
      </c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6"/>
      <c r="AK43" s="78" t="s">
        <v>679</v>
      </c>
    </row>
    <row r="44" spans="2:37" ht="15.75" customHeight="1" x14ac:dyDescent="0.3">
      <c r="B44" s="70"/>
      <c r="C44" s="155" t="str">
        <f>IF(B44="","",VLOOKUP(B44,MATERIAL!A:C,2,FALSE))</f>
        <v/>
      </c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1"/>
      <c r="T44" s="71" t="str">
        <f>IF(B44="","",VLOOKUP(B44,MATERIAL!A:C,3,FALSE))</f>
        <v/>
      </c>
      <c r="U44" s="149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1"/>
      <c r="AK44" s="79">
        <f t="shared" ref="AK44:AK58" si="2">U44</f>
        <v>0</v>
      </c>
    </row>
    <row r="45" spans="2:37" ht="15.75" customHeight="1" x14ac:dyDescent="0.3">
      <c r="B45" s="70"/>
      <c r="C45" s="155" t="str">
        <f>IF(B45="","",VLOOKUP(B45,MATERIAL!A:C,2,FALSE))</f>
        <v/>
      </c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1"/>
      <c r="T45" s="71" t="str">
        <f>IF(B45="","",VLOOKUP(B45,MATERIAL!A:C,3,FALSE))</f>
        <v/>
      </c>
      <c r="U45" s="149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1"/>
      <c r="AK45" s="79">
        <f t="shared" si="2"/>
        <v>0</v>
      </c>
    </row>
    <row r="46" spans="2:37" ht="15.75" customHeight="1" x14ac:dyDescent="0.3">
      <c r="B46" s="70"/>
      <c r="C46" s="155" t="str">
        <f>IF(B46="","",VLOOKUP(B46,MATERIAL!A:C,2,FALSE))</f>
        <v/>
      </c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1"/>
      <c r="T46" s="71" t="str">
        <f>IF(B46="","",VLOOKUP(B46,MATERIAL!A:C,3,FALSE))</f>
        <v/>
      </c>
      <c r="U46" s="149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1"/>
      <c r="AK46" s="79">
        <f t="shared" si="2"/>
        <v>0</v>
      </c>
    </row>
    <row r="47" spans="2:37" ht="15.75" customHeight="1" x14ac:dyDescent="0.3">
      <c r="B47" s="70"/>
      <c r="C47" s="155" t="str">
        <f>IF(B47="","",VLOOKUP(B47,MATERIAL!A:C,2,FALSE))</f>
        <v/>
      </c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1"/>
      <c r="T47" s="71" t="str">
        <f>IF(B47="","",VLOOKUP(B47,MATERIAL!A:C,3,FALSE))</f>
        <v/>
      </c>
      <c r="U47" s="149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1"/>
      <c r="AK47" s="79">
        <f t="shared" si="2"/>
        <v>0</v>
      </c>
    </row>
    <row r="48" spans="2:37" ht="15.75" customHeight="1" x14ac:dyDescent="0.3">
      <c r="B48" s="70"/>
      <c r="C48" s="155" t="str">
        <f>IF(B48="","",VLOOKUP(B48,MATERIAL!A:C,2,FALSE))</f>
        <v/>
      </c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1"/>
      <c r="T48" s="71" t="str">
        <f>IF(B48="","",VLOOKUP(B48,MATERIAL!A:C,3,FALSE))</f>
        <v/>
      </c>
      <c r="U48" s="149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1"/>
      <c r="AK48" s="79">
        <f t="shared" si="2"/>
        <v>0</v>
      </c>
    </row>
    <row r="49" spans="2:37" ht="15.75" customHeight="1" x14ac:dyDescent="0.3">
      <c r="B49" s="70"/>
      <c r="C49" s="155" t="str">
        <f>IF(B49="","",VLOOKUP(B49,MATERIAL!A:C,2,FALSE))</f>
        <v/>
      </c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1"/>
      <c r="T49" s="71" t="str">
        <f>IF(B49="","",VLOOKUP(B49,MATERIAL!A:C,3,FALSE))</f>
        <v/>
      </c>
      <c r="U49" s="149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1"/>
      <c r="AK49" s="79">
        <f t="shared" si="2"/>
        <v>0</v>
      </c>
    </row>
    <row r="50" spans="2:37" ht="15.75" customHeight="1" x14ac:dyDescent="0.3">
      <c r="B50" s="70"/>
      <c r="C50" s="155" t="str">
        <f>IF(B50="","",VLOOKUP(B50,MATERIAL!A:C,2,FALSE))</f>
        <v/>
      </c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1"/>
      <c r="T50" s="71" t="str">
        <f>IF(B50="","",VLOOKUP(B50,MATERIAL!A:C,3,FALSE))</f>
        <v/>
      </c>
      <c r="U50" s="149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1"/>
      <c r="AK50" s="79">
        <f t="shared" si="2"/>
        <v>0</v>
      </c>
    </row>
    <row r="51" spans="2:37" ht="15.75" customHeight="1" x14ac:dyDescent="0.3">
      <c r="B51" s="70"/>
      <c r="C51" s="155" t="str">
        <f>IF(B51="","",VLOOKUP(B51,MATERIAL!A:C,2,FALSE))</f>
        <v/>
      </c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1"/>
      <c r="T51" s="71" t="str">
        <f>IF(B51="","",VLOOKUP(B51,MATERIAL!A:C,3,FALSE))</f>
        <v/>
      </c>
      <c r="U51" s="149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1"/>
      <c r="AK51" s="79">
        <f t="shared" si="2"/>
        <v>0</v>
      </c>
    </row>
    <row r="52" spans="2:37" ht="15.75" customHeight="1" x14ac:dyDescent="0.3">
      <c r="B52" s="70"/>
      <c r="C52" s="155" t="str">
        <f>IF(B52="","",VLOOKUP(B52,MATERIAL!A:C,2,FALSE))</f>
        <v/>
      </c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1"/>
      <c r="T52" s="71" t="str">
        <f>IF(B52="","",VLOOKUP(B52,MATERIAL!A:C,3,FALSE))</f>
        <v/>
      </c>
      <c r="U52" s="149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1"/>
      <c r="AK52" s="79">
        <f t="shared" si="2"/>
        <v>0</v>
      </c>
    </row>
    <row r="53" spans="2:37" ht="15.75" customHeight="1" x14ac:dyDescent="0.3">
      <c r="B53" s="70"/>
      <c r="C53" s="155" t="str">
        <f>IF(B53="","",VLOOKUP(B53,MATERIAL!A:C,2,FALSE))</f>
        <v/>
      </c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1"/>
      <c r="T53" s="71" t="str">
        <f>IF(B53="","",VLOOKUP(B53,MATERIAL!A:C,3,FALSE))</f>
        <v/>
      </c>
      <c r="U53" s="149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1"/>
      <c r="AK53" s="79">
        <f t="shared" si="2"/>
        <v>0</v>
      </c>
    </row>
    <row r="54" spans="2:37" ht="15.75" customHeight="1" x14ac:dyDescent="0.3">
      <c r="B54" s="70"/>
      <c r="C54" s="155" t="str">
        <f>IF(B54="","",VLOOKUP(B54,MATERIAL!A:C,2,FALSE))</f>
        <v/>
      </c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1"/>
      <c r="T54" s="71" t="str">
        <f>IF(B54="","",VLOOKUP(B54,MATERIAL!A:C,3,FALSE))</f>
        <v/>
      </c>
      <c r="U54" s="149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1"/>
      <c r="AK54" s="79">
        <f t="shared" si="2"/>
        <v>0</v>
      </c>
    </row>
    <row r="55" spans="2:37" ht="15.75" customHeight="1" x14ac:dyDescent="0.3">
      <c r="B55" s="70"/>
      <c r="C55" s="155" t="str">
        <f>IF(B55="","",VLOOKUP(B55,MATERIAL!A:C,2,FALSE))</f>
        <v/>
      </c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1"/>
      <c r="T55" s="71" t="str">
        <f>IF(B55="","",VLOOKUP(B55,MATERIAL!A:C,3,FALSE))</f>
        <v/>
      </c>
      <c r="U55" s="149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1"/>
      <c r="AK55" s="79">
        <f t="shared" si="2"/>
        <v>0</v>
      </c>
    </row>
    <row r="56" spans="2:37" ht="15.75" customHeight="1" x14ac:dyDescent="0.3">
      <c r="B56" s="70"/>
      <c r="C56" s="155" t="str">
        <f>IF(B56="","",VLOOKUP(B56,MATERIAL!A:C,2,FALSE))</f>
        <v/>
      </c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1"/>
      <c r="T56" s="71" t="str">
        <f>IF(B56="","",VLOOKUP(B56,MATERIAL!A:C,3,FALSE))</f>
        <v/>
      </c>
      <c r="U56" s="149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1"/>
      <c r="AK56" s="79">
        <f t="shared" si="2"/>
        <v>0</v>
      </c>
    </row>
    <row r="57" spans="2:37" ht="15.75" customHeight="1" x14ac:dyDescent="0.3">
      <c r="B57" s="70"/>
      <c r="C57" s="155" t="str">
        <f>IF(B57="","",VLOOKUP(B57,MATERIAL!A:C,2,FALSE))</f>
        <v/>
      </c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1"/>
      <c r="T57" s="71" t="str">
        <f>IF(B57="","",VLOOKUP(B57,MATERIAL!A:C,3,FALSE))</f>
        <v/>
      </c>
      <c r="U57" s="149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1"/>
      <c r="AK57" s="79">
        <f t="shared" si="2"/>
        <v>0</v>
      </c>
    </row>
    <row r="58" spans="2:37" ht="15.75" customHeight="1" x14ac:dyDescent="0.3">
      <c r="B58" s="70"/>
      <c r="C58" s="155" t="str">
        <f>IF(B58="","",VLOOKUP(B58,MATERIAL!A:C,2,FALSE))</f>
        <v/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1"/>
      <c r="T58" s="71" t="str">
        <f>IF(B58="","",VLOOKUP(B58,MATERIAL!A:C,3,FALSE))</f>
        <v/>
      </c>
      <c r="U58" s="149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1"/>
      <c r="AK58" s="79">
        <f t="shared" si="2"/>
        <v>0</v>
      </c>
    </row>
    <row r="59" spans="2:37" ht="15.75" customHeight="1" x14ac:dyDescent="0.3"/>
    <row r="60" spans="2:37" ht="15.75" customHeight="1" x14ac:dyDescent="0.3">
      <c r="B60" s="76" t="s">
        <v>674</v>
      </c>
      <c r="C60" s="164" t="s">
        <v>680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6"/>
      <c r="T60" s="77" t="s">
        <v>22</v>
      </c>
      <c r="U60" s="152" t="s">
        <v>681</v>
      </c>
      <c r="V60" s="153"/>
      <c r="W60" s="153"/>
      <c r="X60" s="154"/>
      <c r="Y60" s="152" t="s">
        <v>682</v>
      </c>
      <c r="Z60" s="153"/>
      <c r="AA60" s="154"/>
      <c r="AB60" s="152" t="s">
        <v>683</v>
      </c>
      <c r="AC60" s="153"/>
      <c r="AD60" s="154"/>
      <c r="AE60" s="152" t="s">
        <v>684</v>
      </c>
      <c r="AF60" s="153"/>
      <c r="AG60" s="154"/>
      <c r="AH60" s="152" t="s">
        <v>685</v>
      </c>
      <c r="AI60" s="153"/>
      <c r="AJ60" s="154"/>
      <c r="AK60" s="78" t="s">
        <v>679</v>
      </c>
    </row>
    <row r="61" spans="2:37" ht="15.75" customHeight="1" x14ac:dyDescent="0.3">
      <c r="B61" s="70"/>
      <c r="C61" s="155" t="str">
        <f>IF(B61="","",VLOOKUP(B61,MATERIAL!A:C,2,FALSE))</f>
        <v/>
      </c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1"/>
      <c r="T61" s="71" t="str">
        <f>IF(B61="","",VLOOKUP(B61,MATERIAL!A:C,3,FALSE))</f>
        <v/>
      </c>
      <c r="U61" s="149"/>
      <c r="V61" s="150"/>
      <c r="W61" s="150"/>
      <c r="X61" s="151"/>
      <c r="Y61" s="149"/>
      <c r="Z61" s="150"/>
      <c r="AA61" s="151"/>
      <c r="AB61" s="149"/>
      <c r="AC61" s="150"/>
      <c r="AD61" s="151"/>
      <c r="AE61" s="149"/>
      <c r="AF61" s="150"/>
      <c r="AG61" s="151"/>
      <c r="AH61" s="149"/>
      <c r="AI61" s="150"/>
      <c r="AJ61" s="151"/>
      <c r="AK61" s="80" t="str">
        <f t="shared" ref="AK61:AK75" si="3">IF(T61="","",(SUM(U61:AJ61)))</f>
        <v/>
      </c>
    </row>
    <row r="62" spans="2:37" ht="15.75" customHeight="1" x14ac:dyDescent="0.3">
      <c r="B62" s="70"/>
      <c r="C62" s="155" t="str">
        <f>IF(B62="","",VLOOKUP(B62,MATERIAL!A:C,2,FALSE))</f>
        <v/>
      </c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1"/>
      <c r="T62" s="71" t="str">
        <f>IF(B62="","",VLOOKUP(B62,MATERIAL!A:C,3,FALSE))</f>
        <v/>
      </c>
      <c r="U62" s="149"/>
      <c r="V62" s="150"/>
      <c r="W62" s="150"/>
      <c r="X62" s="151"/>
      <c r="Y62" s="149"/>
      <c r="Z62" s="150"/>
      <c r="AA62" s="151"/>
      <c r="AB62" s="149"/>
      <c r="AC62" s="150"/>
      <c r="AD62" s="151"/>
      <c r="AE62" s="149"/>
      <c r="AF62" s="150"/>
      <c r="AG62" s="151"/>
      <c r="AH62" s="149"/>
      <c r="AI62" s="150"/>
      <c r="AJ62" s="151"/>
      <c r="AK62" s="80" t="str">
        <f t="shared" si="3"/>
        <v/>
      </c>
    </row>
    <row r="63" spans="2:37" ht="15.75" customHeight="1" x14ac:dyDescent="0.3">
      <c r="B63" s="70"/>
      <c r="C63" s="155" t="str">
        <f>IF(B63="","",VLOOKUP(B63,MATERIAL!A:C,2,FALSE))</f>
        <v/>
      </c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1"/>
      <c r="T63" s="71" t="str">
        <f>IF(B63="","",VLOOKUP(B63,MATERIAL!A:C,3,FALSE))</f>
        <v/>
      </c>
      <c r="U63" s="149"/>
      <c r="V63" s="150"/>
      <c r="W63" s="150"/>
      <c r="X63" s="151"/>
      <c r="Y63" s="149"/>
      <c r="Z63" s="150"/>
      <c r="AA63" s="151"/>
      <c r="AB63" s="149"/>
      <c r="AC63" s="150"/>
      <c r="AD63" s="151"/>
      <c r="AE63" s="149"/>
      <c r="AF63" s="150"/>
      <c r="AG63" s="151"/>
      <c r="AH63" s="149"/>
      <c r="AI63" s="150"/>
      <c r="AJ63" s="151"/>
      <c r="AK63" s="80" t="str">
        <f t="shared" si="3"/>
        <v/>
      </c>
    </row>
    <row r="64" spans="2:37" ht="15.75" customHeight="1" x14ac:dyDescent="0.3">
      <c r="B64" s="70"/>
      <c r="C64" s="155" t="str">
        <f>IF(B64="","",VLOOKUP(B64,MATERIAL!A:C,2,FALSE))</f>
        <v/>
      </c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1"/>
      <c r="T64" s="71" t="str">
        <f>IF(B64="","",VLOOKUP(B64,MATERIAL!A:C,3,FALSE))</f>
        <v/>
      </c>
      <c r="U64" s="149"/>
      <c r="V64" s="150"/>
      <c r="W64" s="150"/>
      <c r="X64" s="151"/>
      <c r="Y64" s="149"/>
      <c r="Z64" s="150"/>
      <c r="AA64" s="151"/>
      <c r="AB64" s="149"/>
      <c r="AC64" s="150"/>
      <c r="AD64" s="151"/>
      <c r="AE64" s="149"/>
      <c r="AF64" s="150"/>
      <c r="AG64" s="151"/>
      <c r="AH64" s="149"/>
      <c r="AI64" s="150"/>
      <c r="AJ64" s="151"/>
      <c r="AK64" s="80" t="str">
        <f t="shared" si="3"/>
        <v/>
      </c>
    </row>
    <row r="65" spans="2:37" ht="15.75" customHeight="1" x14ac:dyDescent="0.3">
      <c r="B65" s="70"/>
      <c r="C65" s="155" t="str">
        <f>IF(B65="","",VLOOKUP(B65,MATERIAL!A:C,2,FALSE))</f>
        <v/>
      </c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1"/>
      <c r="T65" s="71" t="str">
        <f>IF(B65="","",VLOOKUP(B65,MATERIAL!A:C,3,FALSE))</f>
        <v/>
      </c>
      <c r="U65" s="149"/>
      <c r="V65" s="150"/>
      <c r="W65" s="150"/>
      <c r="X65" s="151"/>
      <c r="Y65" s="149"/>
      <c r="Z65" s="150"/>
      <c r="AA65" s="151"/>
      <c r="AB65" s="149"/>
      <c r="AC65" s="150"/>
      <c r="AD65" s="151"/>
      <c r="AE65" s="149"/>
      <c r="AF65" s="150"/>
      <c r="AG65" s="151"/>
      <c r="AH65" s="149"/>
      <c r="AI65" s="150"/>
      <c r="AJ65" s="151"/>
      <c r="AK65" s="80" t="str">
        <f t="shared" si="3"/>
        <v/>
      </c>
    </row>
    <row r="66" spans="2:37" ht="15.75" customHeight="1" x14ac:dyDescent="0.3">
      <c r="B66" s="70"/>
      <c r="C66" s="155" t="str">
        <f>IF(B66="","",VLOOKUP(B66,MATERIAL!A:C,2,FALSE))</f>
        <v/>
      </c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1"/>
      <c r="T66" s="71" t="str">
        <f>IF(B66="","",VLOOKUP(B66,MATERIAL!A:C,3,FALSE))</f>
        <v/>
      </c>
      <c r="U66" s="149"/>
      <c r="V66" s="150"/>
      <c r="W66" s="150"/>
      <c r="X66" s="151"/>
      <c r="Y66" s="149"/>
      <c r="Z66" s="150"/>
      <c r="AA66" s="151"/>
      <c r="AB66" s="149"/>
      <c r="AC66" s="150"/>
      <c r="AD66" s="151"/>
      <c r="AE66" s="149"/>
      <c r="AF66" s="150"/>
      <c r="AG66" s="151"/>
      <c r="AH66" s="149"/>
      <c r="AI66" s="150"/>
      <c r="AJ66" s="151"/>
      <c r="AK66" s="80" t="str">
        <f t="shared" si="3"/>
        <v/>
      </c>
    </row>
    <row r="67" spans="2:37" ht="15.75" customHeight="1" x14ac:dyDescent="0.3">
      <c r="B67" s="70"/>
      <c r="C67" s="155" t="str">
        <f>IF(B67="","",VLOOKUP(B67,MATERIAL!A:C,2,FALSE))</f>
        <v/>
      </c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1"/>
      <c r="T67" s="71" t="str">
        <f>IF(B67="","",VLOOKUP(B67,MATERIAL!A:C,3,FALSE))</f>
        <v/>
      </c>
      <c r="U67" s="149"/>
      <c r="V67" s="150"/>
      <c r="W67" s="150"/>
      <c r="X67" s="151"/>
      <c r="Y67" s="149"/>
      <c r="Z67" s="150"/>
      <c r="AA67" s="151"/>
      <c r="AB67" s="149"/>
      <c r="AC67" s="150"/>
      <c r="AD67" s="151"/>
      <c r="AE67" s="149"/>
      <c r="AF67" s="150"/>
      <c r="AG67" s="151"/>
      <c r="AH67" s="149"/>
      <c r="AI67" s="150"/>
      <c r="AJ67" s="151"/>
      <c r="AK67" s="80" t="str">
        <f t="shared" si="3"/>
        <v/>
      </c>
    </row>
    <row r="68" spans="2:37" ht="15.75" customHeight="1" x14ac:dyDescent="0.3">
      <c r="B68" s="70"/>
      <c r="C68" s="155" t="str">
        <f>IF(B68="","",VLOOKUP(B68,MATERIAL!A:C,2,FALSE))</f>
        <v/>
      </c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1"/>
      <c r="T68" s="71" t="str">
        <f>IF(B68="","",VLOOKUP(B68,MATERIAL!A:C,3,FALSE))</f>
        <v/>
      </c>
      <c r="U68" s="149"/>
      <c r="V68" s="150"/>
      <c r="W68" s="150"/>
      <c r="X68" s="151"/>
      <c r="Y68" s="149"/>
      <c r="Z68" s="150"/>
      <c r="AA68" s="151"/>
      <c r="AB68" s="149"/>
      <c r="AC68" s="150"/>
      <c r="AD68" s="151"/>
      <c r="AE68" s="149"/>
      <c r="AF68" s="150"/>
      <c r="AG68" s="151"/>
      <c r="AH68" s="149"/>
      <c r="AI68" s="150"/>
      <c r="AJ68" s="151"/>
      <c r="AK68" s="80" t="str">
        <f t="shared" si="3"/>
        <v/>
      </c>
    </row>
    <row r="69" spans="2:37" ht="15.75" customHeight="1" x14ac:dyDescent="0.3">
      <c r="B69" s="70"/>
      <c r="C69" s="155" t="str">
        <f>IF(B69="","",VLOOKUP(B69,MATERIAL!A:C,2,FALSE))</f>
        <v/>
      </c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1"/>
      <c r="T69" s="71" t="str">
        <f>IF(B69="","",VLOOKUP(B69,MATERIAL!A:C,3,FALSE))</f>
        <v/>
      </c>
      <c r="U69" s="149"/>
      <c r="V69" s="150"/>
      <c r="W69" s="150"/>
      <c r="X69" s="151"/>
      <c r="Y69" s="149"/>
      <c r="Z69" s="150"/>
      <c r="AA69" s="151"/>
      <c r="AB69" s="149"/>
      <c r="AC69" s="150"/>
      <c r="AD69" s="151"/>
      <c r="AE69" s="149"/>
      <c r="AF69" s="150"/>
      <c r="AG69" s="151"/>
      <c r="AH69" s="149"/>
      <c r="AI69" s="150"/>
      <c r="AJ69" s="151"/>
      <c r="AK69" s="80" t="str">
        <f t="shared" si="3"/>
        <v/>
      </c>
    </row>
    <row r="70" spans="2:37" ht="15.75" customHeight="1" x14ac:dyDescent="0.3">
      <c r="B70" s="70"/>
      <c r="C70" s="155" t="str">
        <f>IF(B70="","",VLOOKUP(B70,MATERIAL!A:C,2,FALSE))</f>
        <v/>
      </c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1"/>
      <c r="T70" s="71" t="str">
        <f>IF(B70="","",VLOOKUP(B70,MATERIAL!A:C,3,FALSE))</f>
        <v/>
      </c>
      <c r="U70" s="149"/>
      <c r="V70" s="150"/>
      <c r="W70" s="150"/>
      <c r="X70" s="151"/>
      <c r="Y70" s="149"/>
      <c r="Z70" s="150"/>
      <c r="AA70" s="151"/>
      <c r="AB70" s="149"/>
      <c r="AC70" s="150"/>
      <c r="AD70" s="151"/>
      <c r="AE70" s="149"/>
      <c r="AF70" s="150"/>
      <c r="AG70" s="151"/>
      <c r="AH70" s="149"/>
      <c r="AI70" s="150"/>
      <c r="AJ70" s="151"/>
      <c r="AK70" s="80" t="str">
        <f t="shared" si="3"/>
        <v/>
      </c>
    </row>
    <row r="71" spans="2:37" ht="15.75" customHeight="1" x14ac:dyDescent="0.3">
      <c r="B71" s="70"/>
      <c r="C71" s="155" t="str">
        <f>IF(B71="","",VLOOKUP(B71,MATERIAL!A:C,2,FALSE))</f>
        <v/>
      </c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1"/>
      <c r="T71" s="71" t="str">
        <f>IF(B71="","",VLOOKUP(B71,MATERIAL!A:C,3,FALSE))</f>
        <v/>
      </c>
      <c r="U71" s="149"/>
      <c r="V71" s="150"/>
      <c r="W71" s="150"/>
      <c r="X71" s="151"/>
      <c r="Y71" s="149"/>
      <c r="Z71" s="150"/>
      <c r="AA71" s="151"/>
      <c r="AB71" s="149"/>
      <c r="AC71" s="150"/>
      <c r="AD71" s="151"/>
      <c r="AE71" s="149"/>
      <c r="AF71" s="150"/>
      <c r="AG71" s="151"/>
      <c r="AH71" s="149"/>
      <c r="AI71" s="150"/>
      <c r="AJ71" s="151"/>
      <c r="AK71" s="80" t="str">
        <f t="shared" si="3"/>
        <v/>
      </c>
    </row>
    <row r="72" spans="2:37" ht="15.75" customHeight="1" x14ac:dyDescent="0.3">
      <c r="B72" s="70"/>
      <c r="C72" s="155" t="str">
        <f>IF(B72="","",VLOOKUP(B72,MATERIAL!A:C,2,FALSE))</f>
        <v/>
      </c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1"/>
      <c r="T72" s="71" t="str">
        <f>IF(B72="","",VLOOKUP(B72,MATERIAL!A:C,3,FALSE))</f>
        <v/>
      </c>
      <c r="U72" s="149"/>
      <c r="V72" s="150"/>
      <c r="W72" s="150"/>
      <c r="X72" s="151"/>
      <c r="Y72" s="149"/>
      <c r="Z72" s="150"/>
      <c r="AA72" s="151"/>
      <c r="AB72" s="149"/>
      <c r="AC72" s="150"/>
      <c r="AD72" s="151"/>
      <c r="AE72" s="149"/>
      <c r="AF72" s="150"/>
      <c r="AG72" s="151"/>
      <c r="AH72" s="149"/>
      <c r="AI72" s="150"/>
      <c r="AJ72" s="151"/>
      <c r="AK72" s="80" t="str">
        <f t="shared" si="3"/>
        <v/>
      </c>
    </row>
    <row r="73" spans="2:37" ht="15.75" customHeight="1" x14ac:dyDescent="0.3">
      <c r="B73" s="70"/>
      <c r="C73" s="155" t="str">
        <f>IF(B73="","",VLOOKUP(B73,MATERIAL!A:C,2,FALSE))</f>
        <v/>
      </c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1"/>
      <c r="T73" s="71" t="str">
        <f>IF(B73="","",VLOOKUP(B73,MATERIAL!A:C,3,FALSE))</f>
        <v/>
      </c>
      <c r="U73" s="149"/>
      <c r="V73" s="150"/>
      <c r="W73" s="150"/>
      <c r="X73" s="151"/>
      <c r="Y73" s="149"/>
      <c r="Z73" s="150"/>
      <c r="AA73" s="151"/>
      <c r="AB73" s="149"/>
      <c r="AC73" s="150"/>
      <c r="AD73" s="151"/>
      <c r="AE73" s="149"/>
      <c r="AF73" s="150"/>
      <c r="AG73" s="151"/>
      <c r="AH73" s="149"/>
      <c r="AI73" s="150"/>
      <c r="AJ73" s="151"/>
      <c r="AK73" s="80" t="str">
        <f t="shared" si="3"/>
        <v/>
      </c>
    </row>
    <row r="74" spans="2:37" ht="15.75" customHeight="1" x14ac:dyDescent="0.3">
      <c r="B74" s="70"/>
      <c r="C74" s="155" t="str">
        <f>IF(B74="","",VLOOKUP(B74,MATERIAL!A:C,2,FALSE))</f>
        <v/>
      </c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1"/>
      <c r="T74" s="71" t="str">
        <f>IF(B74="","",VLOOKUP(B74,MATERIAL!A:C,3,FALSE))</f>
        <v/>
      </c>
      <c r="U74" s="149"/>
      <c r="V74" s="150"/>
      <c r="W74" s="150"/>
      <c r="X74" s="151"/>
      <c r="Y74" s="149"/>
      <c r="Z74" s="150"/>
      <c r="AA74" s="151"/>
      <c r="AB74" s="149"/>
      <c r="AC74" s="150"/>
      <c r="AD74" s="151"/>
      <c r="AE74" s="149"/>
      <c r="AF74" s="150"/>
      <c r="AG74" s="151"/>
      <c r="AH74" s="149"/>
      <c r="AI74" s="150"/>
      <c r="AJ74" s="151"/>
      <c r="AK74" s="80" t="str">
        <f t="shared" si="3"/>
        <v/>
      </c>
    </row>
    <row r="75" spans="2:37" ht="15.75" customHeight="1" x14ac:dyDescent="0.3">
      <c r="B75" s="70"/>
      <c r="C75" s="155" t="str">
        <f>IF(B75="","",VLOOKUP(B75,MATERIAL!A:C,2,FALSE))</f>
        <v/>
      </c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1"/>
      <c r="T75" s="71" t="str">
        <f>IF(B75="","",VLOOKUP(B75,MATERIAL!A:C,3,FALSE))</f>
        <v/>
      </c>
      <c r="U75" s="149"/>
      <c r="V75" s="150"/>
      <c r="W75" s="150"/>
      <c r="X75" s="151"/>
      <c r="Y75" s="149"/>
      <c r="Z75" s="150"/>
      <c r="AA75" s="151"/>
      <c r="AB75" s="149"/>
      <c r="AC75" s="150"/>
      <c r="AD75" s="151"/>
      <c r="AE75" s="149"/>
      <c r="AF75" s="150"/>
      <c r="AG75" s="151"/>
      <c r="AH75" s="149"/>
      <c r="AI75" s="150"/>
      <c r="AJ75" s="151"/>
      <c r="AK75" s="80" t="str">
        <f t="shared" si="3"/>
        <v/>
      </c>
    </row>
    <row r="76" spans="2:37" ht="15.75" customHeight="1" x14ac:dyDescent="0.3"/>
    <row r="77" spans="2:37" ht="15.75" customHeight="1" x14ac:dyDescent="0.3"/>
  </sheetData>
  <mergeCells count="217">
    <mergeCell ref="AH11:AK11"/>
    <mergeCell ref="AH12:AK12"/>
    <mergeCell ref="AH13:AK13"/>
    <mergeCell ref="B14:AK14"/>
    <mergeCell ref="C15:AK19"/>
    <mergeCell ref="C20:R20"/>
    <mergeCell ref="U20:AI20"/>
    <mergeCell ref="C21:R21"/>
    <mergeCell ref="U21:AI21"/>
    <mergeCell ref="B15:B19"/>
    <mergeCell ref="E11:L11"/>
    <mergeCell ref="N11:P11"/>
    <mergeCell ref="Y11:AC11"/>
    <mergeCell ref="AE12:AG12"/>
    <mergeCell ref="AE13:AG13"/>
    <mergeCell ref="R11:S11"/>
    <mergeCell ref="T11:V11"/>
    <mergeCell ref="AE11:AG11"/>
    <mergeCell ref="B11:D11"/>
    <mergeCell ref="C12:N12"/>
    <mergeCell ref="C13:E13"/>
    <mergeCell ref="G13:I13"/>
    <mergeCell ref="J13:L13"/>
    <mergeCell ref="N13:O13"/>
    <mergeCell ref="W5:Z5"/>
    <mergeCell ref="AA5:AD5"/>
    <mergeCell ref="AE5:AG9"/>
    <mergeCell ref="AH5:AK9"/>
    <mergeCell ref="X8:AA8"/>
    <mergeCell ref="AB8:AC8"/>
    <mergeCell ref="J2:AC2"/>
    <mergeCell ref="AE2:AG2"/>
    <mergeCell ref="AH2:AK2"/>
    <mergeCell ref="R5:S5"/>
    <mergeCell ref="U5:V5"/>
    <mergeCell ref="C7:V7"/>
    <mergeCell ref="C8:V8"/>
    <mergeCell ref="B9:AC9"/>
    <mergeCell ref="C5:D5"/>
    <mergeCell ref="G5:J5"/>
    <mergeCell ref="K5:L5"/>
    <mergeCell ref="N5:O5"/>
    <mergeCell ref="Q13:T13"/>
    <mergeCell ref="V13:X13"/>
    <mergeCell ref="Y13:AB13"/>
    <mergeCell ref="U22:AI22"/>
    <mergeCell ref="C46:S46"/>
    <mergeCell ref="C47:S47"/>
    <mergeCell ref="C48:S48"/>
    <mergeCell ref="C49:S49"/>
    <mergeCell ref="C50:S50"/>
    <mergeCell ref="U30:AI30"/>
    <mergeCell ref="U31:AI31"/>
    <mergeCell ref="U32:AI32"/>
    <mergeCell ref="U33:AI33"/>
    <mergeCell ref="U34:AI34"/>
    <mergeCell ref="U36:AI36"/>
    <mergeCell ref="B37:AJ37"/>
    <mergeCell ref="B42:AK42"/>
    <mergeCell ref="C43:S43"/>
    <mergeCell ref="U43:AJ43"/>
    <mergeCell ref="C44:S44"/>
    <mergeCell ref="U44:AJ44"/>
    <mergeCell ref="C35:R35"/>
    <mergeCell ref="U35:AI35"/>
    <mergeCell ref="B39:C39"/>
    <mergeCell ref="C53:S53"/>
    <mergeCell ref="U25:AI25"/>
    <mergeCell ref="U26:AI26"/>
    <mergeCell ref="C22:R22"/>
    <mergeCell ref="C23:R23"/>
    <mergeCell ref="U23:AI23"/>
    <mergeCell ref="C24:R24"/>
    <mergeCell ref="U24:AI24"/>
    <mergeCell ref="C25:R25"/>
    <mergeCell ref="C26:R26"/>
    <mergeCell ref="C30:R30"/>
    <mergeCell ref="C31:R31"/>
    <mergeCell ref="C32:R32"/>
    <mergeCell ref="C33:R33"/>
    <mergeCell ref="C34:R34"/>
    <mergeCell ref="C36:R36"/>
    <mergeCell ref="C27:R27"/>
    <mergeCell ref="U27:AI27"/>
    <mergeCell ref="C28:R28"/>
    <mergeCell ref="U28:AI28"/>
    <mergeCell ref="C29:R29"/>
    <mergeCell ref="U29:AI29"/>
    <mergeCell ref="B40:C40"/>
    <mergeCell ref="B41:AJ41"/>
    <mergeCell ref="C54:S54"/>
    <mergeCell ref="C55:S55"/>
    <mergeCell ref="C56:S56"/>
    <mergeCell ref="C57:S57"/>
    <mergeCell ref="C58:S58"/>
    <mergeCell ref="C60:S60"/>
    <mergeCell ref="C68:S68"/>
    <mergeCell ref="C69:S69"/>
    <mergeCell ref="C70:S70"/>
    <mergeCell ref="C71:S71"/>
    <mergeCell ref="C72:S72"/>
    <mergeCell ref="C73:S73"/>
    <mergeCell ref="C74:S74"/>
    <mergeCell ref="C75:S75"/>
    <mergeCell ref="C61:S61"/>
    <mergeCell ref="C62:S62"/>
    <mergeCell ref="C63:S63"/>
    <mergeCell ref="C64:S64"/>
    <mergeCell ref="C65:S65"/>
    <mergeCell ref="C66:S66"/>
    <mergeCell ref="C67:S67"/>
    <mergeCell ref="AG39:AJ39"/>
    <mergeCell ref="B38:AK38"/>
    <mergeCell ref="D39:AA39"/>
    <mergeCell ref="D40:AA40"/>
    <mergeCell ref="AG40:AJ40"/>
    <mergeCell ref="AB39:AD39"/>
    <mergeCell ref="AB40:AD40"/>
    <mergeCell ref="AE39:AF39"/>
    <mergeCell ref="AE40:AF40"/>
    <mergeCell ref="C45:S45"/>
    <mergeCell ref="U45:AJ45"/>
    <mergeCell ref="U46:AJ46"/>
    <mergeCell ref="U47:AJ47"/>
    <mergeCell ref="U48:AJ48"/>
    <mergeCell ref="U49:AJ49"/>
    <mergeCell ref="U50:AJ50"/>
    <mergeCell ref="U51:AJ51"/>
    <mergeCell ref="U52:AJ52"/>
    <mergeCell ref="C51:S51"/>
    <mergeCell ref="C52:S52"/>
    <mergeCell ref="U53:AJ53"/>
    <mergeCell ref="AE66:AG66"/>
    <mergeCell ref="AH66:AJ66"/>
    <mergeCell ref="AE67:AG67"/>
    <mergeCell ref="AH67:AJ67"/>
    <mergeCell ref="AE68:AG68"/>
    <mergeCell ref="AH68:AJ68"/>
    <mergeCell ref="Y66:AA66"/>
    <mergeCell ref="AB66:AD66"/>
    <mergeCell ref="U67:X67"/>
    <mergeCell ref="Y67:AA67"/>
    <mergeCell ref="AB67:AD67"/>
    <mergeCell ref="Y68:AA68"/>
    <mergeCell ref="AB68:AD68"/>
    <mergeCell ref="AB60:AD60"/>
    <mergeCell ref="AE60:AG60"/>
    <mergeCell ref="U54:AJ54"/>
    <mergeCell ref="U55:AJ55"/>
    <mergeCell ref="U56:AJ56"/>
    <mergeCell ref="U57:AJ57"/>
    <mergeCell ref="U58:AJ58"/>
    <mergeCell ref="Y60:AA60"/>
    <mergeCell ref="AH60:AJ60"/>
    <mergeCell ref="AE62:AG62"/>
    <mergeCell ref="U72:X72"/>
    <mergeCell ref="Y72:AA72"/>
    <mergeCell ref="AB72:AD72"/>
    <mergeCell ref="AE72:AG72"/>
    <mergeCell ref="AH72:AJ72"/>
    <mergeCell ref="Y73:AA73"/>
    <mergeCell ref="AH73:AJ73"/>
    <mergeCell ref="AE70:AG70"/>
    <mergeCell ref="AH70:AJ70"/>
    <mergeCell ref="U70:X70"/>
    <mergeCell ref="Y75:AA75"/>
    <mergeCell ref="AB75:AD75"/>
    <mergeCell ref="AE75:AG75"/>
    <mergeCell ref="AH75:AJ75"/>
    <mergeCell ref="U73:X73"/>
    <mergeCell ref="U74:X74"/>
    <mergeCell ref="Y74:AA74"/>
    <mergeCell ref="AB74:AD74"/>
    <mergeCell ref="AE74:AG74"/>
    <mergeCell ref="AH74:AJ74"/>
    <mergeCell ref="U75:X75"/>
    <mergeCell ref="AB73:AD73"/>
    <mergeCell ref="AE73:AG73"/>
    <mergeCell ref="AH62:AJ62"/>
    <mergeCell ref="AE63:AG63"/>
    <mergeCell ref="AH63:AJ63"/>
    <mergeCell ref="AE64:AG64"/>
    <mergeCell ref="AH64:AJ64"/>
    <mergeCell ref="U60:X60"/>
    <mergeCell ref="U61:X61"/>
    <mergeCell ref="Y61:AA61"/>
    <mergeCell ref="AB61:AD61"/>
    <mergeCell ref="AE61:AG61"/>
    <mergeCell ref="AH61:AJ61"/>
    <mergeCell ref="U62:X62"/>
    <mergeCell ref="Y62:AA62"/>
    <mergeCell ref="AB62:AD62"/>
    <mergeCell ref="U63:X63"/>
    <mergeCell ref="Y63:AA63"/>
    <mergeCell ref="AB63:AD63"/>
    <mergeCell ref="Y64:AA64"/>
    <mergeCell ref="AB64:AD64"/>
    <mergeCell ref="U64:X64"/>
    <mergeCell ref="U65:X65"/>
    <mergeCell ref="Y65:AA65"/>
    <mergeCell ref="AB65:AD65"/>
    <mergeCell ref="AE65:AG65"/>
    <mergeCell ref="AH65:AJ65"/>
    <mergeCell ref="U66:X66"/>
    <mergeCell ref="Y70:AA70"/>
    <mergeCell ref="AB70:AD70"/>
    <mergeCell ref="U71:X71"/>
    <mergeCell ref="Y71:AA71"/>
    <mergeCell ref="AB71:AD71"/>
    <mergeCell ref="AE71:AG71"/>
    <mergeCell ref="AH71:AJ71"/>
    <mergeCell ref="U68:X68"/>
    <mergeCell ref="U69:X69"/>
    <mergeCell ref="Y69:AA69"/>
    <mergeCell ref="AB69:AD69"/>
    <mergeCell ref="AE69:AG69"/>
    <mergeCell ref="AH69:AJ69"/>
  </mergeCells>
  <printOptions horizontalCentered="1"/>
  <pageMargins left="3.937007874015748E-3" right="3.937007874015748E-3" top="0.19685039370078738" bottom="0.6" header="0" footer="0"/>
  <pageSetup paperSize="9" scale="31" orientation="portrait" r:id="rId1"/>
  <headerFooter>
    <oddFooter>&amp;CPágina &amp;P de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Preenchimentos Automatico</vt:lpstr>
      <vt:lpstr>Planilha1</vt:lpstr>
      <vt:lpstr>MATERIAL</vt:lpstr>
      <vt:lpstr>FECHAMENTO</vt:lpstr>
      <vt:lpstr>Mão de Obra</vt:lpstr>
      <vt:lpstr>ENG LVCBO1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olice</dc:creator>
  <cp:lastModifiedBy>Ruy Augusto Godiano</cp:lastModifiedBy>
  <cp:lastPrinted>2025-11-11T18:35:39Z</cp:lastPrinted>
  <dcterms:created xsi:type="dcterms:W3CDTF">2013-03-25T21:11:00Z</dcterms:created>
  <dcterms:modified xsi:type="dcterms:W3CDTF">2025-12-09T20:43:28Z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1046-11.2.0.9144</vt:lpwstr>
  </property>
</Properties>
</file>