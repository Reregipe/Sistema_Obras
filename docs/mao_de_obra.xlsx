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ero\OneDrive\Área de Trabalho\Rogerio\"/>
    </mc:Choice>
  </mc:AlternateContent>
  <xr:revisionPtr revIDLastSave="0" documentId="13_ncr:1_{7CBD12E9-C534-4AE8-8E3D-DCD1B058F5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M" sheetId="1" r:id="rId1"/>
    <sheet name="LV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61" i="1" l="1"/>
  <c r="F462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<sst xmlns="http://schemas.openxmlformats.org/spreadsheetml/2006/main" count="2201" uniqueCount="643">
  <si>
    <r>
      <rPr>
        <sz val="7"/>
        <rFont val="Times New Roman"/>
        <family val="1"/>
      </rPr>
      <t>VALOR UPS CONTRATO</t>
    </r>
  </si>
  <si>
    <r>
      <rPr>
        <sz val="6"/>
        <rFont val="Calibri"/>
        <family val="2"/>
      </rPr>
      <t>ABERTURA FAIXA COM PLANTACAO GRAMINEAS</t>
    </r>
  </si>
  <si>
    <r>
      <rPr>
        <sz val="6"/>
        <rFont val="Calibri"/>
        <family val="2"/>
      </rPr>
      <t>HEC</t>
    </r>
  </si>
  <si>
    <r>
      <rPr>
        <sz val="6"/>
        <rFont val="Calibri"/>
        <family val="2"/>
      </rPr>
      <t>INSTALAR</t>
    </r>
  </si>
  <si>
    <r>
      <rPr>
        <sz val="6"/>
        <rFont val="Calibri"/>
        <family val="2"/>
      </rPr>
      <t>ABERTURA FAIXA VEGETACAO DENSA C/TRATOR</t>
    </r>
  </si>
  <si>
    <r>
      <rPr>
        <sz val="6"/>
        <rFont val="Calibri"/>
        <family val="2"/>
      </rPr>
      <t>SERV AB/FEC VAL ATER EM TERRA</t>
    </r>
  </si>
  <si>
    <r>
      <rPr>
        <sz val="6"/>
        <rFont val="Calibri"/>
        <family val="2"/>
      </rPr>
      <t>M.LINEAR</t>
    </r>
  </si>
  <si>
    <r>
      <rPr>
        <sz val="6"/>
        <rFont val="Calibri"/>
        <family val="2"/>
      </rPr>
      <t>ABRIR CAVA EM TERRA NORMAL</t>
    </r>
  </si>
  <si>
    <r>
      <rPr>
        <sz val="6"/>
        <rFont val="Calibri"/>
        <family val="2"/>
      </rPr>
      <t>UN</t>
    </r>
  </si>
  <si>
    <r>
      <rPr>
        <sz val="6"/>
        <rFont val="Calibri"/>
        <family val="2"/>
      </rPr>
      <t>ABRIR CAVA ROCHA SEM USO EXPLOSIVO LM</t>
    </r>
  </si>
  <si>
    <r>
      <rPr>
        <sz val="6"/>
        <rFont val="Calibri"/>
        <family val="2"/>
      </rPr>
      <t>ABRIR CAVA ROCHA USO EXPLOS EQUIP LM</t>
    </r>
  </si>
  <si>
    <r>
      <rPr>
        <sz val="6"/>
        <rFont val="Calibri"/>
        <family val="2"/>
      </rPr>
      <t>ABERT DE FAIXA CERRADO/MATA LM</t>
    </r>
  </si>
  <si>
    <r>
      <rPr>
        <sz val="6"/>
        <rFont val="Calibri"/>
        <family val="2"/>
      </rPr>
      <t>ABER-FECH VALETA RECOM PISO CALCADA LM</t>
    </r>
  </si>
  <si>
    <r>
      <rPr>
        <sz val="6"/>
        <rFont val="Calibri"/>
        <family val="2"/>
      </rPr>
      <t>SERV OFIC APRUMAR PST LM</t>
    </r>
  </si>
  <si>
    <r>
      <rPr>
        <sz val="6"/>
        <rFont val="Calibri"/>
        <family val="2"/>
      </rPr>
      <t>ARRASTAR PST LOC DIS A PT INS LM</t>
    </r>
  </si>
  <si>
    <r>
      <rPr>
        <sz val="6"/>
        <rFont val="Calibri"/>
        <family val="2"/>
      </rPr>
      <t>SERV TEC DE LM ATERRAR CERCA LM</t>
    </r>
  </si>
  <si>
    <r>
      <rPr>
        <sz val="6"/>
        <rFont val="Calibri"/>
        <family val="2"/>
      </rPr>
      <t>INST SERV TEC COM BALANC CARGA REDE BT</t>
    </r>
  </si>
  <si>
    <r>
      <rPr>
        <sz val="6"/>
        <rFont val="Calibri"/>
        <family val="2"/>
      </rPr>
      <t>CONS</t>
    </r>
  </si>
  <si>
    <r>
      <rPr>
        <sz val="6"/>
        <rFont val="Calibri"/>
        <family val="2"/>
      </rPr>
      <t>CAVALO MECÂNICO COM CARRETA 2 EIXOS CAPACIDADE DE 24 TON</t>
    </r>
  </si>
  <si>
    <r>
      <rPr>
        <sz val="6"/>
        <rFont val="Calibri"/>
        <family val="2"/>
      </rPr>
      <t>KM</t>
    </r>
  </si>
  <si>
    <r>
      <rPr>
        <sz val="6"/>
        <rFont val="Calibri"/>
        <family val="2"/>
      </rPr>
      <t>CONFECC BASE CONC TOTAL / SOLO CIMENTO</t>
    </r>
  </si>
  <si>
    <r>
      <rPr>
        <sz val="6"/>
        <rFont val="Calibri"/>
        <family val="2"/>
      </rPr>
      <t>CONFECC BASE CONC SIMPLES</t>
    </r>
  </si>
  <si>
    <r>
      <rPr>
        <sz val="6"/>
        <rFont val="Calibri"/>
        <family val="2"/>
      </rPr>
      <t>CONST CXS PASS LM</t>
    </r>
  </si>
  <si>
    <r>
      <rPr>
        <sz val="6"/>
        <rFont val="Calibri"/>
        <family val="2"/>
      </rPr>
      <t>DESAT CABO AL NU CA/CAA &gt;2/0AWG LM</t>
    </r>
  </si>
  <si>
    <r>
      <rPr>
        <sz val="6"/>
        <rFont val="Calibri"/>
        <family val="2"/>
      </rPr>
      <t>RETIRAR</t>
    </r>
  </si>
  <si>
    <r>
      <rPr>
        <sz val="6"/>
        <rFont val="Calibri"/>
        <family val="2"/>
      </rPr>
      <t>DESAT CH SECCIONADORA  =&gt;15KV BY PASS LM</t>
    </r>
  </si>
  <si>
    <r>
      <rPr>
        <sz val="6"/>
        <rFont val="Calibri"/>
        <family val="2"/>
      </rPr>
      <t>PEÇ</t>
    </r>
  </si>
  <si>
    <r>
      <rPr>
        <sz val="6"/>
        <rFont val="Calibri"/>
        <family val="2"/>
      </rPr>
      <t>DESAT CONECTOR NA BT LM</t>
    </r>
  </si>
  <si>
    <r>
      <rPr>
        <sz val="6"/>
        <rFont val="Calibri"/>
        <family val="2"/>
      </rPr>
      <t>DESAT EST PRI N4/N4E/M4/B4/B4E C/CHAV LM</t>
    </r>
  </si>
  <si>
    <r>
      <rPr>
        <sz val="6"/>
        <rFont val="Calibri"/>
        <family val="2"/>
      </rPr>
      <t>DESAT EST PRIM CE-1/CE-1A/CE-2 LM</t>
    </r>
  </si>
  <si>
    <r>
      <rPr>
        <sz val="6"/>
        <rFont val="Calibri"/>
        <family val="2"/>
      </rPr>
      <t>DESAT EST PRIM CE3/CE4 LM</t>
    </r>
  </si>
  <si>
    <r>
      <rPr>
        <sz val="6"/>
        <rFont val="Calibri"/>
        <family val="2"/>
      </rPr>
      <t>DESAT EST PRIM N3/N3-E/M3/B3/B3-E LM</t>
    </r>
  </si>
  <si>
    <r>
      <rPr>
        <sz val="6"/>
        <rFont val="Calibri"/>
        <family val="2"/>
      </rPr>
      <t>DESAT EST PRIM N3-1/M3-1/B3-1 LM</t>
    </r>
  </si>
  <si>
    <r>
      <rPr>
        <sz val="6"/>
        <rFont val="Calibri"/>
        <family val="2"/>
      </rPr>
      <t>DESAT EST PRIM N3-2/M3-2/N2-3/M2-3 LM</t>
    </r>
  </si>
  <si>
    <r>
      <rPr>
        <sz val="6"/>
        <rFont val="Calibri"/>
        <family val="2"/>
      </rPr>
      <t>DESAT EST PRIM N3-CE LM</t>
    </r>
  </si>
  <si>
    <r>
      <rPr>
        <sz val="6"/>
        <rFont val="Calibri"/>
        <family val="2"/>
      </rPr>
      <t>DESAT EST PRIM N3-N3/M3-M3 LM</t>
    </r>
  </si>
  <si>
    <r>
      <rPr>
        <sz val="6"/>
        <rFont val="Calibri"/>
        <family val="2"/>
      </rPr>
      <t>DESAT ISOLADOR CADEIA LM</t>
    </r>
  </si>
  <si>
    <r>
      <rPr>
        <sz val="6"/>
        <rFont val="Calibri"/>
        <family val="2"/>
      </rPr>
      <t>DESAT ISOLADOR PINO FIM DE REDE LM</t>
    </r>
  </si>
  <si>
    <r>
      <rPr>
        <sz val="6"/>
        <rFont val="Calibri"/>
        <family val="2"/>
      </rPr>
      <t>DESAT ISOLADOR PINO TANGENTE LM</t>
    </r>
  </si>
  <si>
    <r>
      <rPr>
        <sz val="6"/>
        <rFont val="Calibri"/>
        <family val="2"/>
      </rPr>
      <t>DESAT AFASTADOR 500MM LM</t>
    </r>
  </si>
  <si>
    <r>
      <rPr>
        <sz val="6"/>
        <rFont val="Calibri"/>
        <family val="2"/>
      </rPr>
      <t>DESAT AMARRAÇÃO DE MT / BT NO POSTE LM</t>
    </r>
  </si>
  <si>
    <r>
      <rPr>
        <sz val="6"/>
        <rFont val="Calibri"/>
        <family val="2"/>
      </rPr>
      <t>DESAT BANCO CAPACITOR 300KVAR LM</t>
    </r>
  </si>
  <si>
    <r>
      <rPr>
        <sz val="6"/>
        <rFont val="Calibri"/>
        <family val="2"/>
      </rPr>
      <t>DESAT BANCO CAPACITOR 600KVAR LM</t>
    </r>
  </si>
  <si>
    <r>
      <rPr>
        <sz val="6"/>
        <rFont val="Calibri"/>
        <family val="2"/>
      </rPr>
      <t>DESAT BANCO CAPACITOR 900KVAR LM</t>
    </r>
  </si>
  <si>
    <r>
      <rPr>
        <sz val="6"/>
        <rFont val="Calibri"/>
        <family val="2"/>
      </rPr>
      <t>DESAT CABO AL CA PROTEGIDO  =&lt;95MM2 LM</t>
    </r>
  </si>
  <si>
    <r>
      <rPr>
        <sz val="6"/>
        <rFont val="Calibri"/>
        <family val="2"/>
      </rPr>
      <t>DESAT CABO AL CA PROTEGIDO &gt; 95MM2 LM</t>
    </r>
  </si>
  <si>
    <r>
      <rPr>
        <sz val="6"/>
        <rFont val="Calibri"/>
        <family val="2"/>
      </rPr>
      <t>DESAT CB AL MULT TODOS LM</t>
    </r>
  </si>
  <si>
    <r>
      <rPr>
        <sz val="6"/>
        <rFont val="Calibri"/>
        <family val="2"/>
      </rPr>
      <t>DESAT CABO AL NU  =&lt;2/0AWG LM</t>
    </r>
  </si>
  <si>
    <r>
      <rPr>
        <sz val="6"/>
        <rFont val="Calibri"/>
        <family val="2"/>
      </rPr>
      <t>DESAT CABO AL NU &gt; 2/0AWG LM</t>
    </r>
  </si>
  <si>
    <r>
      <rPr>
        <sz val="6"/>
        <rFont val="Calibri"/>
        <family val="2"/>
      </rPr>
      <t>DESAT CADEIA DE DISCO COMPLETA LM</t>
    </r>
  </si>
  <si>
    <r>
      <rPr>
        <sz val="6"/>
        <rFont val="Calibri"/>
        <family val="2"/>
      </rPr>
      <t>DESAT CX CP-TRAFO LM</t>
    </r>
  </si>
  <si>
    <r>
      <rPr>
        <sz val="6"/>
        <rFont val="Calibri"/>
        <family val="2"/>
      </rPr>
      <t>DESAT CX MED CP-REDE CONEX RAMAI UC LM</t>
    </r>
  </si>
  <si>
    <r>
      <rPr>
        <sz val="6"/>
        <rFont val="Calibri"/>
        <family val="2"/>
      </rPr>
      <t>DESAT CX MED CP-REDE P/1 MEDIDOR LM</t>
    </r>
  </si>
  <si>
    <r>
      <rPr>
        <sz val="6"/>
        <rFont val="Calibri"/>
        <family val="2"/>
      </rPr>
      <t>DESAT CX MED CP-REDE P/ 3 OU 4 MEDID LM</t>
    </r>
  </si>
  <si>
    <r>
      <rPr>
        <sz val="6"/>
        <rFont val="Calibri"/>
        <family val="2"/>
      </rPr>
      <t>DESAT CX MED CP-REDE P/6 OU 8 MEDID LM</t>
    </r>
  </si>
  <si>
    <r>
      <rPr>
        <sz val="6"/>
        <rFont val="Calibri"/>
        <family val="2"/>
      </rPr>
      <t>DESAT CAPACITOR CELULA 50/100KVAR LM</t>
    </r>
  </si>
  <si>
    <r>
      <rPr>
        <sz val="6"/>
        <rFont val="Calibri"/>
        <family val="2"/>
      </rPr>
      <t>DESATIVAR CHAVE SECC FACA =&gt; 15 KV LM</t>
    </r>
  </si>
  <si>
    <r>
      <rPr>
        <sz val="6"/>
        <rFont val="Calibri"/>
        <family val="2"/>
      </rPr>
      <t>DESAT CHAVE FUSIVEL &lt; 34,5 KV LM</t>
    </r>
  </si>
  <si>
    <r>
      <rPr>
        <sz val="6"/>
        <rFont val="Calibri"/>
        <family val="2"/>
      </rPr>
      <t>DESAT CHAVE FUSIVEL =&gt; 34,5 KV LM</t>
    </r>
  </si>
  <si>
    <r>
      <rPr>
        <sz val="6"/>
        <rFont val="Calibri"/>
        <family val="2"/>
      </rPr>
      <t>DESAT CHAVE FUSIVEL 3 OP &lt; 34,5 KV</t>
    </r>
  </si>
  <si>
    <r>
      <rPr>
        <sz val="6"/>
        <rFont val="Calibri"/>
        <family val="2"/>
      </rPr>
      <t>CJ</t>
    </r>
  </si>
  <si>
    <r>
      <rPr>
        <sz val="6"/>
        <rFont val="Calibri"/>
        <family val="2"/>
      </rPr>
      <t>DESAT CHAVE FUSIVEL 3 OP =&gt; 34,5 KV</t>
    </r>
  </si>
  <si>
    <r>
      <rPr>
        <sz val="6"/>
        <rFont val="Calibri"/>
        <family val="2"/>
      </rPr>
      <t>DESAT CH TRIP O RUP AB CARG 13,8&lt;69KV LM</t>
    </r>
  </si>
  <si>
    <r>
      <rPr>
        <sz val="6"/>
        <rFont val="Calibri"/>
        <family val="2"/>
      </rPr>
      <t>DESAT CONECTOR NA REDE MT/BT LM</t>
    </r>
  </si>
  <si>
    <r>
      <rPr>
        <sz val="6"/>
        <rFont val="Calibri"/>
        <family val="2"/>
      </rPr>
      <t>DESAT CRUZAMENTO AEREO BT FLY TAP LM</t>
    </r>
  </si>
  <si>
    <r>
      <rPr>
        <sz val="6"/>
        <rFont val="Calibri"/>
        <family val="2"/>
      </rPr>
      <t>DESAT CRUZAMENTO AEREO MT FLY TAP LM</t>
    </r>
  </si>
  <si>
    <r>
      <rPr>
        <sz val="6"/>
        <rFont val="Calibri"/>
        <family val="2"/>
      </rPr>
      <t>DES CRZ DUP BAS EQ ESP CONC LM</t>
    </r>
  </si>
  <si>
    <r>
      <rPr>
        <sz val="6"/>
        <rFont val="Calibri"/>
        <family val="2"/>
      </rPr>
      <t>DESAT CRUZETA DUPLA LM</t>
    </r>
  </si>
  <si>
    <r>
      <rPr>
        <sz val="6"/>
        <rFont val="Calibri"/>
        <family val="2"/>
      </rPr>
      <t>DESAT CRUZETA SIMPLES LM</t>
    </r>
  </si>
  <si>
    <r>
      <rPr>
        <sz val="6"/>
        <rFont val="Calibri"/>
        <family val="2"/>
      </rPr>
      <t>DESAT ESPAC LOSANG 35A185MM² LM</t>
    </r>
  </si>
  <si>
    <r>
      <rPr>
        <sz val="6"/>
        <rFont val="Calibri"/>
        <family val="2"/>
      </rPr>
      <t>DESAT ESPAC RD BT LM</t>
    </r>
  </si>
  <si>
    <r>
      <rPr>
        <sz val="6"/>
        <rFont val="Calibri"/>
        <family val="2"/>
      </rPr>
      <t>DESAT ESPAC VERTL REDE MT COMP LM</t>
    </r>
  </si>
  <si>
    <r>
      <rPr>
        <sz val="6"/>
        <rFont val="Calibri"/>
        <family val="2"/>
      </rPr>
      <t>DESAT ESTAI ANCORA CHUMBADO ROCHA LM</t>
    </r>
  </si>
  <si>
    <r>
      <rPr>
        <sz val="6"/>
        <rFont val="Calibri"/>
        <family val="2"/>
      </rPr>
      <t>DESAT ESTRIBO EM REDE EXISTENTE LM</t>
    </r>
  </si>
  <si>
    <r>
      <rPr>
        <sz val="6"/>
        <rFont val="Calibri"/>
        <family val="2"/>
      </rPr>
      <t>DESAT EST  N4, M4, B4 CRZ CONC LM</t>
    </r>
  </si>
  <si>
    <r>
      <rPr>
        <sz val="6"/>
        <rFont val="Calibri"/>
        <family val="2"/>
      </rPr>
      <t>DESAT ESTR. PRIM –  TE E T4 CRZ CONC LM</t>
    </r>
  </si>
  <si>
    <r>
      <rPr>
        <sz val="6"/>
        <rFont val="Calibri"/>
        <family val="2"/>
      </rPr>
      <t>DESAT ESTRUTURA PRIM CE1/CE1-A LM</t>
    </r>
  </si>
  <si>
    <r>
      <rPr>
        <sz val="6"/>
        <rFont val="Calibri"/>
        <family val="2"/>
      </rPr>
      <t>DESAT ESTRUTURA PRIM CE2 LM</t>
    </r>
  </si>
  <si>
    <r>
      <rPr>
        <sz val="6"/>
        <rFont val="Calibri"/>
        <family val="2"/>
      </rPr>
      <t>DESAT ESTRUTURA PRIM CE3 LM</t>
    </r>
  </si>
  <si>
    <r>
      <rPr>
        <sz val="6"/>
        <rFont val="Calibri"/>
        <family val="2"/>
      </rPr>
      <t>DESAT ESTRUTURA PRIM CE4 LM</t>
    </r>
  </si>
  <si>
    <r>
      <rPr>
        <sz val="6"/>
        <rFont val="Calibri"/>
        <family val="2"/>
      </rPr>
      <t>DESAT EST PRIM HT LM</t>
    </r>
  </si>
  <si>
    <r>
      <rPr>
        <sz val="6"/>
        <rFont val="Calibri"/>
        <family val="2"/>
      </rPr>
      <t>DESAT ESTRUTURA PRIM N1/M1/B1 LM</t>
    </r>
  </si>
  <si>
    <r>
      <rPr>
        <sz val="6"/>
        <rFont val="Calibri"/>
        <family val="2"/>
      </rPr>
      <t>DESAT ESTRUTURA PRIM N2/M2/B2/B2-E LM</t>
    </r>
  </si>
  <si>
    <r>
      <rPr>
        <sz val="6"/>
        <rFont val="Calibri"/>
        <family val="2"/>
      </rPr>
      <t>DESAT ESTR. PRIM N3, M3, B3 CRZ CONC LM</t>
    </r>
  </si>
  <si>
    <r>
      <rPr>
        <sz val="6"/>
        <rFont val="Calibri"/>
        <family val="2"/>
      </rPr>
      <t>DESAT EST PRIM N3/B3/T3 LM</t>
    </r>
  </si>
  <si>
    <r>
      <rPr>
        <sz val="6"/>
        <rFont val="Calibri"/>
        <family val="2"/>
      </rPr>
      <t>DESAT EST PRIM P1,PT1,PTA1 LM</t>
    </r>
  </si>
  <si>
    <r>
      <rPr>
        <sz val="6"/>
        <rFont val="Calibri"/>
        <family val="2"/>
      </rPr>
      <t>DESAT EST PRIM P2,PT2 LM</t>
    </r>
  </si>
  <si>
    <r>
      <rPr>
        <sz val="6"/>
        <rFont val="Calibri"/>
        <family val="2"/>
      </rPr>
      <t>DESAT EST PRIM P3 LM</t>
    </r>
  </si>
  <si>
    <r>
      <rPr>
        <sz val="6"/>
        <rFont val="Calibri"/>
        <family val="2"/>
      </rPr>
      <t>DESAT EST PRIM P4 LM</t>
    </r>
  </si>
  <si>
    <r>
      <rPr>
        <sz val="6"/>
        <rFont val="Calibri"/>
        <family val="2"/>
      </rPr>
      <t>DESAT EST PRIM TE LM</t>
    </r>
  </si>
  <si>
    <r>
      <rPr>
        <sz val="6"/>
        <rFont val="Calibri"/>
        <family val="2"/>
      </rPr>
      <t>DESAT EST PRIM U1/U2 LM</t>
    </r>
  </si>
  <si>
    <r>
      <rPr>
        <sz val="6"/>
        <rFont val="Calibri"/>
        <family val="2"/>
      </rPr>
      <t>DESAT EST PRIM U3/U4 LM</t>
    </r>
  </si>
  <si>
    <r>
      <rPr>
        <sz val="6"/>
        <rFont val="Calibri"/>
        <family val="2"/>
      </rPr>
      <t>DESAT EST SEC EM REDE CONVENCIONAL LM</t>
    </r>
  </si>
  <si>
    <r>
      <rPr>
        <sz val="6"/>
        <rFont val="Calibri"/>
        <family val="2"/>
      </rPr>
      <t>DESAT EST SEC EM REDE MULTIPLEXADA LM</t>
    </r>
  </si>
  <si>
    <r>
      <rPr>
        <sz val="6"/>
        <rFont val="Calibri"/>
        <family val="2"/>
      </rPr>
      <t>DESAT IP CJ ILUM PST ORNAM</t>
    </r>
  </si>
  <si>
    <r>
      <rPr>
        <sz val="6"/>
        <rFont val="Calibri"/>
        <family val="2"/>
      </rPr>
      <t>DESAT ISOLADOR PILAR LM</t>
    </r>
  </si>
  <si>
    <r>
      <rPr>
        <sz val="6"/>
        <rFont val="Calibri"/>
        <family val="2"/>
      </rPr>
      <t>DESAT ISOLADOR PINO LM</t>
    </r>
  </si>
  <si>
    <r>
      <rPr>
        <sz val="6"/>
        <rFont val="Calibri"/>
        <family val="2"/>
      </rPr>
      <t>DESAT JUMPER NA REDE MT/BT LM</t>
    </r>
  </si>
  <si>
    <r>
      <rPr>
        <sz val="6"/>
        <rFont val="Calibri"/>
        <family val="2"/>
      </rPr>
      <t>EST ILUM DESAT LUMIN SIMPLES LM</t>
    </r>
  </si>
  <si>
    <r>
      <rPr>
        <sz val="6"/>
        <rFont val="Calibri"/>
        <family val="2"/>
      </rPr>
      <t>DESAT MAO FRANC LM</t>
    </r>
  </si>
  <si>
    <r>
      <rPr>
        <sz val="6"/>
        <rFont val="Calibri"/>
        <family val="2"/>
      </rPr>
      <t>DESAT MED EM CAIXA CP-REDE BIFASICO LM</t>
    </r>
  </si>
  <si>
    <r>
      <rPr>
        <sz val="6"/>
        <rFont val="Calibri"/>
        <family val="2"/>
      </rPr>
      <t>DESAT MED EM CAIXA CP-REDE MONOFAS LM</t>
    </r>
  </si>
  <si>
    <r>
      <rPr>
        <sz val="6"/>
        <rFont val="Calibri"/>
        <family val="2"/>
      </rPr>
      <t>DESAT MED EM CAIXA CP-REDE TRIFASICO LM</t>
    </r>
  </si>
  <si>
    <r>
      <rPr>
        <sz val="6"/>
        <rFont val="Calibri"/>
        <family val="2"/>
      </rPr>
      <t>DESAT MED EM CAIXA CP-TRAFO LM</t>
    </r>
  </si>
  <si>
    <r>
      <rPr>
        <sz val="6"/>
        <rFont val="Calibri"/>
        <family val="2"/>
      </rPr>
      <t>DESAT N1, M1, B1 CRZ DE CONC LM</t>
    </r>
  </si>
  <si>
    <r>
      <rPr>
        <sz val="6"/>
        <rFont val="Calibri"/>
        <family val="2"/>
      </rPr>
      <t>DESAT N2, M2, B2 CRZ DE CONC LM</t>
    </r>
  </si>
  <si>
    <r>
      <rPr>
        <sz val="6"/>
        <rFont val="Calibri"/>
        <family val="2"/>
      </rPr>
      <t>DESAT PADRAO CONCR M1/T1 COM ATERRAM LM</t>
    </r>
  </si>
  <si>
    <r>
      <rPr>
        <sz val="6"/>
        <rFont val="Calibri"/>
        <family val="2"/>
      </rPr>
      <t>DESAT PARA-RAIOS RD &lt; 34,5 KV LM</t>
    </r>
  </si>
  <si>
    <r>
      <rPr>
        <sz val="6"/>
        <rFont val="Calibri"/>
        <family val="2"/>
      </rPr>
      <t>DESAT POSTE ACIMA 13 LM</t>
    </r>
  </si>
  <si>
    <r>
      <rPr>
        <sz val="6"/>
        <rFont val="Calibri"/>
        <family val="2"/>
      </rPr>
      <t>DESAT POSTE ATE 13 &lt;69KV GUIND LM</t>
    </r>
  </si>
  <si>
    <r>
      <rPr>
        <sz val="6"/>
        <rFont val="Calibri"/>
        <family val="2"/>
      </rPr>
      <t>DESAT POSTE ATE 13 &lt;69KV MANUAL LM</t>
    </r>
  </si>
  <si>
    <r>
      <rPr>
        <sz val="6"/>
        <rFont val="Calibri"/>
        <family val="2"/>
      </rPr>
      <t>DESAT RAMAL SERVICO BIFASICO LM</t>
    </r>
  </si>
  <si>
    <r>
      <rPr>
        <sz val="6"/>
        <rFont val="Calibri"/>
        <family val="2"/>
      </rPr>
      <t>DESAT RAMAL SERVICO MONOFASICO LM</t>
    </r>
  </si>
  <si>
    <r>
      <rPr>
        <sz val="6"/>
        <rFont val="Calibri"/>
        <family val="2"/>
      </rPr>
      <t>DESAT RAMAL SERVICO TRIFASICO LM</t>
    </r>
  </si>
  <si>
    <r>
      <rPr>
        <sz val="6"/>
        <rFont val="Calibri"/>
        <family val="2"/>
      </rPr>
      <t>DESAT REGUL NA REDE MT LM</t>
    </r>
  </si>
  <si>
    <r>
      <rPr>
        <sz val="6"/>
        <rFont val="Calibri"/>
        <family val="2"/>
      </rPr>
      <t>DESAT RELIGADOR NA REDE MT LM</t>
    </r>
  </si>
  <si>
    <r>
      <rPr>
        <sz val="6"/>
        <rFont val="Calibri"/>
        <family val="2"/>
      </rPr>
      <t>DESAT TRANSF DISTRIBUIC AEREO 3F LM</t>
    </r>
  </si>
  <si>
    <r>
      <rPr>
        <sz val="6"/>
        <rFont val="Calibri"/>
        <family val="2"/>
      </rPr>
      <t>DESAT TRANSF DIST AEREO MONOFASICO LM</t>
    </r>
  </si>
  <si>
    <r>
      <rPr>
        <sz val="6"/>
        <rFont val="Calibri"/>
        <family val="2"/>
      </rPr>
      <t>DIÁRIA HOSPEDAGEM ALIMENTAÇÃO FORA DA REGIONAL (POR COLABORADOR) - LM - UN</t>
    </r>
  </si>
  <si>
    <r>
      <rPr>
        <sz val="6"/>
        <rFont val="Calibri"/>
        <family val="2"/>
      </rPr>
      <t>DISP H-MAQ P/EXEC SERV LM</t>
    </r>
  </si>
  <si>
    <r>
      <rPr>
        <sz val="6"/>
        <rFont val="Calibri"/>
        <family val="2"/>
      </rPr>
      <t>HORA</t>
    </r>
  </si>
  <si>
    <r>
      <rPr>
        <sz val="6"/>
        <rFont val="Calibri"/>
        <family val="2"/>
      </rPr>
      <t>DISTR PST RUR LM</t>
    </r>
  </si>
  <si>
    <r>
      <rPr>
        <sz val="6"/>
        <rFont val="Calibri"/>
        <family val="2"/>
      </rPr>
      <t>SERV TEC LM DIST PST OBRA LM (URBANO)</t>
    </r>
  </si>
  <si>
    <r>
      <rPr>
        <sz val="6"/>
        <rFont val="Calibri"/>
        <family val="2"/>
      </rPr>
      <t>EFET LIG RUR FORA REDE REGIONAL ELETROM</t>
    </r>
  </si>
  <si>
    <r>
      <rPr>
        <sz val="6"/>
        <rFont val="Calibri"/>
        <family val="2"/>
      </rPr>
      <t>EFET LOCACAO PST AREA RUR LM</t>
    </r>
  </si>
  <si>
    <r>
      <rPr>
        <sz val="6"/>
        <rFont val="Calibri"/>
        <family val="2"/>
      </rPr>
      <t>EFET LOCACAO PST AREA URBANA LM</t>
    </r>
  </si>
  <si>
    <r>
      <rPr>
        <sz val="6"/>
        <rFont val="Calibri"/>
        <family val="2"/>
      </rPr>
      <t>EFET MANOBRA CHAV FUS AB/FEC LM</t>
    </r>
  </si>
  <si>
    <r>
      <rPr>
        <sz val="6"/>
        <rFont val="Calibri"/>
        <family val="2"/>
      </rPr>
      <t>EFET MANOBRA CHAV FACA AB/FEC LM</t>
    </r>
  </si>
  <si>
    <r>
      <rPr>
        <sz val="6"/>
        <rFont val="Calibri"/>
        <family val="2"/>
      </rPr>
      <t>EFET MAN CX CP REDE LM</t>
    </r>
  </si>
  <si>
    <r>
      <rPr>
        <sz val="6"/>
        <rFont val="Calibri"/>
        <family val="2"/>
      </rPr>
      <t>EFETUAR MEDICAO ATERR TRANSFORMADOR</t>
    </r>
  </si>
  <si>
    <r>
      <rPr>
        <sz val="6"/>
        <rFont val="Calibri"/>
        <family val="2"/>
      </rPr>
      <t>EFET MED INSTANT TRANSFORM LM</t>
    </r>
  </si>
  <si>
    <r>
      <rPr>
        <sz val="6"/>
        <rFont val="Calibri"/>
        <family val="2"/>
      </rPr>
      <t>ELAB PLANO CONTR AMB C/DES LM</t>
    </r>
  </si>
  <si>
    <r>
      <rPr>
        <sz val="6"/>
        <rFont val="Calibri"/>
        <family val="2"/>
      </rPr>
      <t>ELAB PLANO CONTR AMB S/DES LM</t>
    </r>
  </si>
  <si>
    <r>
      <rPr>
        <sz val="6"/>
        <rFont val="Calibri"/>
        <family val="2"/>
      </rPr>
      <t>EMEND CABO MENS REDE COMPACTA LM</t>
    </r>
  </si>
  <si>
    <r>
      <rPr>
        <sz val="6"/>
        <rFont val="Calibri"/>
        <family val="2"/>
      </rPr>
      <t>EMEND CABO MULTIP LM</t>
    </r>
  </si>
  <si>
    <r>
      <rPr>
        <sz val="6"/>
        <rFont val="Calibri"/>
        <family val="2"/>
      </rPr>
      <t>EMEND COND PRIM PROTEG LM</t>
    </r>
  </si>
  <si>
    <r>
      <rPr>
        <sz val="6"/>
        <rFont val="Calibri"/>
        <family val="2"/>
      </rPr>
      <t>HORA DO COLABORADOR EM DISPONIBILIDADE PARA OUTRA REGIONAL - LM</t>
    </r>
  </si>
  <si>
    <r>
      <rPr>
        <sz val="6"/>
        <rFont val="Calibri"/>
        <family val="2"/>
      </rPr>
      <t>INSPEC RDU P/LOCALIZ DEF LM</t>
    </r>
  </si>
  <si>
    <r>
      <rPr>
        <sz val="6"/>
        <rFont val="Calibri"/>
        <family val="2"/>
      </rPr>
      <t>INSPEC ESTR RDR P/MANUT PREV LM</t>
    </r>
  </si>
  <si>
    <r>
      <rPr>
        <sz val="6"/>
        <rFont val="Calibri"/>
        <family val="2"/>
      </rPr>
      <t>POSTE</t>
    </r>
  </si>
  <si>
    <r>
      <rPr>
        <sz val="6"/>
        <rFont val="Calibri"/>
        <family val="2"/>
      </rPr>
      <t>INSPEC ESTR RDU P/MANUT PREV LM</t>
    </r>
  </si>
  <si>
    <r>
      <rPr>
        <sz val="6"/>
        <rFont val="Calibri"/>
        <family val="2"/>
      </rPr>
      <t>INSPEC LDR P/LOCALIZ DEF LM</t>
    </r>
  </si>
  <si>
    <r>
      <rPr>
        <sz val="6"/>
        <rFont val="Calibri"/>
        <family val="2"/>
      </rPr>
      <t>INSPEC POST TRAN RUR LM</t>
    </r>
  </si>
  <si>
    <r>
      <rPr>
        <sz val="6"/>
        <rFont val="Calibri"/>
        <family val="2"/>
      </rPr>
      <t>SERV PROJ INSPECIONAR REDE RURAL KM</t>
    </r>
  </si>
  <si>
    <r>
      <rPr>
        <sz val="6"/>
        <rFont val="Calibri"/>
        <family val="2"/>
      </rPr>
      <t>POS</t>
    </r>
  </si>
  <si>
    <r>
      <rPr>
        <sz val="6"/>
        <rFont val="Calibri"/>
        <family val="2"/>
      </rPr>
      <t>INST CABO ALUM NU  =&lt; 2/0AWG LM</t>
    </r>
  </si>
  <si>
    <r>
      <rPr>
        <sz val="6"/>
        <rFont val="Calibri"/>
        <family val="2"/>
      </rPr>
      <t>INST CABO ALUM NU &gt; 2/0 LM</t>
    </r>
  </si>
  <si>
    <r>
      <rPr>
        <sz val="6"/>
        <rFont val="Calibri"/>
        <family val="2"/>
      </rPr>
      <t>INST CAIXA MED CPREDE 1 MEDID ELETROM LM</t>
    </r>
  </si>
  <si>
    <r>
      <rPr>
        <sz val="6"/>
        <rFont val="Calibri"/>
        <family val="2"/>
      </rPr>
      <t>INST CAIXA MED CP-REDE CONEX/RAMAIS LM</t>
    </r>
  </si>
  <si>
    <r>
      <rPr>
        <sz val="6"/>
        <rFont val="Calibri"/>
        <family val="2"/>
      </rPr>
      <t>INST CB MENSAG REDE PROTEG CORDO9,5MM LM</t>
    </r>
  </si>
  <si>
    <r>
      <rPr>
        <sz val="6"/>
        <rFont val="Calibri"/>
        <family val="2"/>
      </rPr>
      <t>INST CH SECC S/LAM TER MONO MAN &lt;69KV</t>
    </r>
  </si>
  <si>
    <r>
      <rPr>
        <sz val="6"/>
        <rFont val="Calibri"/>
        <family val="2"/>
      </rPr>
      <t>INST CHAVE FUSIVEL 3 OP &lt; 34,5 KV</t>
    </r>
  </si>
  <si>
    <r>
      <rPr>
        <sz val="6"/>
        <rFont val="Calibri"/>
        <family val="2"/>
      </rPr>
      <t>INST CHAVE FUSIVEL 3 OP =&gt; 34,5 KV</t>
    </r>
  </si>
  <si>
    <r>
      <rPr>
        <sz val="6"/>
        <rFont val="Calibri"/>
        <family val="2"/>
      </rPr>
      <t>INST COBERTURA REDE MT/FASE LM</t>
    </r>
  </si>
  <si>
    <r>
      <rPr>
        <sz val="6"/>
        <rFont val="Calibri"/>
        <family val="2"/>
      </rPr>
      <t>VAO</t>
    </r>
  </si>
  <si>
    <r>
      <rPr>
        <sz val="6"/>
        <rFont val="Calibri"/>
        <family val="2"/>
      </rPr>
      <t>INST ESPAC REDE BT TUBO DE PVC LM</t>
    </r>
  </si>
  <si>
    <r>
      <rPr>
        <sz val="6"/>
        <rFont val="Calibri"/>
        <family val="2"/>
      </rPr>
      <t>INST ESTR PRIM CE1-A LM</t>
    </r>
  </si>
  <si>
    <r>
      <rPr>
        <sz val="6"/>
        <rFont val="Calibri"/>
        <family val="2"/>
      </rPr>
      <t>INST ESTR PRIM CE2 LM</t>
    </r>
  </si>
  <si>
    <r>
      <rPr>
        <sz val="6"/>
        <rFont val="Calibri"/>
        <family val="2"/>
      </rPr>
      <t>INST ESTR PRIM CE3 LM</t>
    </r>
  </si>
  <si>
    <r>
      <rPr>
        <sz val="6"/>
        <rFont val="Calibri"/>
        <family val="2"/>
      </rPr>
      <t>INST ESTRUT PRIM N23/M23/B23 LM</t>
    </r>
  </si>
  <si>
    <r>
      <rPr>
        <sz val="6"/>
        <rFont val="Calibri"/>
        <family val="2"/>
      </rPr>
      <t>INST ISOLADOR DISCO LM</t>
    </r>
  </si>
  <si>
    <r>
      <rPr>
        <sz val="6"/>
        <rFont val="Calibri"/>
        <family val="2"/>
      </rPr>
      <t>INST ISOLADOR PINO FIM DE REDE LM</t>
    </r>
  </si>
  <si>
    <r>
      <rPr>
        <sz val="6"/>
        <rFont val="Calibri"/>
        <family val="2"/>
      </rPr>
      <t>INST ISOLADOR PINO TANGENTE LM</t>
    </r>
  </si>
  <si>
    <r>
      <rPr>
        <sz val="6"/>
        <rFont val="Calibri"/>
        <family val="2"/>
      </rPr>
      <t>INST PARA-RAIOS RD &lt;34,5 KV LM</t>
    </r>
  </si>
  <si>
    <r>
      <rPr>
        <sz val="6"/>
        <rFont val="Calibri"/>
        <family val="2"/>
      </rPr>
      <t>INST PLACA ALUS LM</t>
    </r>
  </si>
  <si>
    <r>
      <rPr>
        <sz val="6"/>
        <rFont val="Calibri"/>
        <family val="2"/>
      </rPr>
      <t>INST SEPARADOR VERTICAL 50/185MM² LM</t>
    </r>
  </si>
  <si>
    <r>
      <rPr>
        <sz val="6"/>
        <rFont val="Calibri"/>
        <family val="2"/>
      </rPr>
      <t>INST SUP P/TRANSF &lt;69KV LM</t>
    </r>
  </si>
  <si>
    <r>
      <rPr>
        <sz val="6"/>
        <rFont val="Calibri"/>
        <family val="2"/>
      </rPr>
      <t>INST AFAST RD SEC 500MM LM</t>
    </r>
  </si>
  <si>
    <r>
      <rPr>
        <sz val="6"/>
        <rFont val="Calibri"/>
        <family val="2"/>
      </rPr>
      <t>INST AMARRACAO MT/BT LM</t>
    </r>
  </si>
  <si>
    <r>
      <rPr>
        <sz val="6"/>
        <rFont val="Calibri"/>
        <family val="2"/>
      </rPr>
      <t>INST ATER POR HASTE LM</t>
    </r>
  </si>
  <si>
    <r>
      <rPr>
        <sz val="6"/>
        <rFont val="Calibri"/>
        <family val="2"/>
      </rPr>
      <t>INST CB AL MULTIPLEX TODOS LM</t>
    </r>
  </si>
  <si>
    <r>
      <rPr>
        <sz val="6"/>
        <rFont val="Calibri"/>
        <family val="2"/>
      </rPr>
      <t>INST CABO AL NU  =&lt;2/0CA/CAAAWG LM</t>
    </r>
  </si>
  <si>
    <r>
      <rPr>
        <sz val="6"/>
        <rFont val="Calibri"/>
        <family val="2"/>
      </rPr>
      <t>INST CABO AL NU &gt;2/0CA/CAAAWG LM</t>
    </r>
  </si>
  <si>
    <r>
      <rPr>
        <sz val="6"/>
        <rFont val="Calibri"/>
        <family val="2"/>
      </rPr>
      <t>INST CB AL PROTEG =&lt;95MM² LM</t>
    </r>
  </si>
  <si>
    <r>
      <rPr>
        <sz val="6"/>
        <rFont val="Calibri"/>
        <family val="2"/>
      </rPr>
      <t>INST CB AL PROTEG &gt;95MM² LM</t>
    </r>
  </si>
  <si>
    <r>
      <rPr>
        <sz val="6"/>
        <rFont val="Calibri"/>
        <family val="2"/>
      </rPr>
      <t>SERV OFIC INST CABO MENS CORD ACO LM</t>
    </r>
  </si>
  <si>
    <r>
      <rPr>
        <sz val="6"/>
        <rFont val="Calibri"/>
        <family val="2"/>
      </rPr>
      <t>METRO</t>
    </r>
  </si>
  <si>
    <r>
      <rPr>
        <sz val="6"/>
        <rFont val="Calibri"/>
        <family val="2"/>
      </rPr>
      <t>INST CAIXA MED CP TRAFO ELETROM LM</t>
    </r>
  </si>
  <si>
    <r>
      <rPr>
        <sz val="6"/>
        <rFont val="Calibri"/>
        <family val="2"/>
      </rPr>
      <t>INST BANCO CAPACITOR 300KVAR LM</t>
    </r>
  </si>
  <si>
    <r>
      <rPr>
        <sz val="6"/>
        <rFont val="Calibri"/>
        <family val="2"/>
      </rPr>
      <t>INST BANCO CAPACITOR 600KVAR LM</t>
    </r>
  </si>
  <si>
    <r>
      <rPr>
        <sz val="6"/>
        <rFont val="Calibri"/>
        <family val="2"/>
      </rPr>
      <t>INST BANCO CAPACITOR 900KVAR LM</t>
    </r>
  </si>
  <si>
    <r>
      <rPr>
        <sz val="6"/>
        <rFont val="Calibri"/>
        <family val="2"/>
      </rPr>
      <t>INST CAPACITOR DE MT MONOPOLAR LM</t>
    </r>
  </si>
  <si>
    <r>
      <rPr>
        <sz val="6"/>
        <rFont val="Calibri"/>
        <family val="2"/>
      </rPr>
      <t>INST CHAVE FUSIVEL &lt; 34,5 KV LM</t>
    </r>
  </si>
  <si>
    <r>
      <rPr>
        <sz val="6"/>
        <rFont val="Calibri"/>
        <family val="2"/>
      </rPr>
      <t>INST CHAVE FUSIVEL =&gt; 34,5KV LM</t>
    </r>
  </si>
  <si>
    <r>
      <rPr>
        <sz val="6"/>
        <rFont val="Calibri"/>
        <family val="2"/>
      </rPr>
      <t>INST CINTA CX CP REDE PST LM</t>
    </r>
  </si>
  <si>
    <r>
      <rPr>
        <sz val="6"/>
        <rFont val="Calibri"/>
        <family val="2"/>
      </rPr>
      <t>INST CONEC RD PRIM LM</t>
    </r>
  </si>
  <si>
    <r>
      <rPr>
        <sz val="6"/>
        <rFont val="Calibri"/>
        <family val="2"/>
      </rPr>
      <t>INST CONEC RD SEC LM</t>
    </r>
  </si>
  <si>
    <r>
      <rPr>
        <sz val="6"/>
        <rFont val="Calibri"/>
        <family val="2"/>
      </rPr>
      <t>INST CRUZAMENTO AEREO BT FLY TAP LM</t>
    </r>
  </si>
  <si>
    <r>
      <rPr>
        <sz val="6"/>
        <rFont val="Calibri"/>
        <family val="2"/>
      </rPr>
      <t>INST CRUZAMENTO AEREO MT FLY TAP  LM</t>
    </r>
  </si>
  <si>
    <r>
      <rPr>
        <sz val="6"/>
        <rFont val="Calibri"/>
        <family val="2"/>
      </rPr>
      <t>INST CRZ DUP BAS DE EQ ESP MAD OU FIB LM</t>
    </r>
  </si>
  <si>
    <r>
      <rPr>
        <sz val="6"/>
        <rFont val="Calibri"/>
        <family val="2"/>
      </rPr>
      <t>INST CRZ DUP BAS EQ ESP CONC LM</t>
    </r>
  </si>
  <si>
    <r>
      <rPr>
        <sz val="6"/>
        <rFont val="Calibri"/>
        <family val="2"/>
      </rPr>
      <t>INST EMENDA COND C/LUVA PREF LM</t>
    </r>
  </si>
  <si>
    <r>
      <rPr>
        <sz val="6"/>
        <rFont val="Calibri"/>
        <family val="2"/>
      </rPr>
      <t>INST EMENDA COND PRIM/SEC NU LM</t>
    </r>
  </si>
  <si>
    <r>
      <rPr>
        <sz val="6"/>
        <rFont val="Calibri"/>
        <family val="2"/>
      </rPr>
      <t>INST ESCORA SUBSOLO PST EXISTENTE-02 ESC</t>
    </r>
  </si>
  <si>
    <r>
      <rPr>
        <sz val="6"/>
        <rFont val="Calibri"/>
        <family val="2"/>
      </rPr>
      <t>INST ESPACADOR LOSANG 35A185MM² LM</t>
    </r>
  </si>
  <si>
    <r>
      <rPr>
        <sz val="6"/>
        <rFont val="Calibri"/>
        <family val="2"/>
      </rPr>
      <t>INST ESPACADOR REDE BT LM</t>
    </r>
  </si>
  <si>
    <r>
      <rPr>
        <sz val="6"/>
        <rFont val="Calibri"/>
        <family val="2"/>
      </rPr>
      <t>INST ESTAI ANCORA CAVA SIMPLES LM</t>
    </r>
  </si>
  <si>
    <r>
      <rPr>
        <sz val="6"/>
        <rFont val="Calibri"/>
        <family val="2"/>
      </rPr>
      <t>INST ESTAI ANCORA EQUIP S/EXPLOSIVO LM</t>
    </r>
  </si>
  <si>
    <r>
      <rPr>
        <sz val="6"/>
        <rFont val="Calibri"/>
        <family val="2"/>
      </rPr>
      <t>INST ESTAI CRUZETA LM</t>
    </r>
  </si>
  <si>
    <r>
      <rPr>
        <sz val="6"/>
        <rFont val="Calibri"/>
        <family val="2"/>
      </rPr>
      <t>INST ESCORA SUBSOLO PST A IMPLANT-02 ESC</t>
    </r>
  </si>
  <si>
    <r>
      <rPr>
        <sz val="6"/>
        <rFont val="Calibri"/>
        <family val="2"/>
      </rPr>
      <t>INST ESTRIBO REDE BT LM</t>
    </r>
  </si>
  <si>
    <r>
      <rPr>
        <sz val="6"/>
        <rFont val="Calibri"/>
        <family val="2"/>
      </rPr>
      <t>INST ESTRIBO REDE MT LM</t>
    </r>
  </si>
  <si>
    <r>
      <rPr>
        <sz val="6"/>
        <rFont val="Calibri"/>
        <family val="2"/>
      </rPr>
      <t>INST ESTR PRIM CE1/CE1-A/CE2 LM</t>
    </r>
  </si>
  <si>
    <r>
      <rPr>
        <sz val="6"/>
        <rFont val="Calibri"/>
        <family val="2"/>
      </rPr>
      <t>INST ESTR PRIM CE1-C LM</t>
    </r>
  </si>
  <si>
    <r>
      <rPr>
        <sz val="6"/>
        <rFont val="Calibri"/>
        <family val="2"/>
      </rPr>
      <t>INST ESTR PRIM CE-CF LM</t>
    </r>
  </si>
  <si>
    <r>
      <rPr>
        <sz val="6"/>
        <rFont val="Calibri"/>
        <family val="2"/>
      </rPr>
      <t>INST ESTR PRIM CE-CS LM</t>
    </r>
  </si>
  <si>
    <r>
      <rPr>
        <sz val="6"/>
        <rFont val="Calibri"/>
        <family val="2"/>
      </rPr>
      <t>INST ESTR PRIM CEE-CS LM</t>
    </r>
  </si>
  <si>
    <r>
      <rPr>
        <sz val="6"/>
        <rFont val="Calibri"/>
        <family val="2"/>
      </rPr>
      <t>INST ESTR PRIM DN1 LM</t>
    </r>
  </si>
  <si>
    <r>
      <rPr>
        <sz val="6"/>
        <rFont val="Calibri"/>
        <family val="2"/>
      </rPr>
      <t>INST ESTR PRIM DN2 LM</t>
    </r>
  </si>
  <si>
    <r>
      <rPr>
        <sz val="6"/>
        <rFont val="Calibri"/>
        <family val="2"/>
      </rPr>
      <t>INST ESTR PRIM DN3 LM</t>
    </r>
  </si>
  <si>
    <r>
      <rPr>
        <sz val="6"/>
        <rFont val="Calibri"/>
        <family val="2"/>
      </rPr>
      <t>INST ESTR PRIM DN4-SEM CHAVE LM</t>
    </r>
  </si>
  <si>
    <r>
      <rPr>
        <sz val="6"/>
        <rFont val="Calibri"/>
        <family val="2"/>
      </rPr>
      <t>INST ESTRUTURA PRIM HS LM</t>
    </r>
  </si>
  <si>
    <r>
      <rPr>
        <sz val="6"/>
        <rFont val="Calibri"/>
        <family val="2"/>
      </rPr>
      <t>INST ESTR PRIM HT LM</t>
    </r>
  </si>
  <si>
    <r>
      <rPr>
        <sz val="6"/>
        <rFont val="Calibri"/>
        <family val="2"/>
      </rPr>
      <t>INST ESTRUTURA PRIM N1/M1/B1 LM</t>
    </r>
  </si>
  <si>
    <r>
      <rPr>
        <sz val="6"/>
        <rFont val="Calibri"/>
        <family val="2"/>
      </rPr>
      <t>INST ESTRUTURA PRIM N2/M2/B2/B2-E LM</t>
    </r>
  </si>
  <si>
    <r>
      <rPr>
        <sz val="6"/>
        <rFont val="Calibri"/>
        <family val="2"/>
      </rPr>
      <t>INST ESTR. PRIM N3, M3, B3 CRZ CONC LM</t>
    </r>
  </si>
  <si>
    <r>
      <rPr>
        <sz val="6"/>
        <rFont val="Calibri"/>
        <family val="2"/>
      </rPr>
      <t>INST ESTR PRIM N3/B3/T3 LM</t>
    </r>
  </si>
  <si>
    <r>
      <rPr>
        <sz val="6"/>
        <rFont val="Calibri"/>
        <family val="2"/>
      </rPr>
      <t>INST ESTR PRIM N3-2/M3-2/N2-3/M2-3 LM</t>
    </r>
  </si>
  <si>
    <r>
      <rPr>
        <sz val="6"/>
        <rFont val="Calibri"/>
        <family val="2"/>
      </rPr>
      <t>INST ESTR PRIM N3-N3/M3-M3 LM</t>
    </r>
  </si>
  <si>
    <r>
      <rPr>
        <sz val="6"/>
        <rFont val="Calibri"/>
        <family val="2"/>
      </rPr>
      <t>INST ESTR. PRIM N4, M4, B4 CRZ CONC LM</t>
    </r>
  </si>
  <si>
    <r>
      <rPr>
        <sz val="6"/>
        <rFont val="Calibri"/>
        <family val="2"/>
      </rPr>
      <t>INST ESTR PRIM N4/B4/T4 LM</t>
    </r>
  </si>
  <si>
    <r>
      <rPr>
        <sz val="6"/>
        <rFont val="Calibri"/>
        <family val="2"/>
      </rPr>
      <t>INST ESTR PRIM N4/N4E/M4/B4/B4E C/CH LM</t>
    </r>
  </si>
  <si>
    <r>
      <rPr>
        <sz val="6"/>
        <rFont val="Calibri"/>
        <family val="2"/>
      </rPr>
      <t>INST ESTR PRIM P1,PT1,PTA1 LM</t>
    </r>
  </si>
  <si>
    <r>
      <rPr>
        <sz val="6"/>
        <rFont val="Calibri"/>
        <family val="2"/>
      </rPr>
      <t>INST ESTR PRIM P2,PT2 LM</t>
    </r>
  </si>
  <si>
    <r>
      <rPr>
        <sz val="6"/>
        <rFont val="Calibri"/>
        <family val="2"/>
      </rPr>
      <t>INST ESTR PRIM P3 LM</t>
    </r>
  </si>
  <si>
    <r>
      <rPr>
        <sz val="6"/>
        <rFont val="Calibri"/>
        <family val="2"/>
      </rPr>
      <t>INST ESTR PRIM P4 LM</t>
    </r>
  </si>
  <si>
    <r>
      <rPr>
        <sz val="6"/>
        <rFont val="Calibri"/>
        <family val="2"/>
      </rPr>
      <t>INST ESTR. PRIM –  TE E T4 CRZ CONC LM</t>
    </r>
  </si>
  <si>
    <r>
      <rPr>
        <sz val="6"/>
        <rFont val="Calibri"/>
        <family val="2"/>
      </rPr>
      <t>INST ESTR PRIM U1/U2 LM</t>
    </r>
  </si>
  <si>
    <r>
      <rPr>
        <sz val="6"/>
        <rFont val="Calibri"/>
        <family val="2"/>
      </rPr>
      <t>INST ESTR PRIM U3/U4 LM</t>
    </r>
  </si>
  <si>
    <r>
      <rPr>
        <sz val="6"/>
        <rFont val="Calibri"/>
        <family val="2"/>
      </rPr>
      <t>INST ESTR PRIM U3-2/U2-3 LM</t>
    </r>
  </si>
  <si>
    <r>
      <rPr>
        <sz val="6"/>
        <rFont val="Calibri"/>
        <family val="2"/>
      </rPr>
      <t>INST EST SEC EM REDE CONVENCIONAL LM</t>
    </r>
  </si>
  <si>
    <r>
      <rPr>
        <sz val="6"/>
        <rFont val="Calibri"/>
        <family val="2"/>
      </rPr>
      <t>INST EST SEC EM REDE MULTIPLEXADA LM</t>
    </r>
  </si>
  <si>
    <r>
      <rPr>
        <sz val="6"/>
        <rFont val="Calibri"/>
        <family val="2"/>
      </rPr>
      <t>INST ESTR PRIM CE3/CE4 LM</t>
    </r>
  </si>
  <si>
    <r>
      <rPr>
        <sz val="6"/>
        <rFont val="Calibri"/>
        <family val="2"/>
      </rPr>
      <t>INST GRAMPO LINHA VIVA COM JUMPER LM</t>
    </r>
  </si>
  <si>
    <r>
      <rPr>
        <sz val="6"/>
        <rFont val="Calibri"/>
        <family val="2"/>
      </rPr>
      <t>INST ISOLADOR CADEIA LM</t>
    </r>
  </si>
  <si>
    <r>
      <rPr>
        <sz val="6"/>
        <rFont val="Calibri"/>
        <family val="2"/>
      </rPr>
      <t>INST ISOLADOR PILAR LM</t>
    </r>
  </si>
  <si>
    <r>
      <rPr>
        <sz val="6"/>
        <rFont val="Calibri"/>
        <family val="2"/>
      </rPr>
      <t>INST ISOLADOR PINO LM</t>
    </r>
  </si>
  <si>
    <r>
      <rPr>
        <sz val="6"/>
        <rFont val="Calibri"/>
        <family val="2"/>
      </rPr>
      <t>INST JUMPER NA REDE MT/BT LM</t>
    </r>
  </si>
  <si>
    <r>
      <rPr>
        <sz val="6"/>
        <rFont val="Calibri"/>
        <family val="2"/>
      </rPr>
      <t>INST KIT INST ELET RES INT BAIX RENDA LM</t>
    </r>
  </si>
  <si>
    <r>
      <rPr>
        <sz val="6"/>
        <rFont val="Calibri"/>
        <family val="2"/>
      </rPr>
      <t>INST LACRE MED E/OU CX MED LM</t>
    </r>
  </si>
  <si>
    <r>
      <rPr>
        <sz val="6"/>
        <rFont val="Calibri"/>
        <family val="2"/>
      </rPr>
      <t>EST  ILUM INST LUMIN SIMPLES LM</t>
    </r>
  </si>
  <si>
    <r>
      <rPr>
        <sz val="6"/>
        <rFont val="Calibri"/>
        <family val="2"/>
      </rPr>
      <t>INST MAO FRANC LM</t>
    </r>
  </si>
  <si>
    <r>
      <rPr>
        <sz val="6"/>
        <rFont val="Calibri"/>
        <family val="2"/>
      </rPr>
      <t>INST MED MEDIA TENSAO CONJ TCS E TPS</t>
    </r>
  </si>
  <si>
    <r>
      <rPr>
        <sz val="6"/>
        <rFont val="Calibri"/>
        <family val="2"/>
      </rPr>
      <t>INST MED EM CAIXA CP-TRAFO LM</t>
    </r>
  </si>
  <si>
    <r>
      <rPr>
        <sz val="6"/>
        <rFont val="Calibri"/>
        <family val="2"/>
      </rPr>
      <t>INST MED PADRAO AREA RUR ELETROMECANICO</t>
    </r>
  </si>
  <si>
    <r>
      <rPr>
        <sz val="6"/>
        <rFont val="Calibri"/>
        <family val="2"/>
      </rPr>
      <t>INST N1, M1, B1 CRZ DE CONC LM</t>
    </r>
  </si>
  <si>
    <r>
      <rPr>
        <sz val="6"/>
        <rFont val="Calibri"/>
        <family val="2"/>
      </rPr>
      <t>INST N2, M2, B2 CRZ DE CONC LM</t>
    </r>
  </si>
  <si>
    <r>
      <rPr>
        <sz val="6"/>
        <rFont val="Calibri"/>
        <family val="2"/>
      </rPr>
      <t>INST N2-3 / M2-3 CRZ DE CONC LM</t>
    </r>
  </si>
  <si>
    <r>
      <rPr>
        <sz val="6"/>
        <rFont val="Calibri"/>
        <family val="2"/>
      </rPr>
      <t>INST PADR ENERG BIFASICO LM</t>
    </r>
  </si>
  <si>
    <r>
      <rPr>
        <sz val="6"/>
        <rFont val="Calibri"/>
        <family val="2"/>
      </rPr>
      <t>INST PADR ENERG MONOFASICO LM</t>
    </r>
  </si>
  <si>
    <r>
      <rPr>
        <sz val="6"/>
        <rFont val="Calibri"/>
        <family val="2"/>
      </rPr>
      <t>INST PADR ENERG TRIFASICO LM</t>
    </r>
  </si>
  <si>
    <r>
      <rPr>
        <sz val="6"/>
        <rFont val="Calibri"/>
        <family val="2"/>
      </rPr>
      <t>INST PADR ENERG TRIF T5/T6/T7-INDIR LM</t>
    </r>
  </si>
  <si>
    <r>
      <rPr>
        <sz val="6"/>
        <rFont val="Calibri"/>
        <family val="2"/>
      </rPr>
      <t>INST PARA-RAIOS RD &lt; 34,5 KV LM</t>
    </r>
  </si>
  <si>
    <r>
      <rPr>
        <sz val="6"/>
        <rFont val="Calibri"/>
        <family val="2"/>
      </rPr>
      <t>INST PARA-RAIOS RD =&gt; 34,5 KV LM</t>
    </r>
  </si>
  <si>
    <r>
      <rPr>
        <sz val="6"/>
        <rFont val="Calibri"/>
        <family val="2"/>
      </rPr>
      <t>FORN/INST PLACA DE OBRA</t>
    </r>
  </si>
  <si>
    <r>
      <rPr>
        <sz val="6"/>
        <rFont val="Calibri"/>
        <family val="2"/>
      </rPr>
      <t>INST POSTE ACIMA 13M LM</t>
    </r>
  </si>
  <si>
    <r>
      <rPr>
        <sz val="6"/>
        <rFont val="Calibri"/>
        <family val="2"/>
      </rPr>
      <t>INST POSTE ATE 13M &lt;69KV GUIN LM</t>
    </r>
  </si>
  <si>
    <r>
      <rPr>
        <sz val="6"/>
        <rFont val="Calibri"/>
        <family val="2"/>
      </rPr>
      <t>INST POSTE ATE 13M &lt;69KV MANUAL LM</t>
    </r>
  </si>
  <si>
    <r>
      <rPr>
        <sz val="6"/>
        <rFont val="Calibri"/>
        <family val="2"/>
      </rPr>
      <t>INST POSTO TRANSF ESTRUT MT1 LM</t>
    </r>
  </si>
  <si>
    <r>
      <rPr>
        <sz val="6"/>
        <rFont val="Calibri"/>
        <family val="2"/>
      </rPr>
      <t>INST POSTO TRANSF ESTRUT MT2 LM</t>
    </r>
  </si>
  <si>
    <r>
      <rPr>
        <sz val="6"/>
        <rFont val="Calibri"/>
        <family val="2"/>
      </rPr>
      <t>INS RAMAL ENTR C/ELETR CX CP RD LM</t>
    </r>
  </si>
  <si>
    <r>
      <rPr>
        <sz val="6"/>
        <rFont val="Calibri"/>
        <family val="2"/>
      </rPr>
      <t>INST RAMAL SERVICO BIFASICO LM</t>
    </r>
  </si>
  <si>
    <r>
      <rPr>
        <sz val="6"/>
        <rFont val="Calibri"/>
        <family val="2"/>
      </rPr>
      <t>INST RAMAL SERVICO MONOFASICO LM</t>
    </r>
  </si>
  <si>
    <r>
      <rPr>
        <sz val="6"/>
        <rFont val="Calibri"/>
        <family val="2"/>
      </rPr>
      <t>INST RAMAL SERVICO TRIFASICO LM</t>
    </r>
  </si>
  <si>
    <r>
      <rPr>
        <sz val="6"/>
        <rFont val="Calibri"/>
        <family val="2"/>
      </rPr>
      <t>INST REGULADOR TENSAO NA REDE MT LM</t>
    </r>
  </si>
  <si>
    <r>
      <rPr>
        <sz val="6"/>
        <rFont val="Calibri"/>
        <family val="2"/>
      </rPr>
      <t>INST RELIG TRIP NA REDE MT LM</t>
    </r>
  </si>
  <si>
    <r>
      <rPr>
        <sz val="6"/>
        <rFont val="Calibri"/>
        <family val="2"/>
      </rPr>
      <t>INST SAPATA PANTANO COM MANILHA</t>
    </r>
  </si>
  <si>
    <r>
      <rPr>
        <sz val="6"/>
        <rFont val="Calibri"/>
        <family val="2"/>
      </rPr>
      <t>INST SAPATA PANTANO COM TAMBOR</t>
    </r>
  </si>
  <si>
    <r>
      <rPr>
        <sz val="6"/>
        <rFont val="Calibri"/>
        <family val="2"/>
      </rPr>
      <t>INST SAPATA PANTANO COM TORA</t>
    </r>
  </si>
  <si>
    <r>
      <rPr>
        <sz val="6"/>
        <rFont val="Calibri"/>
        <family val="2"/>
      </rPr>
      <t>INST TRANSF DISTRIBUIC AEREO MONO LM</t>
    </r>
  </si>
  <si>
    <r>
      <rPr>
        <sz val="6"/>
        <rFont val="Calibri"/>
        <family val="2"/>
      </rPr>
      <t>INST TRANSF DISTRIBUIC AEREO TRIF LM</t>
    </r>
  </si>
  <si>
    <r>
      <rPr>
        <sz val="6"/>
        <rFont val="Calibri"/>
        <family val="2"/>
      </rPr>
      <t>KM RODADO EM DESLOCAMENTO PARA OUTRA REGIONAL (POR COLABORADOR) - LM - KM</t>
    </r>
  </si>
  <si>
    <r>
      <rPr>
        <sz val="6"/>
        <rFont val="Calibri"/>
        <family val="2"/>
      </rPr>
      <t>LANCAR COND ELETR SUBTER LM</t>
    </r>
  </si>
  <si>
    <r>
      <rPr>
        <sz val="6"/>
        <rFont val="Calibri"/>
        <family val="2"/>
      </rPr>
      <t>INST ELETRODUTO REDE SUBTERRANEA TODOS</t>
    </r>
  </si>
  <si>
    <r>
      <rPr>
        <sz val="6"/>
        <rFont val="Calibri"/>
        <family val="2"/>
      </rPr>
      <t>EFET LEVANTAM GEOREF RDR LM</t>
    </r>
  </si>
  <si>
    <r>
      <rPr>
        <sz val="6"/>
        <rFont val="Calibri"/>
        <family val="2"/>
      </rPr>
      <t>LIMP FAIXA CAMPO-10M LARGURA</t>
    </r>
  </si>
  <si>
    <r>
      <rPr>
        <sz val="6"/>
        <rFont val="Calibri"/>
        <family val="2"/>
      </rPr>
      <t>LIMP FAIXA CERRADO E CAPOEIRA</t>
    </r>
  </si>
  <si>
    <r>
      <rPr>
        <sz val="6"/>
        <rFont val="Calibri"/>
        <family val="2"/>
      </rPr>
      <t>LIMP FAIXA SERVIDAO MECANIZADA</t>
    </r>
  </si>
  <si>
    <r>
      <rPr>
        <sz val="6"/>
        <rFont val="Calibri"/>
        <family val="2"/>
      </rPr>
      <t>LIMP FAIXA VEGETACAO DENSA</t>
    </r>
  </si>
  <si>
    <r>
      <rPr>
        <sz val="6"/>
        <rFont val="Calibri"/>
        <family val="2"/>
      </rPr>
      <t>MUDAR TAP TRANSF LM</t>
    </r>
  </si>
  <si>
    <r>
      <rPr>
        <sz val="6"/>
        <rFont val="Calibri"/>
        <family val="2"/>
      </rPr>
      <t>NIVELAR COND TODAS FASES LM</t>
    </r>
  </si>
  <si>
    <r>
      <rPr>
        <sz val="6"/>
        <rFont val="Calibri"/>
        <family val="2"/>
      </rPr>
      <t>NIVELAR COND AT P/FASE LM</t>
    </r>
  </si>
  <si>
    <r>
      <rPr>
        <sz val="6"/>
        <rFont val="Calibri"/>
        <family val="2"/>
      </rPr>
      <t>NIVELAR COND BT P/FASE LM</t>
    </r>
  </si>
  <si>
    <r>
      <rPr>
        <sz val="6"/>
        <rFont val="Calibri"/>
        <family val="2"/>
      </rPr>
      <t>NIVELAR COND RAMAL SERV LM</t>
    </r>
  </si>
  <si>
    <r>
      <rPr>
        <sz val="6"/>
        <rFont val="Calibri"/>
        <family val="2"/>
      </rPr>
      <t>NIVELAR CRUZETA LM</t>
    </r>
  </si>
  <si>
    <r>
      <rPr>
        <sz val="6"/>
        <rFont val="Calibri"/>
        <family val="2"/>
      </rPr>
      <t>CODIF EQUIP DISTRIBUICAO LM</t>
    </r>
  </si>
  <si>
    <r>
      <rPr>
        <sz val="6"/>
        <rFont val="Calibri"/>
        <family val="2"/>
      </rPr>
      <t>OPER CHAVE FACA AB E FC EMERG LM</t>
    </r>
  </si>
  <si>
    <r>
      <rPr>
        <sz val="6"/>
        <rFont val="Calibri"/>
        <family val="2"/>
      </rPr>
      <t>OPER CHAVE FUS AB E FC EMERG LM</t>
    </r>
  </si>
  <si>
    <r>
      <rPr>
        <sz val="6"/>
        <rFont val="Calibri"/>
        <family val="2"/>
      </rPr>
      <t>OPER RELIG/DISJ AB E FC LM</t>
    </r>
  </si>
  <si>
    <r>
      <rPr>
        <sz val="6"/>
        <rFont val="Calibri"/>
        <family val="2"/>
      </rPr>
      <t>PINTAR Nº PATR EQU INST LM</t>
    </r>
  </si>
  <si>
    <r>
      <rPr>
        <sz val="6"/>
        <rFont val="Calibri"/>
        <family val="2"/>
      </rPr>
      <t>PINT NUM PST C/FORNEC MAT LM</t>
    </r>
  </si>
  <si>
    <r>
      <rPr>
        <sz val="6"/>
        <rFont val="Calibri"/>
        <family val="2"/>
      </rPr>
      <t>PODAR ARV GRANDE LM</t>
    </r>
  </si>
  <si>
    <r>
      <rPr>
        <sz val="6"/>
        <rFont val="Calibri"/>
        <family val="2"/>
      </rPr>
      <t>SERV OFIC PODAR ARVORE RURAL LM</t>
    </r>
  </si>
  <si>
    <r>
      <rPr>
        <sz val="6"/>
        <rFont val="Calibri"/>
        <family val="2"/>
      </rPr>
      <t>SERVIÇO EXCLUSIVO DE PODA DE ARVORE URB/RUR  C/RECOLHA</t>
    </r>
  </si>
  <si>
    <r>
      <rPr>
        <sz val="6"/>
        <rFont val="Calibri"/>
        <family val="2"/>
      </rPr>
      <t>SERVIÇO EXCLUSIVO DE PODA DE ARVORE URB/RUR  S/RECOLHA</t>
    </r>
  </si>
  <si>
    <r>
      <rPr>
        <sz val="6"/>
        <rFont val="Calibri"/>
        <family val="2"/>
      </rPr>
      <t>REAP CONEXOES PRIMARIAS LM</t>
    </r>
  </si>
  <si>
    <r>
      <rPr>
        <sz val="6"/>
        <rFont val="Calibri"/>
        <family val="2"/>
      </rPr>
      <t>REAP CONEXOES SECUNDARIAS LM</t>
    </r>
  </si>
  <si>
    <r>
      <rPr>
        <sz val="6"/>
        <rFont val="Calibri"/>
        <family val="2"/>
      </rPr>
      <t>REAP E REG CHAVE FUS LM</t>
    </r>
  </si>
  <si>
    <r>
      <rPr>
        <sz val="6"/>
        <rFont val="Calibri"/>
        <family val="2"/>
      </rPr>
      <t>REAP PARAFUSO ESTRUT PRIM LM</t>
    </r>
  </si>
  <si>
    <r>
      <rPr>
        <sz val="6"/>
        <rFont val="Calibri"/>
        <family val="2"/>
      </rPr>
      <t>EFET RECUPER CX CP REDE LM</t>
    </r>
  </si>
  <si>
    <r>
      <rPr>
        <sz val="6"/>
        <rFont val="Calibri"/>
        <family val="2"/>
      </rPr>
      <t>REEMB ATEST ALINH POR RUA LM</t>
    </r>
  </si>
  <si>
    <r>
      <rPr>
        <sz val="6"/>
        <rFont val="Calibri"/>
        <family val="2"/>
      </rPr>
      <t>REEMB ATEST ALINH POR PST LM</t>
    </r>
  </si>
  <si>
    <r>
      <rPr>
        <sz val="6"/>
        <rFont val="Calibri"/>
        <family val="2"/>
      </rPr>
      <t>REFAZ AMARR BT LM</t>
    </r>
  </si>
  <si>
    <r>
      <rPr>
        <sz val="6"/>
        <rFont val="Calibri"/>
        <family val="2"/>
      </rPr>
      <t>REFAZ AMARR MT LM</t>
    </r>
  </si>
  <si>
    <r>
      <rPr>
        <sz val="6"/>
        <rFont val="Calibri"/>
        <family val="2"/>
      </rPr>
      <t>REINST CH MONO FUSIVEL 3 OPERACOES LM</t>
    </r>
  </si>
  <si>
    <r>
      <rPr>
        <sz val="6"/>
        <rFont val="Calibri"/>
        <family val="2"/>
      </rPr>
      <t>REINST CH MONO FUSIVEL LM</t>
    </r>
  </si>
  <si>
    <r>
      <rPr>
        <sz val="6"/>
        <rFont val="Calibri"/>
        <family val="2"/>
      </rPr>
      <t>REINST CH TRIP OMNI RUPTER ABER CARGA LM</t>
    </r>
  </si>
  <si>
    <r>
      <rPr>
        <sz val="6"/>
        <rFont val="Calibri"/>
        <family val="2"/>
      </rPr>
      <t>REINST PARA-RAIO RD &lt; 34,5KV LM</t>
    </r>
  </si>
  <si>
    <r>
      <rPr>
        <sz val="6"/>
        <rFont val="Calibri"/>
        <family val="2"/>
      </rPr>
      <t>REINST PARA-RAIO RD &gt; = 34,5KV LM</t>
    </r>
  </si>
  <si>
    <r>
      <rPr>
        <sz val="6"/>
        <rFont val="Calibri"/>
        <family val="2"/>
      </rPr>
      <t>REINST SERV TEC ESPACADOR BT LM</t>
    </r>
  </si>
  <si>
    <r>
      <rPr>
        <sz val="6"/>
        <rFont val="Calibri"/>
        <family val="2"/>
      </rPr>
      <t>REINST AFASTADOR 500MM LM</t>
    </r>
  </si>
  <si>
    <r>
      <rPr>
        <sz val="6"/>
        <rFont val="Calibri"/>
        <family val="2"/>
      </rPr>
      <t>REINST CADEIA DISCO COMPLETA LM</t>
    </r>
  </si>
  <si>
    <r>
      <rPr>
        <sz val="6"/>
        <rFont val="Calibri"/>
        <family val="2"/>
      </rPr>
      <t>REINST CH MONO FACA LM</t>
    </r>
  </si>
  <si>
    <r>
      <rPr>
        <sz val="6"/>
        <rFont val="Calibri"/>
        <family val="2"/>
      </rPr>
      <t>REINST CONDUT ALUMIN ACIMA DE 2/0 AWG LM</t>
    </r>
  </si>
  <si>
    <r>
      <rPr>
        <sz val="6"/>
        <rFont val="Calibri"/>
        <family val="2"/>
      </rPr>
      <t>REINST CONDUT AL ATE 2/0 AWG INCLUS LM</t>
    </r>
  </si>
  <si>
    <r>
      <rPr>
        <sz val="6"/>
        <rFont val="Calibri"/>
        <family val="2"/>
      </rPr>
      <t>REINST CONDUTOR ALUM PROT =&lt; 95 MM² LM</t>
    </r>
  </si>
  <si>
    <r>
      <rPr>
        <sz val="6"/>
        <rFont val="Calibri"/>
        <family val="2"/>
      </rPr>
      <t>REINST CONDUTOR ALUM PROT &gt; 95 MM² LM</t>
    </r>
  </si>
  <si>
    <r>
      <rPr>
        <sz val="6"/>
        <rFont val="Calibri"/>
        <family val="2"/>
      </rPr>
      <t>REINST COND AL SECUND MULTIPLEX TODOS LM</t>
    </r>
  </si>
  <si>
    <r>
      <rPr>
        <sz val="6"/>
        <rFont val="Calibri"/>
        <family val="2"/>
      </rPr>
      <t>REINST CRUZAMENTO AEREO FLY TAP BT LM</t>
    </r>
  </si>
  <si>
    <r>
      <rPr>
        <sz val="6"/>
        <rFont val="Calibri"/>
        <family val="2"/>
      </rPr>
      <t>REINST CRUZAMENTO AEREO FLY TAP MT LM</t>
    </r>
  </si>
  <si>
    <r>
      <rPr>
        <sz val="6"/>
        <rFont val="Calibri"/>
        <family val="2"/>
      </rPr>
      <t>REINST ESP LO / VERT CB 35 A 185 LM</t>
    </r>
  </si>
  <si>
    <r>
      <rPr>
        <sz val="6"/>
        <rFont val="Calibri"/>
        <family val="2"/>
      </rPr>
      <t>REINST ESTAI CON-PST/CRUZ-PST/PST-PST LM</t>
    </r>
  </si>
  <si>
    <r>
      <rPr>
        <sz val="6"/>
        <rFont val="Calibri"/>
        <family val="2"/>
      </rPr>
      <t>REINST ESTAI CRUZETA A CRUZETA LM</t>
    </r>
  </si>
  <si>
    <r>
      <rPr>
        <sz val="6"/>
        <rFont val="Calibri"/>
        <family val="2"/>
      </rPr>
      <t>REINST ESTR. PRIM –  T4 E TE CRZ CONC LM</t>
    </r>
  </si>
  <si>
    <r>
      <rPr>
        <sz val="6"/>
        <rFont val="Calibri"/>
        <family val="2"/>
      </rPr>
      <t>REINST ESTRUTURA PRIM CE1/CE1-A LM</t>
    </r>
  </si>
  <si>
    <r>
      <rPr>
        <sz val="6"/>
        <rFont val="Calibri"/>
        <family val="2"/>
      </rPr>
      <t>REINST ESTRUTURA PRIM CE2 LM</t>
    </r>
  </si>
  <si>
    <r>
      <rPr>
        <sz val="6"/>
        <rFont val="Calibri"/>
        <family val="2"/>
      </rPr>
      <t>REINST ESTRUTURA PRIM CE3 LM</t>
    </r>
  </si>
  <si>
    <r>
      <rPr>
        <sz val="6"/>
        <rFont val="Calibri"/>
        <family val="2"/>
      </rPr>
      <t>REINST ESTRUTURA PRIM CE4 LM</t>
    </r>
  </si>
  <si>
    <r>
      <rPr>
        <sz val="6"/>
        <rFont val="Calibri"/>
        <family val="2"/>
      </rPr>
      <t>REINST ESTRUTURA PRIM HT/HTE LM</t>
    </r>
  </si>
  <si>
    <r>
      <rPr>
        <sz val="6"/>
        <rFont val="Calibri"/>
        <family val="2"/>
      </rPr>
      <t>REINST ESTRUTURA PRIMARIA MRT U1,U2 LM</t>
    </r>
  </si>
  <si>
    <r>
      <rPr>
        <sz val="6"/>
        <rFont val="Calibri"/>
        <family val="2"/>
      </rPr>
      <t>REINST ESTRUTURA PRIMARIA MRT U3,U4 LM</t>
    </r>
  </si>
  <si>
    <r>
      <rPr>
        <sz val="6"/>
        <rFont val="Calibri"/>
        <family val="2"/>
      </rPr>
      <t>REINST ESTRUTURA PRIM N1/M1/B1 CONC LM</t>
    </r>
  </si>
  <si>
    <r>
      <rPr>
        <sz val="6"/>
        <rFont val="Calibri"/>
        <family val="2"/>
      </rPr>
      <t>REINST ESTRUTURA PRIM N2/M2/B2/B2-E LM</t>
    </r>
  </si>
  <si>
    <r>
      <rPr>
        <sz val="6"/>
        <rFont val="Calibri"/>
        <family val="2"/>
      </rPr>
      <t>REINST ESTR. PRIM N3, M3, B3 CRZ CONC LM</t>
    </r>
  </si>
  <si>
    <r>
      <rPr>
        <sz val="6"/>
        <rFont val="Calibri"/>
        <family val="2"/>
      </rPr>
      <t>REINST ESTRUTURA PRIM N4/M4/B4 LM</t>
    </r>
  </si>
  <si>
    <r>
      <rPr>
        <sz val="6"/>
        <rFont val="Calibri"/>
        <family val="2"/>
      </rPr>
      <t>REINST ESTRUTURA PRIM T4/TE/T4-T LM</t>
    </r>
  </si>
  <si>
    <r>
      <rPr>
        <sz val="6"/>
        <rFont val="Calibri"/>
        <family val="2"/>
      </rPr>
      <t>REINST ESTR PRIM TIPO P1, PT1 OU PTA1 LM</t>
    </r>
  </si>
  <si>
    <r>
      <rPr>
        <sz val="6"/>
        <rFont val="Calibri"/>
        <family val="2"/>
      </rPr>
      <t>REINST ESTRUTURA PRIMARIA TIPO P3 LM</t>
    </r>
  </si>
  <si>
    <r>
      <rPr>
        <sz val="6"/>
        <rFont val="Calibri"/>
        <family val="2"/>
      </rPr>
      <t>REINST ESTRUTURA PRIMARIA TIPO P4 LM</t>
    </r>
  </si>
  <si>
    <r>
      <rPr>
        <sz val="6"/>
        <rFont val="Calibri"/>
        <family val="2"/>
      </rPr>
      <t>REINST ESTRUTURA SECUNDARIA CONVENCIONAL</t>
    </r>
  </si>
  <si>
    <r>
      <rPr>
        <sz val="6"/>
        <rFont val="Calibri"/>
        <family val="2"/>
      </rPr>
      <t>REINST ISOLADOR DE PINO LM</t>
    </r>
  </si>
  <si>
    <r>
      <rPr>
        <sz val="6"/>
        <rFont val="Calibri"/>
        <family val="2"/>
      </rPr>
      <t>REINS N2, M2, B2 CRZ DE CONC LM</t>
    </r>
  </si>
  <si>
    <r>
      <rPr>
        <sz val="6"/>
        <rFont val="Calibri"/>
        <family val="2"/>
      </rPr>
      <t>REINST  N4, M4, B4 CRZ CONC LM</t>
    </r>
  </si>
  <si>
    <r>
      <rPr>
        <sz val="6"/>
        <rFont val="Calibri"/>
        <family val="2"/>
      </rPr>
      <t>REINST POSTE ACIMA DE 13M LM</t>
    </r>
  </si>
  <si>
    <r>
      <rPr>
        <sz val="6"/>
        <rFont val="Calibri"/>
        <family val="2"/>
      </rPr>
      <t>REINST POSTE DE 8,5 ATE 13M LM</t>
    </r>
  </si>
  <si>
    <r>
      <rPr>
        <sz val="6"/>
        <rFont val="Calibri"/>
        <family val="2"/>
      </rPr>
      <t>REINST RAMAL SERVICO CONSUM BIFASICO LM</t>
    </r>
  </si>
  <si>
    <r>
      <rPr>
        <sz val="6"/>
        <rFont val="Calibri"/>
        <family val="2"/>
      </rPr>
      <t>REINST RAMAL SERVICO CONSUM MONOF LM</t>
    </r>
  </si>
  <si>
    <r>
      <rPr>
        <sz val="6"/>
        <rFont val="Calibri"/>
        <family val="2"/>
      </rPr>
      <t>REINST RAMAL SERVICO CONSUM TRIFASICO LM</t>
    </r>
  </si>
  <si>
    <r>
      <rPr>
        <sz val="6"/>
        <rFont val="Calibri"/>
        <family val="2"/>
      </rPr>
      <t>REINST REGULADOR TENSAO MONOPOLAR LM</t>
    </r>
  </si>
  <si>
    <r>
      <rPr>
        <sz val="6"/>
        <rFont val="Calibri"/>
        <family val="2"/>
      </rPr>
      <t>REINST  RELIG NA REDE MT LM</t>
    </r>
  </si>
  <si>
    <r>
      <rPr>
        <sz val="6"/>
        <rFont val="Calibri"/>
        <family val="2"/>
      </rPr>
      <t>REINST TRANSF DIST AEREO MONOFASICO LM</t>
    </r>
  </si>
  <si>
    <r>
      <rPr>
        <sz val="6"/>
        <rFont val="Calibri"/>
        <family val="2"/>
      </rPr>
      <t>REINST TRANSF DIST TRIFASICO LM</t>
    </r>
  </si>
  <si>
    <r>
      <rPr>
        <sz val="6"/>
        <rFont val="Calibri"/>
        <family val="2"/>
      </rPr>
      <t>REMAN BANCO CAPACITOR 300 KVAR LM</t>
    </r>
  </si>
  <si>
    <r>
      <rPr>
        <sz val="6"/>
        <rFont val="Calibri"/>
        <family val="2"/>
      </rPr>
      <t>REMAN BANCO CAPACITOR 600 KVAR LM</t>
    </r>
  </si>
  <si>
    <r>
      <rPr>
        <sz val="6"/>
        <rFont val="Calibri"/>
        <family val="2"/>
      </rPr>
      <t>REMAN BANCO CAPACITOR 900 KVAR LM</t>
    </r>
  </si>
  <si>
    <r>
      <rPr>
        <sz val="6"/>
        <rFont val="Calibri"/>
        <family val="2"/>
      </rPr>
      <t>REMAN PST C/USO GUIND LM</t>
    </r>
  </si>
  <si>
    <r>
      <rPr>
        <sz val="6"/>
        <rFont val="Calibri"/>
        <family val="2"/>
      </rPr>
      <t>REMAN PST MANUAL LM</t>
    </r>
  </si>
  <si>
    <r>
      <rPr>
        <sz val="6"/>
        <rFont val="Calibri"/>
        <family val="2"/>
      </rPr>
      <t>REMAN CADEIA ISOLADOR DISCO REDE LM</t>
    </r>
  </si>
  <si>
    <r>
      <rPr>
        <sz val="6"/>
        <rFont val="Calibri"/>
        <family val="2"/>
      </rPr>
      <t>ESTRUT ILUM REMANEJAR LUMIN SIMPLES LM</t>
    </r>
  </si>
  <si>
    <r>
      <rPr>
        <sz val="6"/>
        <rFont val="Calibri"/>
        <family val="2"/>
      </rPr>
      <t>REMAN REG TENS MONO LM</t>
    </r>
  </si>
  <si>
    <r>
      <rPr>
        <sz val="6"/>
        <rFont val="Calibri"/>
        <family val="2"/>
      </rPr>
      <t>REMAN RELIG LM</t>
    </r>
  </si>
  <si>
    <r>
      <rPr>
        <sz val="6"/>
        <rFont val="Calibri"/>
        <family val="2"/>
      </rPr>
      <t>REMAN TRANSF MON LM</t>
    </r>
  </si>
  <si>
    <r>
      <rPr>
        <sz val="6"/>
        <rFont val="Calibri"/>
        <family val="2"/>
      </rPr>
      <t>REMAN TRANSF TRIF LM</t>
    </r>
  </si>
  <si>
    <r>
      <rPr>
        <sz val="6"/>
        <rFont val="Calibri"/>
        <family val="2"/>
      </rPr>
      <t>EFET REP CALC COM COM FORNEC MAT LM</t>
    </r>
  </si>
  <si>
    <r>
      <rPr>
        <sz val="6"/>
        <rFont val="Calibri"/>
        <family val="2"/>
      </rPr>
      <t>EFET REP CALC ESPEC COM FORN MAT LM</t>
    </r>
  </si>
  <si>
    <r>
      <rPr>
        <sz val="6"/>
        <rFont val="Calibri"/>
        <family val="2"/>
      </rPr>
      <t>REPAR COND C/PREFORM LM</t>
    </r>
  </si>
  <si>
    <r>
      <rPr>
        <sz val="6"/>
        <rFont val="Calibri"/>
        <family val="2"/>
      </rPr>
      <t>REPOSIC CRUZ N1/N2 OU B1/B2 LM</t>
    </r>
  </si>
  <si>
    <r>
      <rPr>
        <sz val="6"/>
        <rFont val="Calibri"/>
        <family val="2"/>
      </rPr>
      <t>REPOSIC CRUZ N3,N4 OU B3,B4,T3/T4 LM</t>
    </r>
  </si>
  <si>
    <r>
      <rPr>
        <sz val="6"/>
        <rFont val="Calibri"/>
        <family val="2"/>
      </rPr>
      <t>SERV OFIC RETENS ESTAI POSTE-ESTRUT LM</t>
    </r>
  </si>
  <si>
    <r>
      <rPr>
        <sz val="6"/>
        <rFont val="Calibri"/>
        <family val="2"/>
      </rPr>
      <t>RET DESMANTELAR ATER LM</t>
    </r>
  </si>
  <si>
    <r>
      <rPr>
        <sz val="6"/>
        <rFont val="Calibri"/>
        <family val="2"/>
      </rPr>
      <t>RET CASA JOAO BARRO LM</t>
    </r>
  </si>
  <si>
    <r>
      <rPr>
        <sz val="6"/>
        <rFont val="Calibri"/>
        <family val="2"/>
      </rPr>
      <t>RET. COND ISOL. DE BAR. DE TRANSF. LM</t>
    </r>
  </si>
  <si>
    <r>
      <rPr>
        <sz val="6"/>
        <rFont val="Calibri"/>
        <family val="2"/>
      </rPr>
      <t>RET ESTAI DE QUALQUER TIPO CORD LM</t>
    </r>
  </si>
  <si>
    <r>
      <rPr>
        <sz val="6"/>
        <rFont val="Calibri"/>
        <family val="2"/>
      </rPr>
      <t>RET OBJ ESTRANHO REDE LM</t>
    </r>
  </si>
  <si>
    <r>
      <rPr>
        <sz val="6"/>
        <rFont val="Calibri"/>
        <family val="2"/>
      </rPr>
      <t>RET RAMAL ENTR C ELETROD CAIXA CP REDE</t>
    </r>
  </si>
  <si>
    <r>
      <rPr>
        <sz val="6"/>
        <rFont val="Calibri"/>
        <family val="2"/>
      </rPr>
      <t>SECCIONAR CERCA POR FIO LM</t>
    </r>
  </si>
  <si>
    <r>
      <rPr>
        <sz val="6"/>
        <rFont val="Calibri"/>
        <family val="2"/>
      </rPr>
      <t>SERV INSPECAO EM REDE RURAL LM</t>
    </r>
  </si>
  <si>
    <r>
      <rPr>
        <sz val="6"/>
        <rFont val="Calibri"/>
        <family val="2"/>
      </rPr>
      <t>SERV OFIC DESAT ESTAI POSTE-ESTRUT LM</t>
    </r>
  </si>
  <si>
    <r>
      <rPr>
        <sz val="6"/>
        <rFont val="Calibri"/>
        <family val="2"/>
      </rPr>
      <t>SERV OFIC INST CRUZETA LM</t>
    </r>
  </si>
  <si>
    <r>
      <rPr>
        <sz val="6"/>
        <rFont val="Calibri"/>
        <family val="2"/>
      </rPr>
      <t>SUBST PARA-RAIO &lt; 34,5 kV LM</t>
    </r>
  </si>
  <si>
    <r>
      <rPr>
        <sz val="6"/>
        <rFont val="Calibri"/>
        <family val="2"/>
      </rPr>
      <t>SERC OFIC SUBS CABO ACO EM ESTAI LM</t>
    </r>
  </si>
  <si>
    <r>
      <rPr>
        <sz val="6"/>
        <rFont val="Calibri"/>
        <family val="2"/>
      </rPr>
      <t>SUBST ELO FUSIVEL LM</t>
    </r>
  </si>
  <si>
    <r>
      <rPr>
        <sz val="6"/>
        <rFont val="Calibri"/>
        <family val="2"/>
      </rPr>
      <t>EST ILUM SUBST LUMIN FECHADA LM</t>
    </r>
  </si>
  <si>
    <r>
      <rPr>
        <sz val="6"/>
        <rFont val="Calibri"/>
        <family val="2"/>
      </rPr>
      <t>SUBST MAO FRANCESA LM</t>
    </r>
  </si>
  <si>
    <r>
      <rPr>
        <sz val="6"/>
        <rFont val="Calibri"/>
        <family val="2"/>
      </rPr>
      <t>SUBST PINO PARA ISOLADOR LM</t>
    </r>
  </si>
  <si>
    <r>
      <rPr>
        <sz val="6"/>
        <rFont val="Calibri"/>
        <family val="2"/>
      </rPr>
      <t>SUBST PORTA FUSIVEL ELO FUSIVEL LM</t>
    </r>
  </si>
  <si>
    <r>
      <rPr>
        <sz val="6"/>
        <rFont val="Calibri"/>
        <family val="2"/>
      </rPr>
      <t>SIST ILUM SUBST REATOR EXTERNO LM</t>
    </r>
  </si>
  <si>
    <r>
      <rPr>
        <sz val="6"/>
        <rFont val="Calibri"/>
        <family val="2"/>
      </rPr>
      <t>SIST ILUM SUBST RELE FOTOELETRICO LM</t>
    </r>
  </si>
  <si>
    <r>
      <rPr>
        <sz val="6"/>
        <rFont val="Calibri"/>
        <family val="2"/>
      </rPr>
      <t>SERV TRANSFORMAR TIPO N1 PARA N2</t>
    </r>
  </si>
  <si>
    <r>
      <rPr>
        <sz val="6"/>
        <rFont val="Calibri"/>
        <family val="2"/>
      </rPr>
      <t>ESTRUT</t>
    </r>
  </si>
  <si>
    <r>
      <rPr>
        <sz val="6"/>
        <rFont val="Calibri"/>
        <family val="2"/>
      </rPr>
      <t>SERV TRANSFORMAR TIPO N1 PARA N4</t>
    </r>
  </si>
  <si>
    <r>
      <rPr>
        <sz val="6"/>
        <rFont val="Calibri"/>
        <family val="2"/>
      </rPr>
      <t>SERV TRANSFORMAR TIPO N2 PARA N1</t>
    </r>
  </si>
  <si>
    <r>
      <rPr>
        <sz val="6"/>
        <rFont val="Calibri"/>
        <family val="2"/>
      </rPr>
      <t>SERV TRANSFORMAR TIPO N4 PARA N1</t>
    </r>
  </si>
  <si>
    <r>
      <rPr>
        <sz val="6"/>
        <rFont val="Calibri"/>
        <family val="2"/>
      </rPr>
      <t>TRANSPORTE DE POSTES COM CAMINHÃO TOCO/TRUCK POR KM</t>
    </r>
  </si>
  <si>
    <r>
      <rPr>
        <sz val="6"/>
        <rFont val="Calibri"/>
        <family val="2"/>
      </rPr>
      <t>TRANSPORTE DE POSTES COM CARRETA POR KM</t>
    </r>
  </si>
  <si>
    <r>
      <rPr>
        <sz val="6"/>
        <rFont val="Calibri"/>
        <family val="2"/>
      </rPr>
      <t>TRAT HST ATERR TR QU LABORGEL/SIMILAR LM</t>
    </r>
  </si>
  <si>
    <r>
      <rPr>
        <sz val="6"/>
        <rFont val="Calibri"/>
        <family val="2"/>
      </rPr>
      <t>VER SEQU FASE LM</t>
    </r>
  </si>
  <si>
    <r>
      <rPr>
        <sz val="6"/>
        <rFont val="Calibri"/>
        <family val="2"/>
      </rPr>
      <t>VISIT PREV CANT OBRA EXTE MAIO QUE 0,5KM</t>
    </r>
  </si>
  <si>
    <r>
      <rPr>
        <sz val="6"/>
        <rFont val="Calibri"/>
        <family val="2"/>
      </rPr>
      <t>VISIT PREV CANT OBRA EXTE MENO OU=0,5KM</t>
    </r>
  </si>
  <si>
    <r>
      <rPr>
        <sz val="6"/>
        <rFont val="Calibri"/>
        <family val="2"/>
      </rPr>
      <t>ALTERAÇÃO DE US - ITEM A SER UTILIZADO PARA PAGAMENTO DA DIFERENÇA NA MEDIÇÃO DE MÃO DE OBRA QUANDO HOUVER AJUSTE NO VALOR DA US.</t>
    </r>
  </si>
  <si>
    <r>
      <rPr>
        <sz val="6"/>
        <rFont val="Calibri"/>
        <family val="2"/>
      </rPr>
      <t>UNID.</t>
    </r>
  </si>
  <si>
    <r>
      <rPr>
        <sz val="6"/>
        <rFont val="Calibri"/>
        <family val="2"/>
      </rPr>
      <t>SERV. EMERG. FORA DO HORARIO COMERCIAL-ADICIONAL 30%</t>
    </r>
  </si>
  <si>
    <r>
      <rPr>
        <sz val="6"/>
        <rFont val="Calibri"/>
        <family val="2"/>
      </rPr>
      <t>VISITA IMPRODUTIVA - SEM ATUAÇÃO</t>
    </r>
  </si>
  <si>
    <r>
      <rPr>
        <sz val="6"/>
        <rFont val="Calibri"/>
        <family val="2"/>
      </rPr>
      <t>SERV. EMERG. HORARIO COMERCIAL - ADICIONAL 12%</t>
    </r>
  </si>
  <si>
    <r>
      <rPr>
        <sz val="7"/>
        <rFont val="Times New Roman"/>
        <family val="1"/>
      </rPr>
      <t>VALOR UPS</t>
    </r>
  </si>
  <si>
    <r>
      <rPr>
        <sz val="7"/>
        <rFont val="Times New Roman"/>
        <family val="1"/>
      </rPr>
      <t>CONTRATO</t>
    </r>
  </si>
  <si>
    <r>
      <rPr>
        <sz val="7"/>
        <rFont val="Calibri"/>
        <family val="2"/>
      </rPr>
      <t>DESAT CABO AL CA PROTEG 185MM2 LV</t>
    </r>
  </si>
  <si>
    <r>
      <rPr>
        <sz val="7"/>
        <rFont val="Calibri"/>
        <family val="2"/>
      </rPr>
      <t>M</t>
    </r>
  </si>
  <si>
    <r>
      <rPr>
        <sz val="7"/>
        <rFont val="Calibri"/>
        <family val="2"/>
      </rPr>
      <t>RETIRAR</t>
    </r>
  </si>
  <si>
    <r>
      <rPr>
        <sz val="7"/>
        <rFont val="Calibri"/>
        <family val="2"/>
      </rPr>
      <t>DESAT CABO AL CA PROTEG 50MM2 LV</t>
    </r>
  </si>
  <si>
    <r>
      <rPr>
        <sz val="7"/>
        <rFont val="Calibri"/>
        <family val="2"/>
      </rPr>
      <t>DESAT CABO AL NU PRIM CA/CAA 4/0A336 LV</t>
    </r>
  </si>
  <si>
    <r>
      <rPr>
        <sz val="7"/>
        <rFont val="Calibri"/>
        <family val="2"/>
      </rPr>
      <t>DESAT CABO AL NU PRIM CA/CAA 4A1/0 LV</t>
    </r>
  </si>
  <si>
    <r>
      <rPr>
        <sz val="7"/>
        <rFont val="Calibri"/>
        <family val="2"/>
      </rPr>
      <t>DESAT CAPACITOR MT MONOPOLAR LV</t>
    </r>
  </si>
  <si>
    <r>
      <rPr>
        <sz val="7"/>
        <rFont val="Calibri"/>
        <family val="2"/>
      </rPr>
      <t>PEÇ</t>
    </r>
  </si>
  <si>
    <r>
      <rPr>
        <sz val="7"/>
        <rFont val="Calibri"/>
        <family val="2"/>
      </rPr>
      <t>DESAT CH 1P DS CARG-NR-MAN 3PC =&gt;69KV LV</t>
    </r>
  </si>
  <si>
    <r>
      <rPr>
        <sz val="7"/>
        <rFont val="Calibri"/>
        <family val="2"/>
      </rPr>
      <t>DESAT CH SECCIONADORA  =&gt;15KV BY PASS LV</t>
    </r>
  </si>
  <si>
    <r>
      <rPr>
        <sz val="7"/>
        <rFont val="Calibri"/>
        <family val="2"/>
      </rPr>
      <t>DESAT CH TRIP OLEO ABER CARGA &lt; 69 KV LV</t>
    </r>
  </si>
  <si>
    <r>
      <rPr>
        <sz val="7"/>
        <rFont val="Calibri"/>
        <family val="2"/>
      </rPr>
      <t>DESAT CHAVE FUS &lt;69KV 1F LV</t>
    </r>
  </si>
  <si>
    <r>
      <rPr>
        <sz val="7"/>
        <rFont val="Calibri"/>
        <family val="2"/>
      </rPr>
      <t>DESAT CHAVE FUS RELIG &gt;= 34,5 KV 1F LV</t>
    </r>
  </si>
  <si>
    <r>
      <rPr>
        <sz val="7"/>
        <rFont val="Calibri"/>
        <family val="2"/>
      </rPr>
      <t>DESAT CRUZ DUPLA P BASE EQUIPAM ESPEC LV</t>
    </r>
  </si>
  <si>
    <r>
      <rPr>
        <sz val="7"/>
        <rFont val="Calibri"/>
        <family val="2"/>
      </rPr>
      <t>DESAT ESPAC LOSANG 50/185MM² LV</t>
    </r>
  </si>
  <si>
    <r>
      <rPr>
        <sz val="7"/>
        <rFont val="Calibri"/>
        <family val="2"/>
      </rPr>
      <t>DESAT ESPAC RD BT LV</t>
    </r>
  </si>
  <si>
    <r>
      <rPr>
        <sz val="7"/>
        <rFont val="Calibri"/>
        <family val="2"/>
      </rPr>
      <t>DESAT EST PRIM CE1 LV</t>
    </r>
  </si>
  <si>
    <r>
      <rPr>
        <sz val="7"/>
        <rFont val="Calibri"/>
        <family val="2"/>
      </rPr>
      <t>DESAT EST PRIM CE1-A LV</t>
    </r>
  </si>
  <si>
    <r>
      <rPr>
        <sz val="7"/>
        <rFont val="Calibri"/>
        <family val="2"/>
      </rPr>
      <t>DESAT EST PRIM CE2-CE3 LV</t>
    </r>
  </si>
  <si>
    <r>
      <rPr>
        <sz val="7"/>
        <rFont val="Calibri"/>
        <family val="2"/>
      </rPr>
      <t>DESAT EST PRIM N3-2/M3-2/N2-3/M2-3 LV 1C</t>
    </r>
  </si>
  <si>
    <r>
      <rPr>
        <sz val="7"/>
        <rFont val="Calibri"/>
        <family val="2"/>
      </rPr>
      <t>DESAT EST PRIM N3-2/M3-2/N2-3/M2-3 LV 2C</t>
    </r>
  </si>
  <si>
    <r>
      <rPr>
        <sz val="7"/>
        <rFont val="Calibri"/>
        <family val="2"/>
      </rPr>
      <t>DESAT ESTR PRIM N3/N3-E/M3/B3/B3-E LV</t>
    </r>
  </si>
  <si>
    <r>
      <rPr>
        <sz val="7"/>
        <rFont val="Calibri"/>
        <family val="2"/>
      </rPr>
      <t>DESAT ESTRUT PRIM N4/N4-E/M4/B4/B4-E LV</t>
    </r>
  </si>
  <si>
    <r>
      <rPr>
        <sz val="7"/>
        <rFont val="Calibri"/>
        <family val="2"/>
      </rPr>
      <t>DESAT ESTRUTURA PRIM CE2 LV</t>
    </r>
  </si>
  <si>
    <r>
      <rPr>
        <sz val="7"/>
        <rFont val="Calibri"/>
        <family val="2"/>
      </rPr>
      <t>DESAT ESTRUTURA PRIM CE3 LV</t>
    </r>
  </si>
  <si>
    <r>
      <rPr>
        <sz val="7"/>
        <rFont val="Calibri"/>
        <family val="2"/>
      </rPr>
      <t>DESAT ESTRUTURA PRIM CE4 LV</t>
    </r>
  </si>
  <si>
    <r>
      <rPr>
        <sz val="7"/>
        <rFont val="Calibri"/>
        <family val="2"/>
      </rPr>
      <t>DESAT ESTRUTURA PRIM HS LV</t>
    </r>
  </si>
  <si>
    <r>
      <rPr>
        <sz val="7"/>
        <rFont val="Calibri"/>
        <family val="2"/>
      </rPr>
      <t>DESAT ESTRUTURA PRIM HT/HTE LV</t>
    </r>
  </si>
  <si>
    <r>
      <rPr>
        <sz val="7"/>
        <rFont val="Calibri"/>
        <family val="2"/>
      </rPr>
      <t>DESAT ESTRUTURA PRIM N1/M1/B1 LV</t>
    </r>
  </si>
  <si>
    <r>
      <rPr>
        <sz val="7"/>
        <rFont val="Calibri"/>
        <family val="2"/>
      </rPr>
      <t>DESAT ESTRUTURA PRIM N2/M2/B2/B2-E LV</t>
    </r>
  </si>
  <si>
    <r>
      <rPr>
        <sz val="7"/>
        <rFont val="Calibri"/>
        <family val="2"/>
      </rPr>
      <t>DESAT ESTRUTURA PRIM U1 LV</t>
    </r>
  </si>
  <si>
    <r>
      <rPr>
        <sz val="7"/>
        <rFont val="Calibri"/>
        <family val="2"/>
      </rPr>
      <t>DESAT ESTRUTURA PRIM U2 LV</t>
    </r>
  </si>
  <si>
    <r>
      <rPr>
        <sz val="7"/>
        <rFont val="Calibri"/>
        <family val="2"/>
      </rPr>
      <t>DESAT ESTRUTURA PRIM U3/U3-2/U2-3 LV</t>
    </r>
  </si>
  <si>
    <r>
      <rPr>
        <sz val="7"/>
        <rFont val="Calibri"/>
        <family val="2"/>
      </rPr>
      <t>DESAT ESTRUTURA PRIM U4 LV</t>
    </r>
  </si>
  <si>
    <r>
      <rPr>
        <sz val="7"/>
        <rFont val="Calibri"/>
        <family val="2"/>
      </rPr>
      <t>DESAT ISOLADOR DISCO LV</t>
    </r>
  </si>
  <si>
    <r>
      <rPr>
        <sz val="7"/>
        <rFont val="Calibri"/>
        <family val="2"/>
      </rPr>
      <t>DESAT ISOLADOR PILAR LV</t>
    </r>
  </si>
  <si>
    <r>
      <rPr>
        <sz val="7"/>
        <rFont val="Calibri"/>
        <family val="2"/>
      </rPr>
      <t>DESAT ISOLADOR PINO FIM DE REDE LV</t>
    </r>
  </si>
  <si>
    <r>
      <rPr>
        <sz val="7"/>
        <rFont val="Calibri"/>
        <family val="2"/>
      </rPr>
      <t>DESAT ISOLADOR PINO TANGENTE LV</t>
    </r>
  </si>
  <si>
    <r>
      <rPr>
        <sz val="7"/>
        <rFont val="Calibri"/>
        <family val="2"/>
      </rPr>
      <t>DESAT PARA-RAIOS RD &lt; 34,5 KV LV</t>
    </r>
  </si>
  <si>
    <r>
      <rPr>
        <sz val="7"/>
        <rFont val="Calibri"/>
        <family val="2"/>
      </rPr>
      <t>DESAT POSTE ACIMA DE 13 M LV</t>
    </r>
  </si>
  <si>
    <r>
      <rPr>
        <sz val="7"/>
        <rFont val="Calibri"/>
        <family val="2"/>
      </rPr>
      <t>DESAT POSTE DE 8,5 ATE 13 M LV</t>
    </r>
  </si>
  <si>
    <r>
      <rPr>
        <sz val="7"/>
        <rFont val="Calibri"/>
        <family val="2"/>
      </rPr>
      <t>DESAT REGUL TENSAO NA REDE MT</t>
    </r>
  </si>
  <si>
    <r>
      <rPr>
        <sz val="7"/>
        <rFont val="Calibri"/>
        <family val="2"/>
      </rPr>
      <t>DESAT RELIGADOR NA REDE MT LV</t>
    </r>
  </si>
  <si>
    <r>
      <rPr>
        <sz val="7"/>
        <rFont val="Calibri"/>
        <family val="2"/>
      </rPr>
      <t>DESAT CONECT E/OU TERM &lt; 69 KV LV</t>
    </r>
  </si>
  <si>
    <r>
      <rPr>
        <sz val="7"/>
        <rFont val="Calibri"/>
        <family val="2"/>
      </rPr>
      <t>DESAT SEPARADOR VERTICAL 50/185MM² LV</t>
    </r>
  </si>
  <si>
    <r>
      <rPr>
        <sz val="7"/>
        <rFont val="Calibri"/>
        <family val="2"/>
      </rPr>
      <t>DESAT TRANSF DISTRIBUIC AEREO 1F LV</t>
    </r>
  </si>
  <si>
    <r>
      <rPr>
        <sz val="7"/>
        <rFont val="Calibri"/>
        <family val="2"/>
      </rPr>
      <t>DESATIVAR BANCO CAPACITOR 600 KVAR LV</t>
    </r>
  </si>
  <si>
    <r>
      <rPr>
        <sz val="7"/>
        <rFont val="Calibri"/>
        <family val="2"/>
      </rPr>
      <t>CJ</t>
    </r>
  </si>
  <si>
    <r>
      <rPr>
        <sz val="7"/>
        <rFont val="Calibri"/>
        <family val="2"/>
      </rPr>
      <t>DESATIVAR BANCO CAPACITOR 900 KVAR LV</t>
    </r>
  </si>
  <si>
    <r>
      <rPr>
        <sz val="7"/>
        <rFont val="Calibri"/>
        <family val="2"/>
      </rPr>
      <t>DESATIVAR ESTRUT PRIM N1 COM MUFLA LV</t>
    </r>
  </si>
  <si>
    <r>
      <rPr>
        <sz val="7"/>
        <rFont val="Calibri"/>
        <family val="2"/>
      </rPr>
      <t>DESATIVAR MAO FRANCESA LV</t>
    </r>
  </si>
  <si>
    <r>
      <rPr>
        <sz val="7"/>
        <rFont val="Calibri"/>
        <family val="2"/>
      </rPr>
      <t>DIÁRIA HOSPEDAGEM ALIMENTAÇÃO FORA DA REGIONAL (POR COLABORADOR) - LV</t>
    </r>
  </si>
  <si>
    <r>
      <rPr>
        <sz val="7"/>
        <rFont val="Calibri"/>
        <family val="2"/>
      </rPr>
      <t>UN</t>
    </r>
  </si>
  <si>
    <r>
      <rPr>
        <sz val="7"/>
        <rFont val="Calibri"/>
        <family val="2"/>
      </rPr>
      <t>INSTALAR</t>
    </r>
  </si>
  <si>
    <r>
      <rPr>
        <sz val="7"/>
        <rFont val="Calibri"/>
        <family val="2"/>
      </rPr>
      <t>EMEND CABO MENS REDE PROTEGIDA LV</t>
    </r>
  </si>
  <si>
    <r>
      <rPr>
        <sz val="7"/>
        <rFont val="Calibri"/>
        <family val="2"/>
      </rPr>
      <t>HORA DO COLABORADOR EM DISPONIBILIDADE PARA OUTRA REGIONAL - LV</t>
    </r>
  </si>
  <si>
    <r>
      <rPr>
        <sz val="7"/>
        <rFont val="Calibri"/>
        <family val="2"/>
      </rPr>
      <t>IDENTIFICAR SEQUENCIA FASES EM ALIM LV</t>
    </r>
  </si>
  <si>
    <r>
      <rPr>
        <sz val="7"/>
        <rFont val="Calibri"/>
        <family val="2"/>
      </rPr>
      <t>INST BANCO CAPACITOR 600KVAR LV</t>
    </r>
  </si>
  <si>
    <r>
      <rPr>
        <sz val="7"/>
        <rFont val="Calibri"/>
        <family val="2"/>
      </rPr>
      <t>INST BANCO CAPACITOR 900KVAR LV</t>
    </r>
  </si>
  <si>
    <r>
      <rPr>
        <sz val="7"/>
        <rFont val="Calibri"/>
        <family val="2"/>
      </rPr>
      <t>INST CAPACITOR MT MONOPOLAR LV</t>
    </r>
  </si>
  <si>
    <r>
      <rPr>
        <sz val="7"/>
        <rFont val="Calibri"/>
        <family val="2"/>
      </rPr>
      <t>INST CH SECC S/LAM TER MONO MAN &lt;69KV - LV</t>
    </r>
  </si>
  <si>
    <r>
      <rPr>
        <sz val="7"/>
        <rFont val="Calibri"/>
        <family val="2"/>
      </rPr>
      <t>INST CHAVE FUSIVEL 3 OP &lt; 34,5 KV - LV</t>
    </r>
  </si>
  <si>
    <r>
      <rPr>
        <sz val="7"/>
        <rFont val="Calibri"/>
        <family val="2"/>
      </rPr>
      <t>INST CHAVE FUSIVEL 3 OP =&gt; 34,5 KV - LV</t>
    </r>
  </si>
  <si>
    <r>
      <rPr>
        <sz val="7"/>
        <rFont val="Calibri"/>
        <family val="2"/>
      </rPr>
      <t>INST CONEC RD SEC LV</t>
    </r>
  </si>
  <si>
    <r>
      <rPr>
        <sz val="7"/>
        <rFont val="Calibri"/>
        <family val="2"/>
      </rPr>
      <t>INST CONECTOR REDE PRIMARIA LV</t>
    </r>
  </si>
  <si>
    <r>
      <rPr>
        <sz val="7"/>
        <rFont val="Calibri"/>
        <family val="2"/>
      </rPr>
      <t>INST CRUZETA DUPLA LV</t>
    </r>
  </si>
  <si>
    <r>
      <rPr>
        <sz val="7"/>
        <rFont val="Calibri"/>
        <family val="2"/>
      </rPr>
      <t>INST ESPAC REDE BT LV</t>
    </r>
  </si>
  <si>
    <r>
      <rPr>
        <sz val="7"/>
        <rFont val="Calibri"/>
        <family val="2"/>
      </rPr>
      <t>INST ESPACADOR LOSANG 50/185MM² LV</t>
    </r>
  </si>
  <si>
    <r>
      <rPr>
        <sz val="7"/>
        <rFont val="Calibri"/>
        <family val="2"/>
      </rPr>
      <t>INST EST PRIM N4/N4-E/M4/B4/B4-E C CH LV</t>
    </r>
  </si>
  <si>
    <r>
      <rPr>
        <sz val="7"/>
        <rFont val="Calibri"/>
        <family val="2"/>
      </rPr>
      <t>INST EST SEC EM REDE CONVENCIONAL LV</t>
    </r>
  </si>
  <si>
    <r>
      <rPr>
        <sz val="7"/>
        <rFont val="Calibri"/>
        <family val="2"/>
      </rPr>
      <t>INST ESTAI CRUZETA A CRUZETA LV</t>
    </r>
  </si>
  <si>
    <r>
      <rPr>
        <sz val="7"/>
        <rFont val="Calibri"/>
        <family val="2"/>
      </rPr>
      <t>INST ESTR PRIM CE1 LV</t>
    </r>
  </si>
  <si>
    <r>
      <rPr>
        <sz val="7"/>
        <rFont val="Calibri"/>
        <family val="2"/>
      </rPr>
      <t>INST ESTR PRIM CE1-A LV</t>
    </r>
  </si>
  <si>
    <r>
      <rPr>
        <sz val="7"/>
        <rFont val="Calibri"/>
        <family val="2"/>
      </rPr>
      <t>INST ESTR PRIM CE1-C LV</t>
    </r>
  </si>
  <si>
    <r>
      <rPr>
        <sz val="7"/>
        <rFont val="Calibri"/>
        <family val="2"/>
      </rPr>
      <t>INST ESTR PRIM N3/N3-E/M3/B3/B3-E LV</t>
    </r>
  </si>
  <si>
    <r>
      <rPr>
        <sz val="7"/>
        <rFont val="Calibri"/>
        <family val="2"/>
      </rPr>
      <t>INST ESTRUT PRIM N4/N4-E/M4/B4/B4-E LV</t>
    </r>
  </si>
  <si>
    <r>
      <rPr>
        <sz val="7"/>
        <rFont val="Calibri"/>
        <family val="2"/>
      </rPr>
      <t>INST ESTRUTURA PRIM CE3 LV</t>
    </r>
  </si>
  <si>
    <r>
      <rPr>
        <sz val="7"/>
        <rFont val="Calibri"/>
        <family val="2"/>
      </rPr>
      <t>INST ESTRUTURA PRIM CE4 LV</t>
    </r>
  </si>
  <si>
    <r>
      <rPr>
        <sz val="7"/>
        <rFont val="Calibri"/>
        <family val="2"/>
      </rPr>
      <t>INST ESTRUTURA PRIM HT/HTE LV</t>
    </r>
  </si>
  <si>
    <r>
      <rPr>
        <sz val="7"/>
        <rFont val="Calibri"/>
        <family val="2"/>
      </rPr>
      <t>INST ESTRUTURA PRIM N1/M1/B1 LV</t>
    </r>
  </si>
  <si>
    <r>
      <rPr>
        <sz val="7"/>
        <rFont val="Calibri"/>
        <family val="2"/>
      </rPr>
      <t>INST ESTRUTURA PRIM N2/M2/B2/B2-E LV</t>
    </r>
  </si>
  <si>
    <r>
      <rPr>
        <sz val="7"/>
        <rFont val="Calibri"/>
        <family val="2"/>
      </rPr>
      <t>INST ESTRUTURA PRIM U1 LV</t>
    </r>
  </si>
  <si>
    <r>
      <rPr>
        <sz val="7"/>
        <rFont val="Calibri"/>
        <family val="2"/>
      </rPr>
      <t>INST ESTRUTURA PRIM U2 LV</t>
    </r>
  </si>
  <si>
    <r>
      <rPr>
        <sz val="7"/>
        <rFont val="Calibri"/>
        <family val="2"/>
      </rPr>
      <t>INST ESTRUTURA PRIM U3/U3-2/U2-3 LV</t>
    </r>
  </si>
  <si>
    <r>
      <rPr>
        <sz val="7"/>
        <rFont val="Calibri"/>
        <family val="2"/>
      </rPr>
      <t>INST ESTRUTURA PRIM U4 LV</t>
    </r>
  </si>
  <si>
    <r>
      <rPr>
        <sz val="7"/>
        <rFont val="Calibri"/>
        <family val="2"/>
      </rPr>
      <t>INST ISOLADOR DISCO LV</t>
    </r>
  </si>
  <si>
    <r>
      <rPr>
        <sz val="7"/>
        <rFont val="Calibri"/>
        <family val="2"/>
      </rPr>
      <t>INST ISOLADOR PILAR LV</t>
    </r>
  </si>
  <si>
    <r>
      <rPr>
        <sz val="7"/>
        <rFont val="Calibri"/>
        <family val="2"/>
      </rPr>
      <t>INST ISOLADOR PINO FIM DE REDE LV</t>
    </r>
  </si>
  <si>
    <r>
      <rPr>
        <sz val="7"/>
        <rFont val="Calibri"/>
        <family val="2"/>
      </rPr>
      <t>INST ISOLADOR PINO TANGENTE LV</t>
    </r>
  </si>
  <si>
    <r>
      <rPr>
        <sz val="7"/>
        <rFont val="Calibri"/>
        <family val="2"/>
      </rPr>
      <t>INST MEDICAO MT CONJUNTO TC E TP LV</t>
    </r>
  </si>
  <si>
    <r>
      <rPr>
        <sz val="7"/>
        <rFont val="Calibri"/>
        <family val="2"/>
      </rPr>
      <t>INST OLHAL LV</t>
    </r>
  </si>
  <si>
    <r>
      <rPr>
        <sz val="7"/>
        <rFont val="Calibri"/>
        <family val="2"/>
      </rPr>
      <t>INST PARA-RAIOS RD &lt; 34,5 KV LV</t>
    </r>
  </si>
  <si>
    <r>
      <rPr>
        <sz val="7"/>
        <rFont val="Calibri"/>
        <family val="2"/>
      </rPr>
      <t>INST POSTE ACIMA DE 13 M LV</t>
    </r>
  </si>
  <si>
    <r>
      <rPr>
        <sz val="7"/>
        <rFont val="Calibri"/>
        <family val="2"/>
      </rPr>
      <t>INST POSTE ATE 13M &lt;69KV GUIN LV</t>
    </r>
  </si>
  <si>
    <r>
      <rPr>
        <sz val="7"/>
        <rFont val="Calibri"/>
        <family val="2"/>
      </rPr>
      <t>INST REGULADOR TENSAO NA REDE MT LV</t>
    </r>
  </si>
  <si>
    <r>
      <rPr>
        <sz val="7"/>
        <rFont val="Calibri"/>
        <family val="2"/>
      </rPr>
      <t>INST RELIGADOR TENSAO NA REDE MT LV</t>
    </r>
  </si>
  <si>
    <r>
      <rPr>
        <sz val="7"/>
        <rFont val="Calibri"/>
        <family val="2"/>
      </rPr>
      <t>INST SEPARADOR VERTICAL 50/185MM² LV</t>
    </r>
  </si>
  <si>
    <r>
      <rPr>
        <sz val="7"/>
        <rFont val="Calibri"/>
        <family val="2"/>
      </rPr>
      <t>INST TRANSF DISTRIBUIC AEREO MONO LV</t>
    </r>
  </si>
  <si>
    <r>
      <rPr>
        <sz val="7"/>
        <rFont val="Calibri"/>
        <family val="2"/>
      </rPr>
      <t>INST TRANSF DISTRIBUIC AEREO TRIF LV</t>
    </r>
  </si>
  <si>
    <r>
      <rPr>
        <sz val="7"/>
        <rFont val="Calibri"/>
        <family val="2"/>
      </rPr>
      <t>INSTAL ESTR PRIM N3-2/M3-2/N2-3/M2-3  LV</t>
    </r>
  </si>
  <si>
    <r>
      <rPr>
        <sz val="7"/>
        <rFont val="Calibri"/>
        <family val="2"/>
      </rPr>
      <t>INSTALACAO ESTRIBO EM REDE EXIST AT  LV</t>
    </r>
  </si>
  <si>
    <r>
      <rPr>
        <sz val="7"/>
        <rFont val="Calibri"/>
        <family val="2"/>
      </rPr>
      <t>INSTALACAO ESTRUT PRIM N1 MUFLA LV</t>
    </r>
  </si>
  <si>
    <r>
      <rPr>
        <sz val="7"/>
        <rFont val="Calibri"/>
        <family val="2"/>
      </rPr>
      <t>INST CHAVE FUSIVEL &lt; 34,5KV LV</t>
    </r>
  </si>
  <si>
    <r>
      <rPr>
        <sz val="7"/>
        <rFont val="Calibri"/>
        <family val="2"/>
      </rPr>
      <t>INST CHAVE FUSIVEL &gt;= 34,5KV LV</t>
    </r>
  </si>
  <si>
    <r>
      <rPr>
        <sz val="7"/>
        <rFont val="Calibri"/>
        <family val="2"/>
      </rPr>
      <t>KM RODADO EM DESLOCAMENTO PARA OUTRA REGIONAL (POR COLABORADOR) - LV</t>
    </r>
  </si>
  <si>
    <r>
      <rPr>
        <sz val="7"/>
        <rFont val="Calibri"/>
        <family val="2"/>
      </rPr>
      <t>KM</t>
    </r>
  </si>
  <si>
    <r>
      <rPr>
        <sz val="7"/>
        <rFont val="Calibri"/>
        <family val="2"/>
      </rPr>
      <t>PODAR ARVORE LINHA VIVA</t>
    </r>
  </si>
  <si>
    <r>
      <rPr>
        <sz val="7"/>
        <rFont val="Calibri"/>
        <family val="2"/>
      </rPr>
      <t>REAPERT CONEXOES PRIMARIAS LV</t>
    </r>
  </si>
  <si>
    <r>
      <rPr>
        <sz val="7"/>
        <rFont val="Calibri"/>
        <family val="2"/>
      </rPr>
      <t>REAPERT CONEXOES SECUNDARIAS LV</t>
    </r>
  </si>
  <si>
    <r>
      <rPr>
        <sz val="7"/>
        <rFont val="Calibri"/>
        <family val="2"/>
      </rPr>
      <t>REINST CAPACITOR MT MONOPOLAR LV</t>
    </r>
  </si>
  <si>
    <r>
      <rPr>
        <sz val="7"/>
        <rFont val="Calibri"/>
        <family val="2"/>
      </rPr>
      <t>REINST CH FUSIVEL RELIG &lt;34,5KV LV</t>
    </r>
  </si>
  <si>
    <r>
      <rPr>
        <sz val="7"/>
        <rFont val="Calibri"/>
        <family val="2"/>
      </rPr>
      <t>REINST CH FUSIVEL RELIG &gt; = 34,5KV LV</t>
    </r>
  </si>
  <si>
    <r>
      <rPr>
        <sz val="7"/>
        <rFont val="Calibri"/>
        <family val="2"/>
      </rPr>
      <t>REINST CH TRIP DESLIGAM EM CARGA LV</t>
    </r>
  </si>
  <si>
    <r>
      <rPr>
        <sz val="7"/>
        <rFont val="Calibri"/>
        <family val="2"/>
      </rPr>
      <t>REINST CHAVE FUSIVEL &lt;34,5KV LV</t>
    </r>
  </si>
  <si>
    <r>
      <rPr>
        <sz val="7"/>
        <rFont val="Calibri"/>
        <family val="2"/>
      </rPr>
      <t>REINST CHAVE FUSIVEL &gt; = 34,5KV LV</t>
    </r>
  </si>
  <si>
    <r>
      <rPr>
        <sz val="7"/>
        <rFont val="Calibri"/>
        <family val="2"/>
      </rPr>
      <t>REINST CHAVE SECC FACA &gt; =15KV LV</t>
    </r>
  </si>
  <si>
    <r>
      <rPr>
        <sz val="7"/>
        <rFont val="Calibri"/>
        <family val="2"/>
      </rPr>
      <t>REINST CRUZAM AER FLY TAP BT JUMP LV</t>
    </r>
  </si>
  <si>
    <r>
      <rPr>
        <sz val="7"/>
        <rFont val="Calibri"/>
        <family val="2"/>
      </rPr>
      <t>REINST CRUZAM AER FLY TAP MT JUMP LV</t>
    </r>
  </si>
  <si>
    <r>
      <rPr>
        <sz val="7"/>
        <rFont val="Calibri"/>
        <family val="2"/>
      </rPr>
      <t>REINST PARA-RAIO RD &gt; = 34,5KV LV</t>
    </r>
  </si>
  <si>
    <r>
      <rPr>
        <sz val="7"/>
        <rFont val="Calibri"/>
        <family val="2"/>
      </rPr>
      <t>REINST POSTE ACIMA DE 13M LV</t>
    </r>
  </si>
  <si>
    <r>
      <rPr>
        <sz val="7"/>
        <rFont val="Calibri"/>
        <family val="2"/>
      </rPr>
      <t>REINST POSTE DE 8,5 ATE 13M LV</t>
    </r>
  </si>
  <si>
    <r>
      <rPr>
        <sz val="7"/>
        <rFont val="Calibri"/>
        <family val="2"/>
      </rPr>
      <t>REINST REGULADOR TENSAO NA REDE MT LV</t>
    </r>
  </si>
  <si>
    <r>
      <rPr>
        <sz val="7"/>
        <rFont val="Calibri"/>
        <family val="2"/>
      </rPr>
      <t>REINST TRANSF DIST MONOFASICO LV</t>
    </r>
  </si>
  <si>
    <r>
      <rPr>
        <sz val="7"/>
        <rFont val="Calibri"/>
        <family val="2"/>
      </rPr>
      <t>REINST TRANSF DIST TRIFASICO LV</t>
    </r>
  </si>
  <si>
    <r>
      <rPr>
        <sz val="7"/>
        <rFont val="Calibri"/>
        <family val="2"/>
      </rPr>
      <t>REMAN BANCO CAPACIT 300 KVAR &lt; 69 KV LV</t>
    </r>
  </si>
  <si>
    <r>
      <rPr>
        <sz val="7"/>
        <rFont val="Calibri"/>
        <family val="2"/>
      </rPr>
      <t>REMAN BANCO CAPACIT 600 KVAR &lt; 69 KV LV</t>
    </r>
  </si>
  <si>
    <r>
      <rPr>
        <sz val="7"/>
        <rFont val="Calibri"/>
        <family val="2"/>
      </rPr>
      <t>REMAN BANCO CAPACIT 900 KVAR &lt; 69 KV LV</t>
    </r>
  </si>
  <si>
    <r>
      <rPr>
        <sz val="7"/>
        <rFont val="Calibri"/>
        <family val="2"/>
      </rPr>
      <t>REMAN CADEIA ISOLADOR DISCO REDE LV</t>
    </r>
  </si>
  <si>
    <r>
      <rPr>
        <sz val="7"/>
        <rFont val="Calibri"/>
        <family val="2"/>
      </rPr>
      <t>REMAN CH FUS MONO &lt; 34,5 KV RELIG LV</t>
    </r>
  </si>
  <si>
    <r>
      <rPr>
        <sz val="7"/>
        <rFont val="Calibri"/>
        <family val="2"/>
      </rPr>
      <t>REMAN CH FUS MONO &gt; = 34,5 KV RELIG LV</t>
    </r>
  </si>
  <si>
    <r>
      <rPr>
        <sz val="7"/>
        <rFont val="Calibri"/>
        <family val="2"/>
      </rPr>
      <t>REMAN CH FUSIVEL &lt; 34,5 KV LV</t>
    </r>
  </si>
  <si>
    <r>
      <rPr>
        <sz val="7"/>
        <rFont val="Calibri"/>
        <family val="2"/>
      </rPr>
      <t>REMAN CH FUSIVEL &gt; = 34,5 KV LV</t>
    </r>
  </si>
  <si>
    <r>
      <rPr>
        <sz val="7"/>
        <rFont val="Calibri"/>
        <family val="2"/>
      </rPr>
      <t>REMAN CH SECC FACA &gt;= 15KV LV</t>
    </r>
  </si>
  <si>
    <r>
      <rPr>
        <sz val="7"/>
        <rFont val="Calibri"/>
        <family val="2"/>
      </rPr>
      <t>REMAN CH TRIP OLEO TRIP A CAR &lt; 69 KV LV</t>
    </r>
  </si>
  <si>
    <r>
      <rPr>
        <sz val="7"/>
        <rFont val="Calibri"/>
        <family val="2"/>
      </rPr>
      <t>REMAN ESPACADOR NA REDE BT LV</t>
    </r>
  </si>
  <si>
    <r>
      <rPr>
        <sz val="7"/>
        <rFont val="Calibri"/>
        <family val="2"/>
      </rPr>
      <t>REMAN PARA-RAIO &lt; 34,5KV LV</t>
    </r>
  </si>
  <si>
    <r>
      <rPr>
        <sz val="7"/>
        <rFont val="Calibri"/>
        <family val="2"/>
      </rPr>
      <t>REMAN PARA-RAIO &gt; = 34,5KV LV</t>
    </r>
  </si>
  <si>
    <r>
      <rPr>
        <sz val="7"/>
        <rFont val="Calibri"/>
        <family val="2"/>
      </rPr>
      <t>REMAN POSTE &lt; 69 KV COM USO GUIND LV</t>
    </r>
  </si>
  <si>
    <r>
      <rPr>
        <sz val="7"/>
        <rFont val="Calibri"/>
        <family val="2"/>
      </rPr>
      <t>REMAN REG TENS MONOPOL &lt;69KV LV</t>
    </r>
  </si>
  <si>
    <r>
      <rPr>
        <sz val="7"/>
        <rFont val="Calibri"/>
        <family val="2"/>
      </rPr>
      <t>REMAN RELIGADOR TRIP NA REDE LV</t>
    </r>
  </si>
  <si>
    <r>
      <rPr>
        <sz val="7"/>
        <rFont val="Calibri"/>
        <family val="2"/>
      </rPr>
      <t>REMAN TRANSF DIST MONOFASICO LV</t>
    </r>
  </si>
  <si>
    <r>
      <rPr>
        <sz val="7"/>
        <rFont val="Calibri"/>
        <family val="2"/>
      </rPr>
      <t>REMAN TRANSF DIST TRIFASICO LV</t>
    </r>
  </si>
  <si>
    <r>
      <rPr>
        <sz val="7"/>
        <rFont val="Calibri"/>
        <family val="2"/>
      </rPr>
      <t>REPOSIC CRUZ N1/N2 OU B1/B2 LV</t>
    </r>
  </si>
  <si>
    <r>
      <rPr>
        <sz val="7"/>
        <rFont val="Calibri"/>
        <family val="2"/>
      </rPr>
      <t>REPOSIC CRUZ N3,N4 OU B3,B4,T3/T4 LV</t>
    </r>
  </si>
  <si>
    <r>
      <rPr>
        <sz val="7"/>
        <rFont val="Calibri"/>
        <family val="2"/>
      </rPr>
      <t>RETIRAR OBJETO ESTRANHO DA REDE LV</t>
    </r>
  </si>
  <si>
    <r>
      <rPr>
        <sz val="7"/>
        <rFont val="Calibri"/>
        <family val="2"/>
      </rPr>
      <t>SERV OFIC DESAT BCO CAPAC 300 KVAR LV</t>
    </r>
  </si>
  <si>
    <r>
      <rPr>
        <sz val="7"/>
        <rFont val="Calibri"/>
        <family val="2"/>
      </rPr>
      <t>SERV OFIC INST BCO CAPAC 300 KVAR LV</t>
    </r>
  </si>
  <si>
    <r>
      <rPr>
        <sz val="7"/>
        <rFont val="Calibri"/>
        <family val="2"/>
      </rPr>
      <t>SERV OFIC PODAR ARVORE URB</t>
    </r>
  </si>
  <si>
    <r>
      <rPr>
        <sz val="7"/>
        <rFont val="Calibri"/>
        <family val="2"/>
      </rPr>
      <t>SERV SUBST ESTRUTURA PRIM HS LV</t>
    </r>
  </si>
  <si>
    <r>
      <rPr>
        <sz val="7"/>
        <rFont val="Calibri"/>
        <family val="2"/>
      </rPr>
      <t>SERV SUBST ESTRUTURA TIPO4 C/CH FUSIV LV</t>
    </r>
  </si>
  <si>
    <r>
      <rPr>
        <sz val="7"/>
        <rFont val="Calibri"/>
        <family val="2"/>
      </rPr>
      <t>SERV TEC INST COBERT REDE FASE LV</t>
    </r>
  </si>
  <si>
    <r>
      <rPr>
        <sz val="7"/>
        <rFont val="Calibri"/>
        <family val="2"/>
      </rPr>
      <t>VAO</t>
    </r>
  </si>
  <si>
    <r>
      <rPr>
        <sz val="7"/>
        <rFont val="Calibri"/>
        <family val="2"/>
      </rPr>
      <t>SERV TEC INST COBERTURA REDE BT FASE LV</t>
    </r>
  </si>
  <si>
    <r>
      <rPr>
        <sz val="7"/>
        <rFont val="Calibri"/>
        <family val="2"/>
      </rPr>
      <t>SERV TEC INST MAO FRANCESA LV</t>
    </r>
  </si>
  <si>
    <r>
      <rPr>
        <sz val="7"/>
        <rFont val="Calibri"/>
        <family val="2"/>
      </rPr>
      <t>SERV TEC LV EMENDAR COND PRIMAR PROTEG</t>
    </r>
  </si>
  <si>
    <r>
      <rPr>
        <sz val="7"/>
        <rFont val="Calibri"/>
        <family val="2"/>
      </rPr>
      <t>SERV TEC LV EMENDAR CONDUTOR PRIMARIO NU</t>
    </r>
  </si>
  <si>
    <r>
      <rPr>
        <sz val="7"/>
        <rFont val="Calibri"/>
        <family val="2"/>
      </rPr>
      <t>SERV TEC LV EMENDAR CONDUTOR SECUNDAR NU</t>
    </r>
  </si>
  <si>
    <r>
      <rPr>
        <sz val="7"/>
        <rFont val="Calibri"/>
        <family val="2"/>
      </rPr>
      <t>SERV TEC LV MONTAR PLATAFORMA</t>
    </r>
  </si>
  <si>
    <r>
      <rPr>
        <sz val="7"/>
        <rFont val="Calibri"/>
        <family val="2"/>
      </rPr>
      <t>SERV TEC LV NIVELAR CRUZ/COLOC BISSETRIZ</t>
    </r>
  </si>
  <si>
    <r>
      <rPr>
        <sz val="7"/>
        <rFont val="Calibri"/>
        <family val="2"/>
      </rPr>
      <t>SERV TEC LV REAP REGULAR CHAVE FUSIVEL</t>
    </r>
  </si>
  <si>
    <r>
      <rPr>
        <sz val="7"/>
        <rFont val="Calibri"/>
        <family val="2"/>
      </rPr>
      <t>SERV TEC LV REAP REGULAR CHAVE SECCION</t>
    </r>
  </si>
  <si>
    <r>
      <rPr>
        <sz val="7"/>
        <rFont val="Calibri"/>
        <family val="2"/>
      </rPr>
      <t>SERV TEC LV REFAZER AMARRACAO DE BT</t>
    </r>
  </si>
  <si>
    <r>
      <rPr>
        <sz val="7"/>
        <rFont val="Calibri"/>
        <family val="2"/>
      </rPr>
      <t>SERV TEC LV REFAZER AMARRACAO DE MT</t>
    </r>
  </si>
  <si>
    <r>
      <rPr>
        <sz val="7"/>
        <rFont val="Calibri"/>
        <family val="2"/>
      </rPr>
      <t>SERV TRANSFORMAR TIPO N1 PARA N2 - LV</t>
    </r>
  </si>
  <si>
    <r>
      <rPr>
        <sz val="7"/>
        <rFont val="Calibri"/>
        <family val="2"/>
      </rPr>
      <t>SERVICOS TRANSFORMAR ESTR N1 PARA N4 LV</t>
    </r>
  </si>
  <si>
    <r>
      <rPr>
        <sz val="7"/>
        <rFont val="Calibri"/>
        <family val="2"/>
      </rPr>
      <t>SERVICOS TRANSFORMAR ESTR N2 PARA N1 LV</t>
    </r>
  </si>
  <si>
    <r>
      <rPr>
        <sz val="7"/>
        <rFont val="Calibri"/>
        <family val="2"/>
      </rPr>
      <t>SERVICOS TRANSFORMAR ESTR N4 PARA N1 LV</t>
    </r>
  </si>
  <si>
    <r>
      <rPr>
        <sz val="7"/>
        <rFont val="Calibri"/>
        <family val="2"/>
      </rPr>
      <t>SUBST BARRAMENTO DE PARA-RAIOS</t>
    </r>
  </si>
  <si>
    <r>
      <rPr>
        <sz val="7"/>
        <rFont val="Calibri"/>
        <family val="2"/>
      </rPr>
      <t>SUBST BRACO ANTI-BAL REDE COMPACTA LV</t>
    </r>
  </si>
  <si>
    <r>
      <rPr>
        <sz val="7"/>
        <rFont val="Calibri"/>
        <family val="2"/>
      </rPr>
      <t>SUBST CABO ACO EM ESTAI ANCORA LV</t>
    </r>
  </si>
  <si>
    <r>
      <rPr>
        <sz val="7"/>
        <rFont val="Calibri"/>
        <family val="2"/>
      </rPr>
      <t>SUBST CAPACITOR CELULA 50 100 KVAR LV</t>
    </r>
  </si>
  <si>
    <r>
      <rPr>
        <sz val="7"/>
        <rFont val="Calibri"/>
        <family val="2"/>
      </rPr>
      <t>SUBST CHAVE FUSIV RELIG &lt;34,5KV LV</t>
    </r>
  </si>
  <si>
    <r>
      <rPr>
        <sz val="7"/>
        <rFont val="Calibri"/>
        <family val="2"/>
      </rPr>
      <t>SUBST CHAVE FUSIV UNIP &lt;34,5KV LV</t>
    </r>
  </si>
  <si>
    <r>
      <rPr>
        <sz val="7"/>
        <rFont val="Calibri"/>
        <family val="2"/>
      </rPr>
      <t>SUBST CONDUTORES  ISOL BAR TRANSFORMADOR</t>
    </r>
  </si>
  <si>
    <r>
      <rPr>
        <sz val="7"/>
        <rFont val="Calibri"/>
        <family val="2"/>
      </rPr>
      <t>SUBST CONECTOR NA REDE MT/BT LV</t>
    </r>
  </si>
  <si>
    <r>
      <rPr>
        <sz val="7"/>
        <rFont val="Calibri"/>
        <family val="2"/>
      </rPr>
      <t>SUBST CRUZ 1 DE 2000-2400MM EST TP 1 LV</t>
    </r>
  </si>
  <si>
    <r>
      <rPr>
        <sz val="7"/>
        <rFont val="Calibri"/>
        <family val="2"/>
      </rPr>
      <t>SUBST CRUZ 2 DE 2000-2400MM EST TP 2 LV</t>
    </r>
  </si>
  <si>
    <r>
      <rPr>
        <sz val="7"/>
        <rFont val="Calibri"/>
        <family val="2"/>
      </rPr>
      <t>SUBST CRUZ 2 DE 2000-2400MM EST TP 3 LV</t>
    </r>
  </si>
  <si>
    <r>
      <rPr>
        <sz val="7"/>
        <rFont val="Calibri"/>
        <family val="2"/>
      </rPr>
      <t>SUBST CRUZ 2 DE 2000-2400MM EST TP 4 LV</t>
    </r>
  </si>
  <si>
    <r>
      <rPr>
        <sz val="7"/>
        <rFont val="Calibri"/>
        <family val="2"/>
      </rPr>
      <t>SUBST CRUZ 2 DE 5000MM EST TP HT/HTE LV</t>
    </r>
  </si>
  <si>
    <r>
      <rPr>
        <sz val="7"/>
        <rFont val="Calibri"/>
        <family val="2"/>
      </rPr>
      <t>SUBST CRUZ DUPLA P BASE EQUIPAM ESPEC LV</t>
    </r>
  </si>
  <si>
    <r>
      <rPr>
        <sz val="7"/>
        <rFont val="Calibri"/>
        <family val="2"/>
      </rPr>
      <t>SUBST CRUZ EST TIPO 2 COM TRANSF LV</t>
    </r>
  </si>
  <si>
    <r>
      <rPr>
        <sz val="7"/>
        <rFont val="Calibri"/>
        <family val="2"/>
      </rPr>
      <t>SUBST CRUZ EST TIPO 4 COM CH SEC FACA LV</t>
    </r>
  </si>
  <si>
    <r>
      <rPr>
        <sz val="7"/>
        <rFont val="Calibri"/>
        <family val="2"/>
      </rPr>
      <t>SUBST CRUZAM AEREO FLY TAP MT JAMP LV</t>
    </r>
  </si>
  <si>
    <r>
      <rPr>
        <sz val="7"/>
        <rFont val="Calibri"/>
        <family val="2"/>
      </rPr>
      <t>SUBST EMENDA DE COND MT NU LV</t>
    </r>
  </si>
  <si>
    <r>
      <rPr>
        <sz val="7"/>
        <rFont val="Calibri"/>
        <family val="2"/>
      </rPr>
      <t>SUBST EMENDA DE COND MT PROTEGIDO LV</t>
    </r>
  </si>
  <si>
    <r>
      <rPr>
        <sz val="7"/>
        <rFont val="Calibri"/>
        <family val="2"/>
      </rPr>
      <t>SUBST ESPACADOR LOSAN RD MT COMP LV</t>
    </r>
  </si>
  <si>
    <r>
      <rPr>
        <sz val="7"/>
        <rFont val="Calibri"/>
        <family val="2"/>
      </rPr>
      <t>SUBST ESTAI CRUZETA LV</t>
    </r>
  </si>
  <si>
    <r>
      <rPr>
        <sz val="7"/>
        <rFont val="Calibri"/>
        <family val="2"/>
      </rPr>
      <t>SUBST ISOLADOR DISCO LV</t>
    </r>
  </si>
  <si>
    <r>
      <rPr>
        <sz val="7"/>
        <rFont val="Calibri"/>
        <family val="2"/>
      </rPr>
      <t>SUBST ISOLADOR PILAR PILAR LV</t>
    </r>
  </si>
  <si>
    <r>
      <rPr>
        <sz val="7"/>
        <rFont val="Calibri"/>
        <family val="2"/>
      </rPr>
      <t>SUBST ISOLADOR PINO FIM REDE LV</t>
    </r>
  </si>
  <si>
    <r>
      <rPr>
        <sz val="7"/>
        <rFont val="Calibri"/>
        <family val="2"/>
      </rPr>
      <t>SUBST ISOLADOR PINO PILAR LV</t>
    </r>
  </si>
  <si>
    <r>
      <rPr>
        <sz val="7"/>
        <rFont val="Calibri"/>
        <family val="2"/>
      </rPr>
      <t>SUBST ISOLADOR PINO TANGENTE LV</t>
    </r>
  </si>
  <si>
    <r>
      <rPr>
        <sz val="7"/>
        <rFont val="Calibri"/>
        <family val="2"/>
      </rPr>
      <t>SUBST MAO FRANCESA LV</t>
    </r>
  </si>
  <si>
    <r>
      <rPr>
        <sz val="7"/>
        <rFont val="Calibri"/>
        <family val="2"/>
      </rPr>
      <t>SUBST PARA-RAIO RD &lt;34,5KV LV</t>
    </r>
  </si>
  <si>
    <r>
      <rPr>
        <sz val="7"/>
        <rFont val="Calibri"/>
        <family val="2"/>
      </rPr>
      <t>SUBST PORTA FUSIVEL LV</t>
    </r>
  </si>
  <si>
    <r>
      <rPr>
        <sz val="7"/>
        <rFont val="Calibri"/>
        <family val="2"/>
      </rPr>
      <t>SUBST TERMINAL CHAVE FACA LV</t>
    </r>
  </si>
  <si>
    <r>
      <rPr>
        <sz val="7"/>
        <rFont val="Calibri"/>
        <family val="2"/>
      </rPr>
      <t>ALTERAÇÃO DE US - ITEM A SER UTILIZADO PARA PAGAMENTO DA DIFERENÇA NA MEDIÇÃO DE MÃO DE OBRA QUANDO HOUVER AJUSTE NO VALOR DA US.</t>
    </r>
  </si>
  <si>
    <r>
      <rPr>
        <sz val="7"/>
        <rFont val="Calibri"/>
        <family val="2"/>
      </rPr>
      <t>UNID.</t>
    </r>
  </si>
  <si>
    <r>
      <rPr>
        <sz val="7"/>
        <rFont val="Calibri"/>
        <family val="2"/>
      </rPr>
      <t>SERV. EMERG. FORA DO HORARIO COMERCIAL-ADICIONAL 30%</t>
    </r>
  </si>
  <si>
    <r>
      <rPr>
        <sz val="7"/>
        <rFont val="Calibri"/>
        <family val="2"/>
      </rPr>
      <t>VISITA IMPRODUTIVA - SEM ATUAÇÃO</t>
    </r>
  </si>
  <si>
    <r>
      <rPr>
        <sz val="7"/>
        <rFont val="Calibri"/>
        <family val="2"/>
      </rPr>
      <t>SERV. EMERG. HORARIO COMERCIAL - ADICIONAL 12%</t>
    </r>
  </si>
  <si>
    <r>
      <rPr>
        <sz val="7"/>
        <rFont val="Times New Roman"/>
        <family val="1"/>
      </rPr>
      <t>Nota: As atividades sem valores, será inserido o valor de R$1,00, pois são atividades que não estão relacionadas ao valor da UPS e sim ao serviço realizado</t>
    </r>
  </si>
  <si>
    <r>
      <rPr>
        <sz val="7"/>
        <rFont val="Times New Roman"/>
        <family val="1"/>
      </rPr>
      <t>e medido.</t>
    </r>
  </si>
  <si>
    <r>
      <rPr>
        <sz val="16"/>
        <rFont val="Arial"/>
        <family val="2"/>
      </rPr>
      <t>PROTOCOLO DE ASSINATURA(S)</t>
    </r>
  </si>
  <si>
    <r>
      <rPr>
        <sz val="11"/>
        <rFont val="Arial"/>
        <family val="2"/>
      </rPr>
      <t>O documento acima foi proposto para assinatura digital na plataforma Energisa Suprimentos. Para verificar as assinaturas clique no link: https://suprimentos-energisa2.portaldeassinaturas.com.br/Verificar/70DD- 4AFF-EEB3-E93F ou vá até o site https://suprimentos-energisa2.portaldeassinaturas.com.br:443 e utilize o código abaixo para verificar se este documento é válido.</t>
    </r>
  </si>
  <si>
    <r>
      <rPr>
        <sz val="16"/>
        <rFont val="Arial"/>
        <family val="2"/>
      </rPr>
      <t>Código para verificação: 70DD-4AFF-EEB3-E93F</t>
    </r>
  </si>
  <si>
    <r>
      <rPr>
        <b/>
        <sz val="12"/>
        <rFont val="Arial"/>
        <family val="2"/>
      </rPr>
      <t>Hash do Documento</t>
    </r>
  </si>
  <si>
    <r>
      <rPr>
        <sz val="12"/>
        <rFont val="Arial"/>
        <family val="2"/>
      </rPr>
      <t>D309EF62A9C6A5A82EC670EBE9B59CB7DBBC5DC5858F101E4980F7594054E600</t>
    </r>
  </si>
  <si>
    <r>
      <rPr>
        <sz val="11"/>
        <rFont val="Arial"/>
        <family val="2"/>
      </rPr>
      <t>O(s) nome(s) indicado(s) para assinatura, bem como seu(s) status em 27/06/2024 é(são) :</t>
    </r>
  </si>
  <si>
    <r>
      <rPr>
        <sz val="12"/>
        <rFont val="Arial"/>
        <family val="2"/>
      </rPr>
      <t>Albino Da Veiga (Signatário - ENGELETRICA ASSESSORIA PROJETOS E CONSTRUCAO LTDA) - 161.786.029-87  em 27/06/2024 17:09 UTC-03:00</t>
    </r>
  </si>
  <si>
    <r>
      <rPr>
        <b/>
        <sz val="12"/>
        <rFont val="Arial"/>
        <family val="2"/>
      </rPr>
      <t xml:space="preserve">Tipo: </t>
    </r>
    <r>
      <rPr>
        <sz val="12"/>
        <rFont val="Arial"/>
        <family val="2"/>
      </rPr>
      <t>Certificado Digital</t>
    </r>
  </si>
  <si>
    <r>
      <rPr>
        <sz val="12"/>
        <rFont val="Arial"/>
        <family val="2"/>
      </rPr>
      <t>Giselle Prima Galvao (Parte - JURÍDICO CONTRATANTE) - 027.162.601-17  em 27/06/2024 16:08 UTC-03:00</t>
    </r>
  </si>
  <si>
    <r>
      <rPr>
        <sz val="12"/>
        <rFont val="Arial"/>
        <family val="2"/>
      </rPr>
      <t>Luciano Vogell Dutra (Testemunha) - 666.693.241-20 em 27/06/2024 10:50 UTC-03:00</t>
    </r>
  </si>
  <si>
    <r>
      <rPr>
        <b/>
        <sz val="12"/>
        <rFont val="Arial"/>
        <family val="2"/>
      </rPr>
      <t xml:space="preserve">Tipo: </t>
    </r>
    <r>
      <rPr>
        <sz val="12"/>
        <rFont val="Arial"/>
        <family val="2"/>
      </rPr>
      <t>Assinatura Eletrônica</t>
    </r>
  </si>
  <si>
    <r>
      <rPr>
        <b/>
        <sz val="12"/>
        <rFont val="Arial"/>
        <family val="2"/>
      </rPr>
      <t xml:space="preserve">Identificaçao: </t>
    </r>
    <r>
      <rPr>
        <sz val="12"/>
        <rFont val="Arial"/>
        <family val="2"/>
      </rPr>
      <t>Por email: luciano.vogel@energisa.com</t>
    </r>
  </si>
  <si>
    <r>
      <rPr>
        <b/>
        <sz val="12"/>
        <rFont val="Arial"/>
        <family val="2"/>
      </rPr>
      <t>Evidências</t>
    </r>
  </si>
  <si>
    <r>
      <rPr>
        <b/>
        <sz val="12"/>
        <rFont val="Arial"/>
        <family val="2"/>
      </rPr>
      <t xml:space="preserve">Client Timestamp </t>
    </r>
    <r>
      <rPr>
        <sz val="12"/>
        <rFont val="Arial"/>
        <family val="2"/>
      </rPr>
      <t>Thu Jun 27 2024 09:50:02 GMT-0400 (Horário Padrão do Amazonas)</t>
    </r>
  </si>
  <si>
    <r>
      <rPr>
        <b/>
        <sz val="12"/>
        <rFont val="Arial"/>
        <family val="2"/>
      </rPr>
      <t xml:space="preserve">Geolocation </t>
    </r>
    <r>
      <rPr>
        <sz val="12"/>
        <rFont val="Arial"/>
        <family val="2"/>
      </rPr>
      <t>Latitude: -15.598605 Longitude: -56.092015 Accuracy: 14</t>
    </r>
  </si>
  <si>
    <r>
      <rPr>
        <b/>
        <sz val="12"/>
        <rFont val="Arial"/>
        <family val="2"/>
      </rPr>
      <t xml:space="preserve">IP </t>
    </r>
    <r>
      <rPr>
        <sz val="12"/>
        <rFont val="Arial"/>
        <family val="2"/>
      </rPr>
      <t>163.116.230.117</t>
    </r>
  </si>
  <si>
    <r>
      <rPr>
        <b/>
        <sz val="12"/>
        <rFont val="Arial"/>
        <family val="2"/>
      </rPr>
      <t>Hash Evidências:</t>
    </r>
  </si>
  <si>
    <r>
      <rPr>
        <sz val="10"/>
        <rFont val="Arial"/>
        <family val="2"/>
      </rPr>
      <t>01968399610D42E5DAE8E0168F59205A1F54E6B334C8695D023B3A235750270A</t>
    </r>
  </si>
  <si>
    <r>
      <rPr>
        <sz val="12"/>
        <rFont val="Arial"/>
        <family val="2"/>
      </rPr>
      <t>Larissa Campos Pinto (Testemunha - CONTRATAÇÃO DE SERVIÇOS - CORPORATIVO) - 064.259.796-07  em 20/06/2024 15:13 UTC-03:00</t>
    </r>
  </si>
  <si>
    <r>
      <rPr>
        <sz val="12"/>
        <rFont val="Arial"/>
        <family val="2"/>
      </rPr>
      <t xml:space="preserve">Fabricio Sampaio Medeiros (Parte - ENERGISA) - 834.664.953-34 </t>
    </r>
    <r>
      <rPr>
        <sz val="12"/>
        <color rgb="FFFF0000"/>
        <rFont val="Arial"/>
        <family val="2"/>
      </rPr>
      <t>Pendente</t>
    </r>
  </si>
  <si>
    <r>
      <rPr>
        <sz val="12"/>
        <rFont val="Arial"/>
        <family val="2"/>
      </rPr>
      <t xml:space="preserve">Gabriel Alves Pereira Junior - 595.161.007-91 </t>
    </r>
    <r>
      <rPr>
        <sz val="12"/>
        <color rgb="FFFF0000"/>
        <rFont val="Arial"/>
        <family val="2"/>
      </rPr>
      <t>Pendente</t>
    </r>
  </si>
  <si>
    <t>DESAT EST PRIM N4/B4/T4 LM</t>
  </si>
  <si>
    <t xml:space="preserve">DESCRIÇÃO BÁSICA    </t>
  </si>
  <si>
    <t>UNIDADE</t>
  </si>
  <si>
    <t>OPERAÇÃO</t>
  </si>
  <si>
    <t>UPS</t>
  </si>
  <si>
    <t xml:space="preserve">VALOR ATIVIDADE </t>
  </si>
  <si>
    <t>CODIGO SIAGO</t>
  </si>
  <si>
    <r>
      <rPr>
        <sz val="26"/>
        <color rgb="FF1F3664"/>
        <rFont val="Times New Roman"/>
        <family val="1"/>
      </rPr>
      <t>ATIVIDADES LV</t>
    </r>
  </si>
  <si>
    <t>DESLOC EQUIP PESADA ACIMA 50 KM DA BASE</t>
  </si>
  <si>
    <t>KM</t>
  </si>
  <si>
    <t>MOBILIZAÇÃO E DESMOBILIZAÇÃO EQUIPE</t>
  </si>
  <si>
    <r>
      <rPr>
        <sz val="18"/>
        <color rgb="FF2F5495"/>
        <rFont val="Times New Roman"/>
        <family val="1"/>
      </rPr>
      <t>ATIVIDADES LM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</si>
</sst>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6" x14ac:knownFonts="1">
    <font>
      <sz val="10"/>
      <color rgb="FF000000"/>
      <name val="Times New Roman"/>
      <charset val="204"/>
    </font>
    <font>
      <sz val="7"/>
      <name val="Times New Roman"/>
    </font>
    <font>
      <sz val="6"/>
      <color rgb="FF000000"/>
      <name val="Calibri"/>
      <family val="2"/>
    </font>
    <font>
      <sz val="6"/>
      <name val="Calibri"/>
    </font>
    <font>
      <sz val="7"/>
      <color rgb="FF000000"/>
      <name val="Calibri"/>
      <family val="2"/>
    </font>
    <font>
      <sz val="7"/>
      <name val="Calibri"/>
    </font>
    <font>
      <sz val="16"/>
      <name val="Arial"/>
    </font>
    <font>
      <sz val="11"/>
      <name val="Arial"/>
    </font>
    <font>
      <b/>
      <sz val="12"/>
      <name val="Arial"/>
    </font>
    <font>
      <sz val="12"/>
      <name val="Arial"/>
    </font>
    <font>
      <sz val="10"/>
      <name val="Arial"/>
    </font>
    <font>
      <sz val="7"/>
      <name val="Times New Roman"/>
      <family val="1"/>
    </font>
    <font>
      <sz val="6"/>
      <name val="Calibri"/>
      <family val="2"/>
    </font>
    <font>
      <sz val="7"/>
      <name val="Calibri"/>
      <family val="2"/>
    </font>
    <font>
      <sz val="16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rgb="FFFF0000"/>
      <name val="Arial"/>
      <family val="2"/>
    </font>
    <font>
      <sz val="10"/>
      <color rgb="FF000000"/>
      <name val="Times New Roman"/>
      <charset val="204"/>
    </font>
    <font>
      <sz val="8"/>
      <color rgb="FF000000"/>
      <name val="Times New Roman"/>
      <family val="1"/>
    </font>
    <font>
      <sz val="18"/>
      <name val="Times New Roman"/>
      <family val="1"/>
    </font>
    <font>
      <sz val="26"/>
      <name val="Times New Roman"/>
      <family val="1"/>
    </font>
    <font>
      <sz val="26"/>
      <color rgb="FF1F3664"/>
      <name val="Times New Roman"/>
      <family val="1"/>
    </font>
    <font>
      <sz val="18"/>
      <color rgb="FF2F549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0" fillId="0" borderId="0" applyFont="0" applyFill="0" applyBorder="0" applyAlignment="0" applyProtection="0"/>
  </cellStyleXfs>
  <cellXfs count="38">
    <xf numFmtId="0" fontId="0" fillId="0" borderId="0" xfId="0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2" fontId="4" fillId="0" borderId="0" xfId="0" applyNumberFormat="1" applyFont="1" applyFill="1" applyBorder="1" applyAlignment="1">
      <alignment horizontal="right" vertical="top" wrapText="1"/>
    </xf>
    <xf numFmtId="2" fontId="4" fillId="0" borderId="1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" fontId="2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  <xf numFmtId="2" fontId="4" fillId="0" borderId="0" xfId="0" applyNumberFormat="1" applyFont="1" applyFill="1" applyBorder="1" applyAlignment="1">
      <alignment horizontal="center" vertical="top" wrapText="1"/>
    </xf>
    <xf numFmtId="0" fontId="23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top"/>
    </xf>
    <xf numFmtId="0" fontId="21" fillId="0" borderId="2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1"/>
    </xf>
    <xf numFmtId="2" fontId="4" fillId="0" borderId="2" xfId="0" applyNumberFormat="1" applyFont="1" applyFill="1" applyBorder="1" applyAlignment="1">
      <alignment horizontal="center" vertical="top" wrapText="1"/>
    </xf>
    <xf numFmtId="1" fontId="4" fillId="0" borderId="2" xfId="0" applyNumberFormat="1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/>
    </xf>
    <xf numFmtId="44" fontId="4" fillId="0" borderId="2" xfId="1" applyFont="1" applyFill="1" applyBorder="1" applyAlignment="1">
      <alignment horizontal="center" vertical="top" wrapText="1"/>
    </xf>
    <xf numFmtId="0" fontId="13" fillId="0" borderId="2" xfId="0" applyFont="1" applyFill="1" applyBorder="1" applyAlignment="1">
      <alignment horizontal="center" vertical="top" wrapText="1"/>
    </xf>
    <xf numFmtId="0" fontId="22" fillId="0" borderId="0" xfId="0" applyFont="1" applyFill="1" applyBorder="1" applyAlignment="1">
      <alignment horizontal="center" vertical="top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21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44" fontId="4" fillId="0" borderId="2" xfId="1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left" vertical="center"/>
    </xf>
    <xf numFmtId="1" fontId="2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732</xdr:row>
      <xdr:rowOff>-1</xdr:rowOff>
    </xdr:from>
    <xdr:ext cx="6605905" cy="4706620"/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100312903"/>
          <a:ext cx="6605905" cy="4706620"/>
          <a:chOff x="0" y="0"/>
          <a:chExt cx="6605905" cy="4706620"/>
        </a:xfrm>
      </xdr:grpSpPr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3810" y="3810"/>
            <a:ext cx="0" cy="4699000"/>
          </a:xfrm>
          <a:custGeom>
            <a:avLst/>
            <a:gdLst/>
            <a:ahLst/>
            <a:cxnLst/>
            <a:rect l="0" t="0" r="0" b="0"/>
            <a:pathLst>
              <a:path h="4699000">
                <a:moveTo>
                  <a:pt x="0" y="0"/>
                </a:moveTo>
                <a:lnTo>
                  <a:pt x="0" y="4698491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7620" y="7620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7620" y="131064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7620" y="254508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7620" y="377952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7620" y="501396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7620" y="624840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7620" y="748284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7620" y="871728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7620" y="995172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7620" y="1118616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7620" y="1242060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7620" y="1365504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7620" y="1488948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7620" y="1612392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7620" y="1735835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7620" y="1859280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7620" y="1982724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7620" y="2106167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7620" y="2229612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7620" y="2353055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7620" y="2476500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7620" y="2599944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7620" y="2723388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7620" y="2846832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7620" y="2970276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7620" y="3093720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7620" y="3217164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7620" y="3340608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7620" y="3464052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7620" y="3587496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7620" y="3710940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7620" y="3834384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7620" y="3957827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7620" y="4081272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7620" y="4204716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7620" y="4328159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7620" y="4451604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7620" y="4575047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7620" y="4698491"/>
            <a:ext cx="6594475" cy="0"/>
          </a:xfrm>
          <a:custGeom>
            <a:avLst/>
            <a:gdLst/>
            <a:ahLst/>
            <a:cxnLst/>
            <a:rect l="0" t="0" r="0" b="0"/>
            <a:pathLst>
              <a:path w="6594475">
                <a:moveTo>
                  <a:pt x="0" y="0"/>
                </a:moveTo>
                <a:lnTo>
                  <a:pt x="6594347" y="0"/>
                </a:lnTo>
              </a:path>
            </a:pathLst>
          </a:custGeom>
          <a:ln w="7619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0</xdr:col>
      <xdr:colOff>0</xdr:colOff>
      <xdr:row>735</xdr:row>
      <xdr:rowOff>-4</xdr:rowOff>
    </xdr:from>
    <xdr:to>
      <xdr:col>0</xdr:col>
      <xdr:colOff>423291</xdr:colOff>
      <xdr:row>736</xdr:row>
      <xdr:rowOff>1177</xdr:rowOff>
    </xdr:to>
    <xdr:pic>
      <xdr:nvPicPr>
        <xdr:cNvPr id="54" name="image3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3291" cy="580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739</xdr:row>
      <xdr:rowOff>0</xdr:rowOff>
    </xdr:from>
    <xdr:to>
      <xdr:col>1</xdr:col>
      <xdr:colOff>2265288</xdr:colOff>
      <xdr:row>740</xdr:row>
      <xdr:rowOff>1269</xdr:rowOff>
    </xdr:to>
    <xdr:grpSp>
      <xdr:nvGrpSpPr>
        <xdr:cNvPr id="55" name="Group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0" y="106592077"/>
          <a:ext cx="2866096" cy="323654"/>
          <a:chOff x="0" y="0"/>
          <a:chExt cx="2763520" cy="325120"/>
        </a:xfrm>
      </xdr:grpSpPr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508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3555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60960" y="10160"/>
            <a:ext cx="30480" cy="304800"/>
          </a:xfrm>
          <a:custGeom>
            <a:avLst/>
            <a:gdLst/>
            <a:ahLst/>
            <a:cxnLst/>
            <a:rect l="0" t="0" r="0" b="0"/>
            <a:pathLst>
              <a:path w="30480" h="304800">
                <a:moveTo>
                  <a:pt x="0" y="0"/>
                </a:moveTo>
                <a:lnTo>
                  <a:pt x="0" y="304800"/>
                </a:lnTo>
              </a:path>
              <a:path w="30480" h="304800">
                <a:moveTo>
                  <a:pt x="30479" y="0"/>
                </a:moveTo>
                <a:lnTo>
                  <a:pt x="30479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116839" y="10160"/>
            <a:ext cx="20320" cy="304800"/>
          </a:xfrm>
          <a:custGeom>
            <a:avLst/>
            <a:gdLst/>
            <a:ahLst/>
            <a:cxnLst/>
            <a:rect l="0" t="0" r="0" b="0"/>
            <a:pathLst>
              <a:path w="20320" h="304800">
                <a:moveTo>
                  <a:pt x="0" y="0"/>
                </a:moveTo>
                <a:lnTo>
                  <a:pt x="0" y="304800"/>
                </a:lnTo>
              </a:path>
              <a:path w="20320" h="304800">
                <a:moveTo>
                  <a:pt x="20320" y="0"/>
                </a:moveTo>
                <a:lnTo>
                  <a:pt x="2032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15747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8796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213359" y="10160"/>
            <a:ext cx="30480" cy="304800"/>
          </a:xfrm>
          <a:custGeom>
            <a:avLst/>
            <a:gdLst/>
            <a:ahLst/>
            <a:cxnLst/>
            <a:rect l="0" t="0" r="0" b="0"/>
            <a:pathLst>
              <a:path w="30480" h="304800">
                <a:moveTo>
                  <a:pt x="0" y="0"/>
                </a:moveTo>
                <a:lnTo>
                  <a:pt x="0" y="304800"/>
                </a:lnTo>
              </a:path>
              <a:path w="30480" h="304800">
                <a:moveTo>
                  <a:pt x="30479" y="0"/>
                </a:moveTo>
                <a:lnTo>
                  <a:pt x="30479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269240" y="10160"/>
            <a:ext cx="20320" cy="304800"/>
          </a:xfrm>
          <a:custGeom>
            <a:avLst/>
            <a:gdLst/>
            <a:ahLst/>
            <a:cxnLst/>
            <a:rect l="0" t="0" r="0" b="0"/>
            <a:pathLst>
              <a:path w="20320" h="304800">
                <a:moveTo>
                  <a:pt x="0" y="0"/>
                </a:moveTo>
                <a:lnTo>
                  <a:pt x="0" y="304800"/>
                </a:lnTo>
              </a:path>
              <a:path w="20320" h="304800">
                <a:moveTo>
                  <a:pt x="20320" y="0"/>
                </a:moveTo>
                <a:lnTo>
                  <a:pt x="2032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32512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3556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381000" y="10160"/>
            <a:ext cx="20320" cy="304800"/>
          </a:xfrm>
          <a:custGeom>
            <a:avLst/>
            <a:gdLst/>
            <a:ahLst/>
            <a:cxnLst/>
            <a:rect l="0" t="0" r="0" b="0"/>
            <a:pathLst>
              <a:path w="20320" h="304800">
                <a:moveTo>
                  <a:pt x="0" y="0"/>
                </a:moveTo>
                <a:lnTo>
                  <a:pt x="0" y="304800"/>
                </a:lnTo>
              </a:path>
              <a:path w="20320" h="304800">
                <a:moveTo>
                  <a:pt x="20319" y="0"/>
                </a:moveTo>
                <a:lnTo>
                  <a:pt x="20319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42164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44704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4826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5080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533400" y="10160"/>
            <a:ext cx="20320" cy="304800"/>
          </a:xfrm>
          <a:custGeom>
            <a:avLst/>
            <a:gdLst/>
            <a:ahLst/>
            <a:cxnLst/>
            <a:rect l="0" t="0" r="0" b="0"/>
            <a:pathLst>
              <a:path w="20320" h="304800">
                <a:moveTo>
                  <a:pt x="0" y="0"/>
                </a:moveTo>
                <a:lnTo>
                  <a:pt x="0" y="304800"/>
                </a:lnTo>
              </a:path>
              <a:path w="20320" h="304800">
                <a:moveTo>
                  <a:pt x="20319" y="0"/>
                </a:moveTo>
                <a:lnTo>
                  <a:pt x="20319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57911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61468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/>
        </xdr:nvSpPr>
        <xdr:spPr>
          <a:xfrm>
            <a:off x="64008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/>
        </xdr:nvSpPr>
        <xdr:spPr>
          <a:xfrm>
            <a:off x="66548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69595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77" name="Shape 77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71628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741680" y="10160"/>
            <a:ext cx="30480" cy="304800"/>
          </a:xfrm>
          <a:custGeom>
            <a:avLst/>
            <a:gdLst/>
            <a:ahLst/>
            <a:cxnLst/>
            <a:rect l="0" t="0" r="0" b="0"/>
            <a:pathLst>
              <a:path w="30480" h="304800">
                <a:moveTo>
                  <a:pt x="0" y="0"/>
                </a:moveTo>
                <a:lnTo>
                  <a:pt x="0" y="304800"/>
                </a:lnTo>
              </a:path>
              <a:path w="30480" h="304800">
                <a:moveTo>
                  <a:pt x="30480" y="0"/>
                </a:moveTo>
                <a:lnTo>
                  <a:pt x="3048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79755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80" name="Shape 80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>
          <a:xfrm>
            <a:off x="81788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85343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87883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90423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/>
        </xdr:nvSpPr>
        <xdr:spPr>
          <a:xfrm>
            <a:off x="93471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960119" y="10160"/>
            <a:ext cx="50800" cy="304800"/>
          </a:xfrm>
          <a:custGeom>
            <a:avLst/>
            <a:gdLst/>
            <a:ahLst/>
            <a:cxnLst/>
            <a:rect l="0" t="0" r="0" b="0"/>
            <a:pathLst>
              <a:path w="50800" h="304800">
                <a:moveTo>
                  <a:pt x="0" y="0"/>
                </a:moveTo>
                <a:lnTo>
                  <a:pt x="0" y="304800"/>
                </a:lnTo>
              </a:path>
              <a:path w="50800" h="304800">
                <a:moveTo>
                  <a:pt x="20320" y="0"/>
                </a:moveTo>
                <a:lnTo>
                  <a:pt x="20320" y="304800"/>
                </a:lnTo>
              </a:path>
              <a:path w="50800" h="304800">
                <a:moveTo>
                  <a:pt x="50800" y="0"/>
                </a:moveTo>
                <a:lnTo>
                  <a:pt x="5080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/>
        </xdr:nvSpPr>
        <xdr:spPr>
          <a:xfrm>
            <a:off x="103631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106171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08711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/>
        </xdr:nvSpPr>
        <xdr:spPr>
          <a:xfrm>
            <a:off x="11176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90" name="Shape 90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/>
        </xdr:nvSpPr>
        <xdr:spPr>
          <a:xfrm>
            <a:off x="1153160" y="10160"/>
            <a:ext cx="20320" cy="304800"/>
          </a:xfrm>
          <a:custGeom>
            <a:avLst/>
            <a:gdLst/>
            <a:ahLst/>
            <a:cxnLst/>
            <a:rect l="0" t="0" r="0" b="0"/>
            <a:pathLst>
              <a:path w="20320" h="304800">
                <a:moveTo>
                  <a:pt x="0" y="0"/>
                </a:moveTo>
                <a:lnTo>
                  <a:pt x="0" y="304800"/>
                </a:lnTo>
              </a:path>
              <a:path w="20320" h="304800">
                <a:moveTo>
                  <a:pt x="20320" y="0"/>
                </a:moveTo>
                <a:lnTo>
                  <a:pt x="2032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91" name="Shape 9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1938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12192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93" name="Shape 93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>
            <a:off x="124968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285239" y="10160"/>
            <a:ext cx="91440" cy="304800"/>
          </a:xfrm>
          <a:custGeom>
            <a:avLst/>
            <a:gdLst/>
            <a:ahLst/>
            <a:cxnLst/>
            <a:rect l="0" t="0" r="0" b="0"/>
            <a:pathLst>
              <a:path w="91440" h="304800">
                <a:moveTo>
                  <a:pt x="0" y="0"/>
                </a:moveTo>
                <a:lnTo>
                  <a:pt x="0" y="304800"/>
                </a:lnTo>
              </a:path>
              <a:path w="91440" h="304800">
                <a:moveTo>
                  <a:pt x="20319" y="0"/>
                </a:moveTo>
                <a:lnTo>
                  <a:pt x="20319" y="304800"/>
                </a:lnTo>
              </a:path>
              <a:path w="91440" h="304800">
                <a:moveTo>
                  <a:pt x="40639" y="0"/>
                </a:moveTo>
                <a:lnTo>
                  <a:pt x="40639" y="304800"/>
                </a:lnTo>
              </a:path>
              <a:path w="91440" h="304800">
                <a:moveTo>
                  <a:pt x="71119" y="0"/>
                </a:moveTo>
                <a:lnTo>
                  <a:pt x="71119" y="304800"/>
                </a:lnTo>
              </a:path>
              <a:path w="91440" h="304800">
                <a:moveTo>
                  <a:pt x="91439" y="0"/>
                </a:moveTo>
                <a:lnTo>
                  <a:pt x="91439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140208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1432560" y="10160"/>
            <a:ext cx="30480" cy="304800"/>
          </a:xfrm>
          <a:custGeom>
            <a:avLst/>
            <a:gdLst/>
            <a:ahLst/>
            <a:cxnLst/>
            <a:rect l="0" t="0" r="0" b="0"/>
            <a:pathLst>
              <a:path w="30480" h="304800">
                <a:moveTo>
                  <a:pt x="0" y="0"/>
                </a:moveTo>
                <a:lnTo>
                  <a:pt x="0" y="304800"/>
                </a:lnTo>
              </a:path>
              <a:path w="30480" h="304800">
                <a:moveTo>
                  <a:pt x="30479" y="0"/>
                </a:moveTo>
                <a:lnTo>
                  <a:pt x="30479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48843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>
            <a:off x="151383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99" name="Shape 99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/>
        </xdr:nvSpPr>
        <xdr:spPr>
          <a:xfrm>
            <a:off x="15494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100" name="Shape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56971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01" name="Shape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>
            <a:off x="159511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102" name="Shape 102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/>
        </xdr:nvSpPr>
        <xdr:spPr>
          <a:xfrm>
            <a:off x="162051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03" name="Shape 103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64592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104" name="Shape 104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>
            <a:off x="168147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05" name="Shape 105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>
          <a:xfrm>
            <a:off x="17018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106" name="Shape 106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72212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174752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177292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09" name="Shape 109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8034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110" name="Shape 110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/>
        </xdr:nvSpPr>
        <xdr:spPr>
          <a:xfrm>
            <a:off x="1828800" y="10160"/>
            <a:ext cx="30480" cy="304800"/>
          </a:xfrm>
          <a:custGeom>
            <a:avLst/>
            <a:gdLst/>
            <a:ahLst/>
            <a:cxnLst/>
            <a:rect l="0" t="0" r="0" b="0"/>
            <a:pathLst>
              <a:path w="30480" h="304800">
                <a:moveTo>
                  <a:pt x="0" y="0"/>
                </a:moveTo>
                <a:lnTo>
                  <a:pt x="0" y="304800"/>
                </a:lnTo>
              </a:path>
              <a:path w="30480" h="304800">
                <a:moveTo>
                  <a:pt x="30479" y="0"/>
                </a:moveTo>
                <a:lnTo>
                  <a:pt x="30479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111" name="Shape 111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/>
        </xdr:nvSpPr>
        <xdr:spPr>
          <a:xfrm>
            <a:off x="188976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112" name="Shape 112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25320" y="10160"/>
            <a:ext cx="20320" cy="304800"/>
          </a:xfrm>
          <a:custGeom>
            <a:avLst/>
            <a:gdLst/>
            <a:ahLst/>
            <a:cxnLst/>
            <a:rect l="0" t="0" r="0" b="0"/>
            <a:pathLst>
              <a:path w="20320" h="304800">
                <a:moveTo>
                  <a:pt x="0" y="0"/>
                </a:moveTo>
                <a:lnTo>
                  <a:pt x="0" y="304800"/>
                </a:lnTo>
              </a:path>
              <a:path w="20320" h="304800">
                <a:moveTo>
                  <a:pt x="20320" y="0"/>
                </a:moveTo>
                <a:lnTo>
                  <a:pt x="2032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13" name="Shape 113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SpPr/>
        </xdr:nvSpPr>
        <xdr:spPr>
          <a:xfrm>
            <a:off x="196596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14" name="Shape 114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/>
        </xdr:nvSpPr>
        <xdr:spPr>
          <a:xfrm>
            <a:off x="198627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15" name="Shape 115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201676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16" name="Shape 116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/>
        </xdr:nvSpPr>
        <xdr:spPr>
          <a:xfrm>
            <a:off x="203707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/>
        </xdr:nvSpPr>
        <xdr:spPr>
          <a:xfrm>
            <a:off x="206247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118" name="Shape 118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2092960" y="10160"/>
            <a:ext cx="30480" cy="304800"/>
          </a:xfrm>
          <a:custGeom>
            <a:avLst/>
            <a:gdLst/>
            <a:ahLst/>
            <a:cxnLst/>
            <a:rect l="0" t="0" r="0" b="0"/>
            <a:pathLst>
              <a:path w="30480" h="304800">
                <a:moveTo>
                  <a:pt x="0" y="0"/>
                </a:moveTo>
                <a:lnTo>
                  <a:pt x="0" y="304800"/>
                </a:lnTo>
              </a:path>
              <a:path w="30480" h="304800">
                <a:moveTo>
                  <a:pt x="30479" y="0"/>
                </a:moveTo>
                <a:lnTo>
                  <a:pt x="30479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119" name="Shape 119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SpPr/>
        </xdr:nvSpPr>
        <xdr:spPr>
          <a:xfrm>
            <a:off x="214883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20" name="Shape 120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/>
        </xdr:nvSpPr>
        <xdr:spPr>
          <a:xfrm>
            <a:off x="217423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121" name="Shape 121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22098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122" name="Shape 122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/>
        </xdr:nvSpPr>
        <xdr:spPr>
          <a:xfrm>
            <a:off x="2230120" y="10160"/>
            <a:ext cx="20320" cy="304800"/>
          </a:xfrm>
          <a:custGeom>
            <a:avLst/>
            <a:gdLst/>
            <a:ahLst/>
            <a:cxnLst/>
            <a:rect l="0" t="0" r="0" b="0"/>
            <a:pathLst>
              <a:path w="20320" h="304800">
                <a:moveTo>
                  <a:pt x="0" y="0"/>
                </a:moveTo>
                <a:lnTo>
                  <a:pt x="0" y="304800"/>
                </a:lnTo>
              </a:path>
              <a:path w="20320" h="304800">
                <a:moveTo>
                  <a:pt x="20320" y="0"/>
                </a:moveTo>
                <a:lnTo>
                  <a:pt x="2032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23" name="Shape 123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227583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124" name="Shape 124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23114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125" name="Shape 125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/>
        </xdr:nvSpPr>
        <xdr:spPr>
          <a:xfrm>
            <a:off x="23368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126" name="Shape 126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>
            <a:off x="23622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2387600" y="10160"/>
            <a:ext cx="30480" cy="304800"/>
          </a:xfrm>
          <a:custGeom>
            <a:avLst/>
            <a:gdLst/>
            <a:ahLst/>
            <a:cxnLst/>
            <a:rect l="0" t="0" r="0" b="0"/>
            <a:pathLst>
              <a:path w="30480" h="304800">
                <a:moveTo>
                  <a:pt x="0" y="0"/>
                </a:moveTo>
                <a:lnTo>
                  <a:pt x="0" y="304800"/>
                </a:lnTo>
              </a:path>
              <a:path w="30480" h="304800">
                <a:moveTo>
                  <a:pt x="30479" y="0"/>
                </a:moveTo>
                <a:lnTo>
                  <a:pt x="30479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128" name="Shape 128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/>
        </xdr:nvSpPr>
        <xdr:spPr>
          <a:xfrm>
            <a:off x="245363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>
            <a:off x="247396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30" name="Shape 130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/>
        </xdr:nvSpPr>
        <xdr:spPr>
          <a:xfrm>
            <a:off x="249427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31" name="Shape 131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>
            <a:off x="251460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59">
            <a:solidFill>
              <a:srgbClr val="000000"/>
            </a:solidFill>
          </a:ln>
        </xdr:spPr>
      </xdr:sp>
      <xdr:sp macro="" textlink="">
        <xdr:nvSpPr>
          <xdr:cNvPr id="132" name="Shape 132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SpPr/>
        </xdr:nvSpPr>
        <xdr:spPr>
          <a:xfrm>
            <a:off x="2540000" y="10160"/>
            <a:ext cx="30480" cy="304800"/>
          </a:xfrm>
          <a:custGeom>
            <a:avLst/>
            <a:gdLst/>
            <a:ahLst/>
            <a:cxnLst/>
            <a:rect l="0" t="0" r="0" b="0"/>
            <a:pathLst>
              <a:path w="30480" h="304800">
                <a:moveTo>
                  <a:pt x="0" y="0"/>
                </a:moveTo>
                <a:lnTo>
                  <a:pt x="0" y="304800"/>
                </a:lnTo>
              </a:path>
              <a:path w="30480" h="304800">
                <a:moveTo>
                  <a:pt x="30479" y="0"/>
                </a:moveTo>
                <a:lnTo>
                  <a:pt x="30479" y="304800"/>
                </a:lnTo>
              </a:path>
            </a:pathLst>
          </a:custGeom>
          <a:ln w="20319">
            <a:solidFill>
              <a:srgbClr val="000000"/>
            </a:solidFill>
          </a:ln>
        </xdr:spPr>
      </xdr:sp>
      <xdr:sp macro="" textlink="">
        <xdr:nvSpPr>
          <xdr:cNvPr id="133" name="Shape 133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SpPr/>
        </xdr:nvSpPr>
        <xdr:spPr>
          <a:xfrm>
            <a:off x="260603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34" name="Shape 134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SpPr/>
        </xdr:nvSpPr>
        <xdr:spPr>
          <a:xfrm>
            <a:off x="262636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35" name="Shape 135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/>
        </xdr:nvSpPr>
        <xdr:spPr>
          <a:xfrm>
            <a:off x="264667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36" name="Shape 136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>
            <a:off x="2677160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137" name="Shape 137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/>
        </xdr:nvSpPr>
        <xdr:spPr>
          <a:xfrm>
            <a:off x="2702560" y="10160"/>
            <a:ext cx="30480" cy="304800"/>
          </a:xfrm>
          <a:custGeom>
            <a:avLst/>
            <a:gdLst/>
            <a:ahLst/>
            <a:cxnLst/>
            <a:rect l="0" t="0" r="0" b="0"/>
            <a:pathLst>
              <a:path w="30480" h="304800">
                <a:moveTo>
                  <a:pt x="0" y="0"/>
                </a:moveTo>
                <a:lnTo>
                  <a:pt x="0" y="304800"/>
                </a:lnTo>
              </a:path>
              <a:path w="30480" h="304800">
                <a:moveTo>
                  <a:pt x="30479" y="0"/>
                </a:moveTo>
                <a:lnTo>
                  <a:pt x="30479" y="304800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/>
        </xdr:nvSpPr>
        <xdr:spPr>
          <a:xfrm>
            <a:off x="2758439" y="10160"/>
            <a:ext cx="0" cy="304800"/>
          </a:xfrm>
          <a:custGeom>
            <a:avLst/>
            <a:gdLst/>
            <a:ahLst/>
            <a:cxnLst/>
            <a:rect l="0" t="0" r="0" b="0"/>
            <a:pathLst>
              <a:path h="304800">
                <a:moveTo>
                  <a:pt x="0" y="0"/>
                </a:moveTo>
                <a:lnTo>
                  <a:pt x="0" y="304800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743</xdr:row>
      <xdr:rowOff>4</xdr:rowOff>
    </xdr:from>
    <xdr:to>
      <xdr:col>0</xdr:col>
      <xdr:colOff>101600</xdr:colOff>
      <xdr:row>743</xdr:row>
      <xdr:rowOff>92079</xdr:rowOff>
    </xdr:to>
    <xdr:pic>
      <xdr:nvPicPr>
        <xdr:cNvPr id="139" name="image4.pn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600" cy="101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746</xdr:row>
      <xdr:rowOff>4</xdr:rowOff>
    </xdr:from>
    <xdr:to>
      <xdr:col>0</xdr:col>
      <xdr:colOff>101600</xdr:colOff>
      <xdr:row>746</xdr:row>
      <xdr:rowOff>92079</xdr:rowOff>
    </xdr:to>
    <xdr:pic>
      <xdr:nvPicPr>
        <xdr:cNvPr id="140" name="image4.pn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600" cy="101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749</xdr:row>
      <xdr:rowOff>4</xdr:rowOff>
    </xdr:from>
    <xdr:to>
      <xdr:col>0</xdr:col>
      <xdr:colOff>101600</xdr:colOff>
      <xdr:row>749</xdr:row>
      <xdr:rowOff>92079</xdr:rowOff>
    </xdr:to>
    <xdr:pic>
      <xdr:nvPicPr>
        <xdr:cNvPr id="141" name="image4.p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600" cy="101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759</xdr:row>
      <xdr:rowOff>-4</xdr:rowOff>
    </xdr:from>
    <xdr:to>
      <xdr:col>0</xdr:col>
      <xdr:colOff>101600</xdr:colOff>
      <xdr:row>759</xdr:row>
      <xdr:rowOff>92070</xdr:rowOff>
    </xdr:to>
    <xdr:pic>
      <xdr:nvPicPr>
        <xdr:cNvPr id="142" name="image4.pn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600" cy="101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762</xdr:row>
      <xdr:rowOff>-4</xdr:rowOff>
    </xdr:from>
    <xdr:to>
      <xdr:col>0</xdr:col>
      <xdr:colOff>101600</xdr:colOff>
      <xdr:row>762</xdr:row>
      <xdr:rowOff>92070</xdr:rowOff>
    </xdr:to>
    <xdr:pic>
      <xdr:nvPicPr>
        <xdr:cNvPr id="143" name="image5.pn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600" cy="101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765</xdr:row>
      <xdr:rowOff>-4</xdr:rowOff>
    </xdr:from>
    <xdr:to>
      <xdr:col>0</xdr:col>
      <xdr:colOff>101600</xdr:colOff>
      <xdr:row>765</xdr:row>
      <xdr:rowOff>92070</xdr:rowOff>
    </xdr:to>
    <xdr:pic>
      <xdr:nvPicPr>
        <xdr:cNvPr id="144" name="image5.pn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600" cy="10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8"/>
  <sheetViews>
    <sheetView tabSelected="1" zoomScale="130" zoomScaleNormal="130" workbookViewId="0">
      <selection activeCell="G10" sqref="G10"/>
    </sheetView>
  </sheetViews>
  <sheetFormatPr defaultRowHeight="12.75" x14ac:dyDescent="0.2"/>
  <cols>
    <col min="1" max="1" width="10.5" style="7" customWidth="1"/>
    <col min="2" max="2" width="43.83203125" customWidth="1"/>
    <col min="3" max="3" width="13.6640625" style="7" customWidth="1"/>
    <col min="4" max="4" width="17" style="7" customWidth="1"/>
    <col min="5" max="5" width="9.6640625" style="7" customWidth="1"/>
    <col min="6" max="6" width="19.33203125" style="7" customWidth="1"/>
    <col min="7" max="7" width="31.6640625" customWidth="1"/>
    <col min="8" max="8" width="8" customWidth="1"/>
    <col min="9" max="9" width="11.5" customWidth="1"/>
    <col min="10" max="10" width="67.5" customWidth="1"/>
    <col min="11" max="11" width="30.1640625" customWidth="1"/>
    <col min="12" max="12" width="12.6640625" customWidth="1"/>
    <col min="13" max="13" width="74.6640625" customWidth="1"/>
  </cols>
  <sheetData>
    <row r="1" spans="1:8" ht="23.25" x14ac:dyDescent="0.2">
      <c r="A1" s="25" t="s">
        <v>642</v>
      </c>
      <c r="B1" s="25"/>
      <c r="C1" s="25"/>
      <c r="D1" s="25"/>
      <c r="E1" s="25"/>
      <c r="F1" s="25"/>
    </row>
    <row r="2" spans="1:8" ht="11.25" customHeight="1" x14ac:dyDescent="0.2">
      <c r="A2" s="8"/>
    </row>
    <row r="3" spans="1:8" ht="11.25" customHeight="1" x14ac:dyDescent="0.2">
      <c r="A3" s="8"/>
    </row>
    <row r="4" spans="1:8" ht="11.25" customHeight="1" x14ac:dyDescent="0.2">
      <c r="A4" s="8"/>
      <c r="F4" s="8" t="s">
        <v>0</v>
      </c>
    </row>
    <row r="5" spans="1:8" ht="11.25" customHeight="1" x14ac:dyDescent="0.2">
      <c r="F5" s="15">
        <v>119.62</v>
      </c>
    </row>
    <row r="6" spans="1:8" ht="11.25" customHeight="1" x14ac:dyDescent="0.2"/>
    <row r="7" spans="1:8" s="27" customFormat="1" ht="24.75" customHeight="1" x14ac:dyDescent="0.2">
      <c r="A7" s="28" t="s">
        <v>637</v>
      </c>
      <c r="B7" s="34" t="s">
        <v>632</v>
      </c>
      <c r="C7" s="29" t="s">
        <v>633</v>
      </c>
      <c r="D7" s="29" t="s">
        <v>634</v>
      </c>
      <c r="E7" s="29" t="s">
        <v>635</v>
      </c>
      <c r="F7" s="29" t="s">
        <v>636</v>
      </c>
      <c r="G7" s="26"/>
      <c r="H7" s="26"/>
    </row>
    <row r="8" spans="1:8" ht="11.25" customHeight="1" x14ac:dyDescent="0.2">
      <c r="A8" s="30">
        <v>6665</v>
      </c>
      <c r="B8" s="31" t="s">
        <v>1</v>
      </c>
      <c r="C8" s="32" t="s">
        <v>2</v>
      </c>
      <c r="D8" s="32" t="s">
        <v>3</v>
      </c>
      <c r="E8" s="20">
        <v>7.15</v>
      </c>
      <c r="F8" s="23">
        <f>E8*F$5</f>
        <v>855.28300000000013</v>
      </c>
      <c r="G8" s="3"/>
      <c r="H8" s="3"/>
    </row>
    <row r="9" spans="1:8" ht="11.25" customHeight="1" x14ac:dyDescent="0.2">
      <c r="A9" s="30">
        <v>6671</v>
      </c>
      <c r="B9" s="31" t="s">
        <v>4</v>
      </c>
      <c r="C9" s="32" t="s">
        <v>2</v>
      </c>
      <c r="D9" s="32" t="s">
        <v>3</v>
      </c>
      <c r="E9" s="20">
        <v>66</v>
      </c>
      <c r="F9" s="23">
        <f t="shared" ref="F9:F72" si="0">E9*F$5</f>
        <v>7894.92</v>
      </c>
      <c r="G9" s="3"/>
      <c r="H9" s="3"/>
    </row>
    <row r="10" spans="1:8" ht="11.25" customHeight="1" x14ac:dyDescent="0.2">
      <c r="A10" s="30">
        <v>6252</v>
      </c>
      <c r="B10" s="31" t="s">
        <v>5</v>
      </c>
      <c r="C10" s="32" t="s">
        <v>6</v>
      </c>
      <c r="D10" s="32" t="s">
        <v>3</v>
      </c>
      <c r="E10" s="20">
        <v>0.18</v>
      </c>
      <c r="F10" s="23">
        <f t="shared" si="0"/>
        <v>21.531600000000001</v>
      </c>
      <c r="G10" s="3"/>
      <c r="H10" s="3"/>
    </row>
    <row r="11" spans="1:8" ht="11.25" customHeight="1" x14ac:dyDescent="0.2">
      <c r="A11" s="30">
        <v>6224</v>
      </c>
      <c r="B11" s="31" t="s">
        <v>7</v>
      </c>
      <c r="C11" s="32" t="s">
        <v>8</v>
      </c>
      <c r="D11" s="32" t="s">
        <v>3</v>
      </c>
      <c r="E11" s="20">
        <v>1.5</v>
      </c>
      <c r="F11" s="23">
        <f t="shared" si="0"/>
        <v>179.43</v>
      </c>
      <c r="G11" s="3"/>
      <c r="H11" s="3"/>
    </row>
    <row r="12" spans="1:8" ht="11.25" customHeight="1" x14ac:dyDescent="0.2">
      <c r="A12" s="30">
        <v>6345</v>
      </c>
      <c r="B12" s="31" t="s">
        <v>9</v>
      </c>
      <c r="C12" s="32" t="s">
        <v>8</v>
      </c>
      <c r="D12" s="32" t="s">
        <v>3</v>
      </c>
      <c r="E12" s="20">
        <v>4</v>
      </c>
      <c r="F12" s="23">
        <f t="shared" si="0"/>
        <v>478.48</v>
      </c>
      <c r="G12" s="3"/>
      <c r="H12" s="3"/>
    </row>
    <row r="13" spans="1:8" ht="11.25" customHeight="1" x14ac:dyDescent="0.2">
      <c r="A13" s="30">
        <v>6344</v>
      </c>
      <c r="B13" s="31" t="s">
        <v>10</v>
      </c>
      <c r="C13" s="32" t="s">
        <v>8</v>
      </c>
      <c r="D13" s="32" t="s">
        <v>3</v>
      </c>
      <c r="E13" s="20">
        <v>14.2</v>
      </c>
      <c r="F13" s="23">
        <f t="shared" si="0"/>
        <v>1698.604</v>
      </c>
      <c r="G13" s="3"/>
      <c r="H13" s="3"/>
    </row>
    <row r="14" spans="1:8" ht="11.25" customHeight="1" x14ac:dyDescent="0.2">
      <c r="A14" s="30">
        <v>7801</v>
      </c>
      <c r="B14" s="31" t="s">
        <v>11</v>
      </c>
      <c r="C14" s="32" t="s">
        <v>2</v>
      </c>
      <c r="D14" s="32" t="s">
        <v>3</v>
      </c>
      <c r="E14" s="20">
        <v>12</v>
      </c>
      <c r="F14" s="23">
        <f t="shared" si="0"/>
        <v>1435.44</v>
      </c>
      <c r="G14" s="3"/>
      <c r="H14" s="3"/>
    </row>
    <row r="15" spans="1:8" ht="11.25" customHeight="1" x14ac:dyDescent="0.2">
      <c r="A15" s="30">
        <v>6294</v>
      </c>
      <c r="B15" s="31" t="s">
        <v>12</v>
      </c>
      <c r="C15" s="32" t="s">
        <v>6</v>
      </c>
      <c r="D15" s="32" t="s">
        <v>3</v>
      </c>
      <c r="E15" s="20">
        <v>0.5</v>
      </c>
      <c r="F15" s="23">
        <f t="shared" si="0"/>
        <v>59.81</v>
      </c>
      <c r="G15" s="3"/>
      <c r="H15" s="3"/>
    </row>
    <row r="16" spans="1:8" ht="11.25" customHeight="1" x14ac:dyDescent="0.2">
      <c r="A16" s="30">
        <v>6343</v>
      </c>
      <c r="B16" s="31" t="s">
        <v>13</v>
      </c>
      <c r="C16" s="32" t="s">
        <v>8</v>
      </c>
      <c r="D16" s="32" t="s">
        <v>3</v>
      </c>
      <c r="E16" s="20">
        <v>1</v>
      </c>
      <c r="F16" s="23">
        <f t="shared" si="0"/>
        <v>119.62</v>
      </c>
      <c r="G16" s="3"/>
      <c r="H16" s="3"/>
    </row>
    <row r="17" spans="1:8" ht="11.25" customHeight="1" x14ac:dyDescent="0.2">
      <c r="A17" s="30">
        <v>6864</v>
      </c>
      <c r="B17" s="31" t="s">
        <v>14</v>
      </c>
      <c r="C17" s="32" t="s">
        <v>8</v>
      </c>
      <c r="D17" s="32" t="s">
        <v>3</v>
      </c>
      <c r="E17" s="20">
        <v>2</v>
      </c>
      <c r="F17" s="23">
        <f t="shared" si="0"/>
        <v>239.24</v>
      </c>
      <c r="G17" s="3"/>
      <c r="H17" s="3"/>
    </row>
    <row r="18" spans="1:8" ht="11.25" customHeight="1" x14ac:dyDescent="0.2">
      <c r="A18" s="30">
        <v>7049</v>
      </c>
      <c r="B18" s="31" t="s">
        <v>15</v>
      </c>
      <c r="C18" s="32" t="s">
        <v>8</v>
      </c>
      <c r="D18" s="32" t="s">
        <v>3</v>
      </c>
      <c r="E18" s="20">
        <v>0.5</v>
      </c>
      <c r="F18" s="23">
        <f t="shared" si="0"/>
        <v>59.81</v>
      </c>
      <c r="G18" s="3"/>
      <c r="H18" s="3"/>
    </row>
    <row r="19" spans="1:8" ht="11.25" customHeight="1" x14ac:dyDescent="0.2">
      <c r="A19" s="30">
        <v>6315</v>
      </c>
      <c r="B19" s="31" t="s">
        <v>16</v>
      </c>
      <c r="C19" s="32" t="s">
        <v>17</v>
      </c>
      <c r="D19" s="32" t="s">
        <v>3</v>
      </c>
      <c r="E19" s="20">
        <v>0.5</v>
      </c>
      <c r="F19" s="23">
        <f t="shared" si="0"/>
        <v>59.81</v>
      </c>
      <c r="G19" s="3"/>
      <c r="H19" s="3"/>
    </row>
    <row r="20" spans="1:8" ht="11.25" customHeight="1" x14ac:dyDescent="0.2">
      <c r="A20" s="30">
        <v>92320</v>
      </c>
      <c r="B20" s="31" t="s">
        <v>18</v>
      </c>
      <c r="C20" s="32" t="s">
        <v>19</v>
      </c>
      <c r="D20" s="32" t="s">
        <v>3</v>
      </c>
      <c r="E20" s="20">
        <v>0.15</v>
      </c>
      <c r="F20" s="23">
        <f t="shared" si="0"/>
        <v>17.943000000000001</v>
      </c>
      <c r="G20" s="3"/>
      <c r="H20" s="3"/>
    </row>
    <row r="21" spans="1:8" ht="11.25" customHeight="1" x14ac:dyDescent="0.2">
      <c r="A21" s="30">
        <v>6316</v>
      </c>
      <c r="B21" s="31" t="s">
        <v>20</v>
      </c>
      <c r="C21" s="32" t="s">
        <v>8</v>
      </c>
      <c r="D21" s="32" t="s">
        <v>3</v>
      </c>
      <c r="E21" s="20">
        <v>2.5</v>
      </c>
      <c r="F21" s="23">
        <f t="shared" si="0"/>
        <v>299.05</v>
      </c>
      <c r="G21" s="3"/>
      <c r="H21" s="3"/>
    </row>
    <row r="22" spans="1:8" ht="11.25" customHeight="1" x14ac:dyDescent="0.2">
      <c r="A22" s="30">
        <v>6225</v>
      </c>
      <c r="B22" s="31" t="s">
        <v>21</v>
      </c>
      <c r="C22" s="32" t="s">
        <v>8</v>
      </c>
      <c r="D22" s="32" t="s">
        <v>3</v>
      </c>
      <c r="E22" s="20">
        <v>14</v>
      </c>
      <c r="F22" s="23">
        <f t="shared" si="0"/>
        <v>1674.68</v>
      </c>
      <c r="G22" s="3"/>
      <c r="H22" s="3"/>
    </row>
    <row r="23" spans="1:8" ht="11.25" customHeight="1" x14ac:dyDescent="0.2">
      <c r="A23" s="30">
        <v>6657</v>
      </c>
      <c r="B23" s="31" t="s">
        <v>22</v>
      </c>
      <c r="C23" s="32" t="s">
        <v>8</v>
      </c>
      <c r="D23" s="32" t="s">
        <v>3</v>
      </c>
      <c r="E23" s="20">
        <v>3</v>
      </c>
      <c r="F23" s="23">
        <f t="shared" si="0"/>
        <v>358.86</v>
      </c>
      <c r="G23" s="3"/>
      <c r="H23" s="3"/>
    </row>
    <row r="24" spans="1:8" ht="11.25" customHeight="1" x14ac:dyDescent="0.2">
      <c r="A24" s="30">
        <v>6500</v>
      </c>
      <c r="B24" s="31" t="s">
        <v>23</v>
      </c>
      <c r="C24" s="32" t="s">
        <v>19</v>
      </c>
      <c r="D24" s="32" t="s">
        <v>24</v>
      </c>
      <c r="E24" s="20">
        <v>10</v>
      </c>
      <c r="F24" s="23">
        <f t="shared" si="0"/>
        <v>1196.2</v>
      </c>
      <c r="G24" s="3"/>
      <c r="H24" s="3"/>
    </row>
    <row r="25" spans="1:8" ht="11.25" customHeight="1" x14ac:dyDescent="0.2">
      <c r="A25" s="30">
        <v>6628</v>
      </c>
      <c r="B25" s="31" t="s">
        <v>25</v>
      </c>
      <c r="C25" s="32" t="s">
        <v>26</v>
      </c>
      <c r="D25" s="32" t="s">
        <v>24</v>
      </c>
      <c r="E25" s="20">
        <v>0.3</v>
      </c>
      <c r="F25" s="23">
        <f t="shared" si="0"/>
        <v>35.886000000000003</v>
      </c>
      <c r="G25" s="3"/>
      <c r="H25" s="3"/>
    </row>
    <row r="26" spans="1:8" ht="11.25" customHeight="1" x14ac:dyDescent="0.2">
      <c r="A26" s="30">
        <v>6352</v>
      </c>
      <c r="B26" s="31" t="s">
        <v>27</v>
      </c>
      <c r="C26" s="32" t="s">
        <v>8</v>
      </c>
      <c r="D26" s="32" t="s">
        <v>24</v>
      </c>
      <c r="E26" s="20">
        <v>0.1</v>
      </c>
      <c r="F26" s="23">
        <f t="shared" si="0"/>
        <v>11.962000000000002</v>
      </c>
      <c r="G26" s="3"/>
      <c r="H26" s="3"/>
    </row>
    <row r="27" spans="1:8" ht="11.25" customHeight="1" x14ac:dyDescent="0.2">
      <c r="A27" s="30">
        <v>6287</v>
      </c>
      <c r="B27" s="31" t="s">
        <v>28</v>
      </c>
      <c r="C27" s="32" t="s">
        <v>8</v>
      </c>
      <c r="D27" s="32" t="s">
        <v>24</v>
      </c>
      <c r="E27" s="20">
        <v>2</v>
      </c>
      <c r="F27" s="23">
        <f t="shared" si="0"/>
        <v>239.24</v>
      </c>
      <c r="G27" s="3"/>
      <c r="H27" s="3"/>
    </row>
    <row r="28" spans="1:8" ht="11.25" customHeight="1" x14ac:dyDescent="0.2">
      <c r="A28" s="30">
        <v>6366</v>
      </c>
      <c r="B28" s="31" t="s">
        <v>29</v>
      </c>
      <c r="C28" s="32" t="s">
        <v>8</v>
      </c>
      <c r="D28" s="32" t="s">
        <v>24</v>
      </c>
      <c r="E28" s="20">
        <v>0.5</v>
      </c>
      <c r="F28" s="23">
        <f t="shared" si="0"/>
        <v>59.81</v>
      </c>
      <c r="G28" s="3"/>
      <c r="H28" s="3"/>
    </row>
    <row r="29" spans="1:8" ht="11.25" customHeight="1" x14ac:dyDescent="0.2">
      <c r="A29" s="30">
        <v>6368</v>
      </c>
      <c r="B29" s="31" t="s">
        <v>30</v>
      </c>
      <c r="C29" s="32" t="s">
        <v>8</v>
      </c>
      <c r="D29" s="32" t="s">
        <v>24</v>
      </c>
      <c r="E29" s="20">
        <v>2</v>
      </c>
      <c r="F29" s="23">
        <f t="shared" si="0"/>
        <v>239.24</v>
      </c>
      <c r="G29" s="3"/>
      <c r="H29" s="3"/>
    </row>
    <row r="30" spans="1:8" ht="11.25" customHeight="1" x14ac:dyDescent="0.2">
      <c r="A30" s="30">
        <v>6284</v>
      </c>
      <c r="B30" s="31" t="s">
        <v>31</v>
      </c>
      <c r="C30" s="32" t="s">
        <v>8</v>
      </c>
      <c r="D30" s="32" t="s">
        <v>24</v>
      </c>
      <c r="E30" s="20">
        <v>2</v>
      </c>
      <c r="F30" s="23">
        <f t="shared" si="0"/>
        <v>239.24</v>
      </c>
      <c r="G30" s="3"/>
      <c r="H30" s="3"/>
    </row>
    <row r="31" spans="1:8" ht="11.25" customHeight="1" x14ac:dyDescent="0.2">
      <c r="A31" s="30">
        <v>6537</v>
      </c>
      <c r="B31" s="31" t="s">
        <v>32</v>
      </c>
      <c r="C31" s="32" t="s">
        <v>8</v>
      </c>
      <c r="D31" s="32" t="s">
        <v>24</v>
      </c>
      <c r="E31" s="20">
        <v>2</v>
      </c>
      <c r="F31" s="23">
        <f t="shared" si="0"/>
        <v>239.24</v>
      </c>
      <c r="G31" s="3"/>
      <c r="H31" s="3"/>
    </row>
    <row r="32" spans="1:8" ht="11.25" customHeight="1" x14ac:dyDescent="0.2">
      <c r="A32" s="30">
        <v>6285</v>
      </c>
      <c r="B32" s="31" t="s">
        <v>33</v>
      </c>
      <c r="C32" s="32" t="s">
        <v>8</v>
      </c>
      <c r="D32" s="32" t="s">
        <v>24</v>
      </c>
      <c r="E32" s="20">
        <v>2</v>
      </c>
      <c r="F32" s="23">
        <f t="shared" si="0"/>
        <v>239.24</v>
      </c>
      <c r="G32" s="3"/>
      <c r="H32" s="3"/>
    </row>
    <row r="33" spans="1:8" ht="11.25" customHeight="1" x14ac:dyDescent="0.2">
      <c r="A33" s="30">
        <v>6538</v>
      </c>
      <c r="B33" s="31" t="s">
        <v>34</v>
      </c>
      <c r="C33" s="32" t="s">
        <v>8</v>
      </c>
      <c r="D33" s="32" t="s">
        <v>24</v>
      </c>
      <c r="E33" s="20">
        <v>2</v>
      </c>
      <c r="F33" s="23">
        <f t="shared" si="0"/>
        <v>239.24</v>
      </c>
      <c r="G33" s="3"/>
      <c r="H33" s="3"/>
    </row>
    <row r="34" spans="1:8" ht="11.25" customHeight="1" x14ac:dyDescent="0.2">
      <c r="A34" s="30">
        <v>6286</v>
      </c>
      <c r="B34" s="31" t="s">
        <v>35</v>
      </c>
      <c r="C34" s="32" t="s">
        <v>8</v>
      </c>
      <c r="D34" s="32" t="s">
        <v>24</v>
      </c>
      <c r="E34" s="20">
        <v>2</v>
      </c>
      <c r="F34" s="23">
        <f t="shared" si="0"/>
        <v>239.24</v>
      </c>
      <c r="G34" s="3"/>
      <c r="H34" s="3"/>
    </row>
    <row r="35" spans="1:8" ht="11.25" customHeight="1" x14ac:dyDescent="0.2">
      <c r="A35" s="30">
        <v>6369</v>
      </c>
      <c r="B35" s="31" t="s">
        <v>36</v>
      </c>
      <c r="C35" s="32" t="s">
        <v>8</v>
      </c>
      <c r="D35" s="32" t="s">
        <v>24</v>
      </c>
      <c r="E35" s="20">
        <v>0.5</v>
      </c>
      <c r="F35" s="23">
        <f t="shared" si="0"/>
        <v>59.81</v>
      </c>
      <c r="G35" s="3"/>
      <c r="H35" s="3"/>
    </row>
    <row r="36" spans="1:8" ht="11.25" customHeight="1" x14ac:dyDescent="0.2">
      <c r="A36" s="30">
        <v>6371</v>
      </c>
      <c r="B36" s="31" t="s">
        <v>37</v>
      </c>
      <c r="C36" s="32" t="s">
        <v>8</v>
      </c>
      <c r="D36" s="32" t="s">
        <v>24</v>
      </c>
      <c r="E36" s="20">
        <v>0.5</v>
      </c>
      <c r="F36" s="23">
        <f t="shared" si="0"/>
        <v>59.81</v>
      </c>
      <c r="G36" s="3"/>
      <c r="H36" s="3"/>
    </row>
    <row r="37" spans="1:8" ht="11.25" customHeight="1" x14ac:dyDescent="0.2">
      <c r="A37" s="30">
        <v>6372</v>
      </c>
      <c r="B37" s="31" t="s">
        <v>38</v>
      </c>
      <c r="C37" s="32" t="s">
        <v>8</v>
      </c>
      <c r="D37" s="32" t="s">
        <v>24</v>
      </c>
      <c r="E37" s="20">
        <v>0.5</v>
      </c>
      <c r="F37" s="23">
        <f t="shared" si="0"/>
        <v>59.81</v>
      </c>
      <c r="G37" s="3"/>
      <c r="H37" s="3"/>
    </row>
    <row r="38" spans="1:8" ht="11.25" customHeight="1" x14ac:dyDescent="0.2">
      <c r="A38" s="30">
        <v>6363</v>
      </c>
      <c r="B38" s="31" t="s">
        <v>39</v>
      </c>
      <c r="C38" s="32" t="s">
        <v>8</v>
      </c>
      <c r="D38" s="32" t="s">
        <v>24</v>
      </c>
      <c r="E38" s="20">
        <v>0.05</v>
      </c>
      <c r="F38" s="23">
        <f t="shared" si="0"/>
        <v>5.9810000000000008</v>
      </c>
      <c r="G38" s="3"/>
      <c r="H38" s="3"/>
    </row>
    <row r="39" spans="1:8" ht="11.25" customHeight="1" x14ac:dyDescent="0.2">
      <c r="A39" s="30">
        <v>7100</v>
      </c>
      <c r="B39" s="31" t="s">
        <v>40</v>
      </c>
      <c r="C39" s="32" t="s">
        <v>8</v>
      </c>
      <c r="D39" s="32" t="s">
        <v>24</v>
      </c>
      <c r="E39" s="20">
        <v>0.06</v>
      </c>
      <c r="F39" s="23">
        <f t="shared" si="0"/>
        <v>7.1772</v>
      </c>
      <c r="G39" s="3"/>
      <c r="H39" s="3"/>
    </row>
    <row r="40" spans="1:8" ht="11.25" customHeight="1" x14ac:dyDescent="0.2">
      <c r="A40" s="30">
        <v>6532</v>
      </c>
      <c r="B40" s="31" t="s">
        <v>41</v>
      </c>
      <c r="C40" s="32" t="s">
        <v>8</v>
      </c>
      <c r="D40" s="32" t="s">
        <v>24</v>
      </c>
      <c r="E40" s="20">
        <v>3</v>
      </c>
      <c r="F40" s="23">
        <f t="shared" si="0"/>
        <v>358.86</v>
      </c>
      <c r="G40" s="3"/>
      <c r="H40" s="3"/>
    </row>
    <row r="41" spans="1:8" ht="11.25" customHeight="1" x14ac:dyDescent="0.2">
      <c r="A41" s="30">
        <v>6360</v>
      </c>
      <c r="B41" s="31" t="s">
        <v>42</v>
      </c>
      <c r="C41" s="32" t="s">
        <v>8</v>
      </c>
      <c r="D41" s="32" t="s">
        <v>24</v>
      </c>
      <c r="E41" s="20">
        <v>3</v>
      </c>
      <c r="F41" s="23">
        <f t="shared" si="0"/>
        <v>358.86</v>
      </c>
      <c r="G41" s="3"/>
      <c r="H41" s="3"/>
    </row>
    <row r="42" spans="1:8" ht="11.25" customHeight="1" x14ac:dyDescent="0.2">
      <c r="A42" s="30">
        <v>6361</v>
      </c>
      <c r="B42" s="31" t="s">
        <v>43</v>
      </c>
      <c r="C42" s="32" t="s">
        <v>8</v>
      </c>
      <c r="D42" s="32" t="s">
        <v>24</v>
      </c>
      <c r="E42" s="20">
        <v>3</v>
      </c>
      <c r="F42" s="23">
        <f t="shared" si="0"/>
        <v>358.86</v>
      </c>
      <c r="G42" s="3"/>
      <c r="H42" s="3"/>
    </row>
    <row r="43" spans="1:8" ht="11.25" customHeight="1" x14ac:dyDescent="0.2">
      <c r="A43" s="30">
        <v>6468</v>
      </c>
      <c r="B43" s="31" t="s">
        <v>44</v>
      </c>
      <c r="C43" s="32" t="s">
        <v>19</v>
      </c>
      <c r="D43" s="32" t="s">
        <v>24</v>
      </c>
      <c r="E43" s="20">
        <v>16</v>
      </c>
      <c r="F43" s="23">
        <f t="shared" si="0"/>
        <v>1913.92</v>
      </c>
      <c r="G43" s="3"/>
      <c r="H43" s="3"/>
    </row>
    <row r="44" spans="1:8" ht="11.25" customHeight="1" x14ac:dyDescent="0.2">
      <c r="A44" s="30">
        <v>6467</v>
      </c>
      <c r="B44" s="31" t="s">
        <v>45</v>
      </c>
      <c r="C44" s="32" t="s">
        <v>19</v>
      </c>
      <c r="D44" s="32" t="s">
        <v>24</v>
      </c>
      <c r="E44" s="20">
        <v>20</v>
      </c>
      <c r="F44" s="23">
        <f t="shared" si="0"/>
        <v>2392.4</v>
      </c>
      <c r="G44" s="3"/>
      <c r="H44" s="3"/>
    </row>
    <row r="45" spans="1:8" ht="11.25" customHeight="1" x14ac:dyDescent="0.2">
      <c r="A45" s="30">
        <v>6887</v>
      </c>
      <c r="B45" s="31" t="s">
        <v>46</v>
      </c>
      <c r="C45" s="32" t="s">
        <v>19</v>
      </c>
      <c r="D45" s="32" t="s">
        <v>24</v>
      </c>
      <c r="E45" s="20">
        <v>20</v>
      </c>
      <c r="F45" s="23">
        <f t="shared" si="0"/>
        <v>2392.4</v>
      </c>
      <c r="G45" s="3"/>
      <c r="H45" s="3"/>
    </row>
    <row r="46" spans="1:8" ht="11.25" customHeight="1" x14ac:dyDescent="0.2">
      <c r="A46" s="30">
        <v>6604</v>
      </c>
      <c r="B46" s="31" t="s">
        <v>47</v>
      </c>
      <c r="C46" s="32" t="s">
        <v>19</v>
      </c>
      <c r="D46" s="32" t="s">
        <v>24</v>
      </c>
      <c r="E46" s="20">
        <v>8</v>
      </c>
      <c r="F46" s="23">
        <f t="shared" si="0"/>
        <v>956.96</v>
      </c>
      <c r="G46" s="3"/>
      <c r="H46" s="3"/>
    </row>
    <row r="47" spans="1:8" ht="11.25" customHeight="1" x14ac:dyDescent="0.2">
      <c r="A47" s="30">
        <v>6670</v>
      </c>
      <c r="B47" s="31" t="s">
        <v>48</v>
      </c>
      <c r="C47" s="32" t="s">
        <v>19</v>
      </c>
      <c r="D47" s="32" t="s">
        <v>24</v>
      </c>
      <c r="E47" s="20">
        <v>10</v>
      </c>
      <c r="F47" s="23">
        <f t="shared" si="0"/>
        <v>1196.2</v>
      </c>
      <c r="G47" s="3"/>
      <c r="H47" s="3"/>
    </row>
    <row r="48" spans="1:8" ht="11.25" customHeight="1" x14ac:dyDescent="0.2">
      <c r="A48" s="30">
        <v>6955</v>
      </c>
      <c r="B48" s="31" t="s">
        <v>49</v>
      </c>
      <c r="C48" s="32" t="s">
        <v>8</v>
      </c>
      <c r="D48" s="32" t="s">
        <v>24</v>
      </c>
      <c r="E48" s="20">
        <v>0.55000000000000004</v>
      </c>
      <c r="F48" s="23">
        <f t="shared" si="0"/>
        <v>65.791000000000011</v>
      </c>
      <c r="G48" s="3"/>
      <c r="H48" s="3"/>
    </row>
    <row r="49" spans="1:8" ht="11.25" customHeight="1" x14ac:dyDescent="0.2">
      <c r="A49" s="30">
        <v>7135</v>
      </c>
      <c r="B49" s="31" t="s">
        <v>50</v>
      </c>
      <c r="C49" s="32" t="s">
        <v>8</v>
      </c>
      <c r="D49" s="32" t="s">
        <v>24</v>
      </c>
      <c r="E49" s="20">
        <v>1.3</v>
      </c>
      <c r="F49" s="23">
        <f t="shared" si="0"/>
        <v>155.506</v>
      </c>
      <c r="G49" s="3"/>
      <c r="H49" s="3"/>
    </row>
    <row r="50" spans="1:8" ht="11.25" customHeight="1" x14ac:dyDescent="0.2">
      <c r="A50" s="30">
        <v>6226</v>
      </c>
      <c r="B50" s="31" t="s">
        <v>51</v>
      </c>
      <c r="C50" s="32" t="s">
        <v>8</v>
      </c>
      <c r="D50" s="32" t="s">
        <v>24</v>
      </c>
      <c r="E50" s="20">
        <v>2.33</v>
      </c>
      <c r="F50" s="23">
        <f t="shared" si="0"/>
        <v>278.71460000000002</v>
      </c>
      <c r="G50" s="3"/>
      <c r="H50" s="3"/>
    </row>
    <row r="51" spans="1:8" ht="11.25" customHeight="1" x14ac:dyDescent="0.2">
      <c r="A51" s="30">
        <v>6228</v>
      </c>
      <c r="B51" s="31" t="s">
        <v>52</v>
      </c>
      <c r="C51" s="32" t="s">
        <v>8</v>
      </c>
      <c r="D51" s="32" t="s">
        <v>24</v>
      </c>
      <c r="E51" s="20">
        <v>1</v>
      </c>
      <c r="F51" s="23">
        <f t="shared" si="0"/>
        <v>119.62</v>
      </c>
      <c r="G51" s="3"/>
      <c r="H51" s="3"/>
    </row>
    <row r="52" spans="1:8" ht="11.25" customHeight="1" x14ac:dyDescent="0.2">
      <c r="A52" s="30">
        <v>6227</v>
      </c>
      <c r="B52" s="31" t="s">
        <v>53</v>
      </c>
      <c r="C52" s="32" t="s">
        <v>8</v>
      </c>
      <c r="D52" s="32" t="s">
        <v>24</v>
      </c>
      <c r="E52" s="20">
        <v>2</v>
      </c>
      <c r="F52" s="23">
        <f t="shared" si="0"/>
        <v>239.24</v>
      </c>
      <c r="G52" s="3"/>
      <c r="H52" s="3"/>
    </row>
    <row r="53" spans="1:8" ht="11.25" customHeight="1" x14ac:dyDescent="0.2">
      <c r="A53" s="30">
        <v>6229</v>
      </c>
      <c r="B53" s="31" t="s">
        <v>54</v>
      </c>
      <c r="C53" s="32" t="s">
        <v>8</v>
      </c>
      <c r="D53" s="32" t="s">
        <v>24</v>
      </c>
      <c r="E53" s="20">
        <v>4</v>
      </c>
      <c r="F53" s="23">
        <f t="shared" si="0"/>
        <v>478.48</v>
      </c>
      <c r="G53" s="3"/>
      <c r="H53" s="3"/>
    </row>
    <row r="54" spans="1:8" ht="11.25" customHeight="1" x14ac:dyDescent="0.2">
      <c r="A54" s="30">
        <v>6362</v>
      </c>
      <c r="B54" s="31" t="s">
        <v>55</v>
      </c>
      <c r="C54" s="32" t="s">
        <v>8</v>
      </c>
      <c r="D54" s="32" t="s">
        <v>24</v>
      </c>
      <c r="E54" s="20">
        <v>0.6</v>
      </c>
      <c r="F54" s="23">
        <f t="shared" si="0"/>
        <v>71.772000000000006</v>
      </c>
      <c r="G54" s="3"/>
      <c r="H54" s="3"/>
    </row>
    <row r="55" spans="1:8" ht="11.25" customHeight="1" x14ac:dyDescent="0.2">
      <c r="A55" s="30">
        <v>6062</v>
      </c>
      <c r="B55" s="31" t="s">
        <v>56</v>
      </c>
      <c r="C55" s="32" t="s">
        <v>8</v>
      </c>
      <c r="D55" s="32" t="s">
        <v>24</v>
      </c>
      <c r="E55" s="20">
        <v>0.3</v>
      </c>
      <c r="F55" s="23">
        <f t="shared" si="0"/>
        <v>35.886000000000003</v>
      </c>
      <c r="G55" s="3"/>
      <c r="H55" s="3"/>
    </row>
    <row r="56" spans="1:8" ht="11.25" customHeight="1" x14ac:dyDescent="0.2">
      <c r="A56" s="30">
        <v>6042</v>
      </c>
      <c r="B56" s="31" t="s">
        <v>57</v>
      </c>
      <c r="C56" s="32" t="s">
        <v>8</v>
      </c>
      <c r="D56" s="32" t="s">
        <v>24</v>
      </c>
      <c r="E56" s="20">
        <v>0.3</v>
      </c>
      <c r="F56" s="23">
        <f t="shared" si="0"/>
        <v>35.886000000000003</v>
      </c>
      <c r="G56" s="3"/>
      <c r="H56" s="3"/>
    </row>
    <row r="57" spans="1:8" ht="11.25" customHeight="1" x14ac:dyDescent="0.2">
      <c r="A57" s="30">
        <v>6043</v>
      </c>
      <c r="B57" s="31" t="s">
        <v>58</v>
      </c>
      <c r="C57" s="32" t="s">
        <v>8</v>
      </c>
      <c r="D57" s="32" t="s">
        <v>24</v>
      </c>
      <c r="E57" s="20">
        <v>0.3</v>
      </c>
      <c r="F57" s="23">
        <f t="shared" si="0"/>
        <v>35.886000000000003</v>
      </c>
      <c r="G57" s="3"/>
      <c r="H57" s="3"/>
    </row>
    <row r="58" spans="1:8" ht="11.25" customHeight="1" x14ac:dyDescent="0.2">
      <c r="A58" s="30">
        <v>6046</v>
      </c>
      <c r="B58" s="31" t="s">
        <v>59</v>
      </c>
      <c r="C58" s="32" t="s">
        <v>60</v>
      </c>
      <c r="D58" s="32" t="s">
        <v>24</v>
      </c>
      <c r="E58" s="20">
        <v>0.4</v>
      </c>
      <c r="F58" s="23">
        <f t="shared" si="0"/>
        <v>47.848000000000006</v>
      </c>
      <c r="G58" s="3"/>
      <c r="H58" s="3"/>
    </row>
    <row r="59" spans="1:8" ht="11.25" customHeight="1" x14ac:dyDescent="0.2">
      <c r="A59" s="30">
        <v>6047</v>
      </c>
      <c r="B59" s="31" t="s">
        <v>61</v>
      </c>
      <c r="C59" s="32" t="s">
        <v>60</v>
      </c>
      <c r="D59" s="32" t="s">
        <v>24</v>
      </c>
      <c r="E59" s="20">
        <v>0.4</v>
      </c>
      <c r="F59" s="23">
        <f t="shared" si="0"/>
        <v>47.848000000000006</v>
      </c>
      <c r="G59" s="3"/>
      <c r="H59" s="3"/>
    </row>
    <row r="60" spans="1:8" ht="11.25" customHeight="1" x14ac:dyDescent="0.2">
      <c r="A60" s="30">
        <v>9433</v>
      </c>
      <c r="B60" s="31" t="s">
        <v>62</v>
      </c>
      <c r="C60" s="32" t="s">
        <v>60</v>
      </c>
      <c r="D60" s="32" t="s">
        <v>24</v>
      </c>
      <c r="E60" s="20">
        <v>4</v>
      </c>
      <c r="F60" s="23">
        <f t="shared" si="0"/>
        <v>478.48</v>
      </c>
      <c r="G60" s="3"/>
      <c r="H60" s="3"/>
    </row>
    <row r="61" spans="1:8" ht="11.25" customHeight="1" x14ac:dyDescent="0.2">
      <c r="A61" s="30">
        <v>6351</v>
      </c>
      <c r="B61" s="31" t="s">
        <v>63</v>
      </c>
      <c r="C61" s="32" t="s">
        <v>8</v>
      </c>
      <c r="D61" s="32" t="s">
        <v>24</v>
      </c>
      <c r="E61" s="20">
        <v>0.1</v>
      </c>
      <c r="F61" s="23">
        <f t="shared" si="0"/>
        <v>11.962000000000002</v>
      </c>
      <c r="G61" s="3"/>
      <c r="H61" s="3"/>
    </row>
    <row r="62" spans="1:8" ht="11.25" customHeight="1" x14ac:dyDescent="0.2">
      <c r="A62" s="30">
        <v>6456</v>
      </c>
      <c r="B62" s="31" t="s">
        <v>64</v>
      </c>
      <c r="C62" s="32" t="s">
        <v>8</v>
      </c>
      <c r="D62" s="32" t="s">
        <v>24</v>
      </c>
      <c r="E62" s="20">
        <v>0.2</v>
      </c>
      <c r="F62" s="23">
        <f t="shared" si="0"/>
        <v>23.924000000000003</v>
      </c>
      <c r="G62" s="3"/>
      <c r="H62" s="3"/>
    </row>
    <row r="63" spans="1:8" ht="11.25" customHeight="1" x14ac:dyDescent="0.2">
      <c r="A63" s="30">
        <v>6455</v>
      </c>
      <c r="B63" s="31" t="s">
        <v>65</v>
      </c>
      <c r="C63" s="32" t="s">
        <v>8</v>
      </c>
      <c r="D63" s="32" t="s">
        <v>24</v>
      </c>
      <c r="E63" s="20">
        <v>0.4</v>
      </c>
      <c r="F63" s="23">
        <f t="shared" si="0"/>
        <v>47.848000000000006</v>
      </c>
      <c r="G63" s="3"/>
      <c r="H63" s="3"/>
    </row>
    <row r="64" spans="1:8" ht="11.25" customHeight="1" x14ac:dyDescent="0.2">
      <c r="A64" s="30">
        <v>7090</v>
      </c>
      <c r="B64" s="31" t="s">
        <v>66</v>
      </c>
      <c r="C64" s="32" t="s">
        <v>8</v>
      </c>
      <c r="D64" s="32" t="s">
        <v>24</v>
      </c>
      <c r="E64" s="20">
        <v>2</v>
      </c>
      <c r="F64" s="23">
        <f t="shared" si="0"/>
        <v>239.24</v>
      </c>
      <c r="G64" s="3"/>
      <c r="H64" s="3"/>
    </row>
    <row r="65" spans="1:8" ht="11.25" customHeight="1" x14ac:dyDescent="0.2">
      <c r="A65" s="30">
        <v>6365</v>
      </c>
      <c r="B65" s="31" t="s">
        <v>67</v>
      </c>
      <c r="C65" s="32" t="s">
        <v>8</v>
      </c>
      <c r="D65" s="32" t="s">
        <v>24</v>
      </c>
      <c r="E65" s="20">
        <v>1</v>
      </c>
      <c r="F65" s="23">
        <f t="shared" si="0"/>
        <v>119.62</v>
      </c>
      <c r="G65" s="3"/>
      <c r="H65" s="3"/>
    </row>
    <row r="66" spans="1:8" ht="11.25" customHeight="1" x14ac:dyDescent="0.2">
      <c r="A66" s="30">
        <v>6280</v>
      </c>
      <c r="B66" s="31" t="s">
        <v>68</v>
      </c>
      <c r="C66" s="32" t="s">
        <v>8</v>
      </c>
      <c r="D66" s="32" t="s">
        <v>24</v>
      </c>
      <c r="E66" s="20">
        <v>1</v>
      </c>
      <c r="F66" s="23">
        <f t="shared" si="0"/>
        <v>119.62</v>
      </c>
      <c r="G66" s="3"/>
      <c r="H66" s="3"/>
    </row>
    <row r="67" spans="1:8" ht="11.25" customHeight="1" x14ac:dyDescent="0.2">
      <c r="A67" s="30">
        <v>6364</v>
      </c>
      <c r="B67" s="31" t="s">
        <v>69</v>
      </c>
      <c r="C67" s="32" t="s">
        <v>8</v>
      </c>
      <c r="D67" s="32" t="s">
        <v>24</v>
      </c>
      <c r="E67" s="20">
        <v>1</v>
      </c>
      <c r="F67" s="23">
        <f t="shared" si="0"/>
        <v>119.62</v>
      </c>
      <c r="G67" s="3"/>
      <c r="H67" s="3"/>
    </row>
    <row r="68" spans="1:8" ht="11.25" customHeight="1" x14ac:dyDescent="0.2">
      <c r="A68" s="30">
        <v>6357</v>
      </c>
      <c r="B68" s="31" t="s">
        <v>70</v>
      </c>
      <c r="C68" s="32" t="s">
        <v>8</v>
      </c>
      <c r="D68" s="32" t="s">
        <v>24</v>
      </c>
      <c r="E68" s="20">
        <v>0.05</v>
      </c>
      <c r="F68" s="23">
        <f t="shared" si="0"/>
        <v>5.9810000000000008</v>
      </c>
      <c r="G68" s="3"/>
      <c r="H68" s="3"/>
    </row>
    <row r="69" spans="1:8" ht="11.25" customHeight="1" x14ac:dyDescent="0.2">
      <c r="A69" s="30">
        <v>6358</v>
      </c>
      <c r="B69" s="31" t="s">
        <v>71</v>
      </c>
      <c r="C69" s="32" t="s">
        <v>8</v>
      </c>
      <c r="D69" s="32" t="s">
        <v>24</v>
      </c>
      <c r="E69" s="20">
        <v>1</v>
      </c>
      <c r="F69" s="23">
        <f t="shared" si="0"/>
        <v>119.62</v>
      </c>
      <c r="G69" s="3"/>
      <c r="H69" s="3"/>
    </row>
    <row r="70" spans="1:8" ht="11.25" customHeight="1" x14ac:dyDescent="0.2">
      <c r="A70" s="30">
        <v>6281</v>
      </c>
      <c r="B70" s="31" t="s">
        <v>72</v>
      </c>
      <c r="C70" s="32" t="s">
        <v>8</v>
      </c>
      <c r="D70" s="32" t="s">
        <v>24</v>
      </c>
      <c r="E70" s="20">
        <v>1</v>
      </c>
      <c r="F70" s="23">
        <f t="shared" si="0"/>
        <v>119.62</v>
      </c>
      <c r="G70" s="3"/>
      <c r="H70" s="3"/>
    </row>
    <row r="71" spans="1:8" ht="11.25" customHeight="1" x14ac:dyDescent="0.2">
      <c r="A71" s="30">
        <v>7178</v>
      </c>
      <c r="B71" s="31" t="s">
        <v>73</v>
      </c>
      <c r="C71" s="32" t="s">
        <v>8</v>
      </c>
      <c r="D71" s="32" t="s">
        <v>24</v>
      </c>
      <c r="E71" s="20">
        <v>0.06</v>
      </c>
      <c r="F71" s="23">
        <f t="shared" si="0"/>
        <v>7.1772</v>
      </c>
      <c r="G71" s="3"/>
      <c r="H71" s="3"/>
    </row>
    <row r="72" spans="1:8" ht="11.25" customHeight="1" x14ac:dyDescent="0.2">
      <c r="A72" s="30">
        <v>7141</v>
      </c>
      <c r="B72" s="31" t="s">
        <v>74</v>
      </c>
      <c r="C72" s="32" t="s">
        <v>8</v>
      </c>
      <c r="D72" s="32" t="s">
        <v>24</v>
      </c>
      <c r="E72" s="20">
        <v>3</v>
      </c>
      <c r="F72" s="23">
        <f t="shared" si="0"/>
        <v>358.86</v>
      </c>
      <c r="G72" s="3"/>
      <c r="H72" s="3"/>
    </row>
    <row r="73" spans="1:8" ht="11.25" customHeight="1" x14ac:dyDescent="0.2">
      <c r="A73" s="30">
        <v>7175</v>
      </c>
      <c r="B73" s="31" t="s">
        <v>75</v>
      </c>
      <c r="C73" s="32" t="s">
        <v>8</v>
      </c>
      <c r="D73" s="32" t="s">
        <v>24</v>
      </c>
      <c r="E73" s="20">
        <v>3</v>
      </c>
      <c r="F73" s="23">
        <f t="shared" ref="F73:F136" si="1">E73*F$5</f>
        <v>358.86</v>
      </c>
      <c r="G73" s="3"/>
      <c r="H73" s="3"/>
    </row>
    <row r="74" spans="1:8" ht="11.25" customHeight="1" x14ac:dyDescent="0.2">
      <c r="A74" s="30">
        <v>7182</v>
      </c>
      <c r="B74" s="31" t="s">
        <v>76</v>
      </c>
      <c r="C74" s="32" t="s">
        <v>8</v>
      </c>
      <c r="D74" s="32" t="s">
        <v>24</v>
      </c>
      <c r="E74" s="20">
        <v>0.5</v>
      </c>
      <c r="F74" s="23">
        <f t="shared" si="1"/>
        <v>59.81</v>
      </c>
      <c r="G74" s="3"/>
      <c r="H74" s="3"/>
    </row>
    <row r="75" spans="1:8" ht="11.25" customHeight="1" x14ac:dyDescent="0.2">
      <c r="A75" s="30">
        <v>7183</v>
      </c>
      <c r="B75" s="31" t="s">
        <v>77</v>
      </c>
      <c r="C75" s="32" t="s">
        <v>8</v>
      </c>
      <c r="D75" s="32" t="s">
        <v>24</v>
      </c>
      <c r="E75" s="20">
        <v>0.5</v>
      </c>
      <c r="F75" s="23">
        <f t="shared" si="1"/>
        <v>59.81</v>
      </c>
      <c r="G75" s="3"/>
      <c r="H75" s="3"/>
    </row>
    <row r="76" spans="1:8" ht="11.25" customHeight="1" x14ac:dyDescent="0.2">
      <c r="A76" s="30">
        <v>7186</v>
      </c>
      <c r="B76" s="31" t="s">
        <v>78</v>
      </c>
      <c r="C76" s="32" t="s">
        <v>8</v>
      </c>
      <c r="D76" s="32" t="s">
        <v>24</v>
      </c>
      <c r="E76" s="20">
        <v>2</v>
      </c>
      <c r="F76" s="23">
        <f t="shared" si="1"/>
        <v>239.24</v>
      </c>
      <c r="G76" s="3"/>
      <c r="H76" s="3"/>
    </row>
    <row r="77" spans="1:8" ht="11.25" customHeight="1" x14ac:dyDescent="0.2">
      <c r="A77" s="30">
        <v>7189</v>
      </c>
      <c r="B77" s="31" t="s">
        <v>79</v>
      </c>
      <c r="C77" s="32" t="s">
        <v>8</v>
      </c>
      <c r="D77" s="32" t="s">
        <v>24</v>
      </c>
      <c r="E77" s="20">
        <v>2</v>
      </c>
      <c r="F77" s="23">
        <f t="shared" si="1"/>
        <v>239.24</v>
      </c>
      <c r="G77" s="3"/>
      <c r="H77" s="3"/>
    </row>
    <row r="78" spans="1:8" ht="11.25" customHeight="1" x14ac:dyDescent="0.2">
      <c r="A78" s="30">
        <v>6373</v>
      </c>
      <c r="B78" s="31" t="s">
        <v>80</v>
      </c>
      <c r="C78" s="32" t="s">
        <v>8</v>
      </c>
      <c r="D78" s="32" t="s">
        <v>24</v>
      </c>
      <c r="E78" s="20">
        <v>6</v>
      </c>
      <c r="F78" s="23">
        <f t="shared" si="1"/>
        <v>717.72</v>
      </c>
      <c r="G78" s="3"/>
      <c r="H78" s="3"/>
    </row>
    <row r="79" spans="1:8" ht="11.25" customHeight="1" x14ac:dyDescent="0.2">
      <c r="A79" s="30">
        <v>6374</v>
      </c>
      <c r="B79" s="31" t="s">
        <v>81</v>
      </c>
      <c r="C79" s="32" t="s">
        <v>8</v>
      </c>
      <c r="D79" s="32" t="s">
        <v>24</v>
      </c>
      <c r="E79" s="20">
        <v>0.5</v>
      </c>
      <c r="F79" s="23">
        <f t="shared" si="1"/>
        <v>59.81</v>
      </c>
      <c r="G79" s="3"/>
      <c r="H79" s="3"/>
    </row>
    <row r="80" spans="1:8" ht="11.25" customHeight="1" x14ac:dyDescent="0.2">
      <c r="A80" s="30">
        <v>6375</v>
      </c>
      <c r="B80" s="31" t="s">
        <v>82</v>
      </c>
      <c r="C80" s="32" t="s">
        <v>8</v>
      </c>
      <c r="D80" s="32" t="s">
        <v>24</v>
      </c>
      <c r="E80" s="20">
        <v>0.5</v>
      </c>
      <c r="F80" s="23">
        <f t="shared" si="1"/>
        <v>59.81</v>
      </c>
      <c r="G80" s="3"/>
      <c r="H80" s="3"/>
    </row>
    <row r="81" spans="1:8" ht="11.25" customHeight="1" x14ac:dyDescent="0.2">
      <c r="A81" s="30">
        <v>7176</v>
      </c>
      <c r="B81" s="31" t="s">
        <v>83</v>
      </c>
      <c r="C81" s="32" t="s">
        <v>8</v>
      </c>
      <c r="D81" s="32" t="s">
        <v>24</v>
      </c>
      <c r="E81" s="20">
        <v>3</v>
      </c>
      <c r="F81" s="23">
        <f t="shared" si="1"/>
        <v>358.86</v>
      </c>
      <c r="G81" s="3"/>
      <c r="H81" s="3"/>
    </row>
    <row r="82" spans="1:8" ht="11.25" customHeight="1" x14ac:dyDescent="0.2">
      <c r="A82" s="30">
        <v>6376</v>
      </c>
      <c r="B82" s="31" t="s">
        <v>84</v>
      </c>
      <c r="C82" s="32" t="s">
        <v>8</v>
      </c>
      <c r="D82" s="32" t="s">
        <v>24</v>
      </c>
      <c r="E82" s="20">
        <v>2</v>
      </c>
      <c r="F82" s="23">
        <f t="shared" si="1"/>
        <v>239.24</v>
      </c>
      <c r="G82" s="3"/>
      <c r="H82" s="3"/>
    </row>
    <row r="83" spans="1:8" ht="11.25" customHeight="1" x14ac:dyDescent="0.2">
      <c r="A83" s="30">
        <v>6346</v>
      </c>
      <c r="B83" s="31" t="s">
        <v>631</v>
      </c>
      <c r="C83" s="32" t="s">
        <v>8</v>
      </c>
      <c r="D83" s="32" t="s">
        <v>24</v>
      </c>
      <c r="E83" s="20">
        <v>2</v>
      </c>
      <c r="F83" s="23">
        <f t="shared" si="1"/>
        <v>239.24</v>
      </c>
      <c r="G83" s="3"/>
      <c r="H83" s="3"/>
    </row>
    <row r="84" spans="1:8" ht="11.25" customHeight="1" x14ac:dyDescent="0.2">
      <c r="A84" s="30">
        <v>6347</v>
      </c>
      <c r="B84" s="31" t="s">
        <v>85</v>
      </c>
      <c r="C84" s="32" t="s">
        <v>8</v>
      </c>
      <c r="D84" s="32" t="s">
        <v>24</v>
      </c>
      <c r="E84" s="20">
        <v>0.9</v>
      </c>
      <c r="F84" s="23">
        <f t="shared" si="1"/>
        <v>107.658</v>
      </c>
      <c r="G84" s="3"/>
      <c r="H84" s="4"/>
    </row>
    <row r="85" spans="1:8" ht="11.25" customHeight="1" x14ac:dyDescent="0.2">
      <c r="A85" s="30">
        <v>6629</v>
      </c>
      <c r="B85" s="31" t="s">
        <v>86</v>
      </c>
      <c r="C85" s="32" t="s">
        <v>8</v>
      </c>
      <c r="D85" s="32" t="s">
        <v>24</v>
      </c>
      <c r="E85" s="20">
        <v>3</v>
      </c>
      <c r="F85" s="23">
        <f t="shared" si="1"/>
        <v>358.86</v>
      </c>
      <c r="G85" s="3"/>
      <c r="H85" s="4"/>
    </row>
    <row r="86" spans="1:8" ht="11.25" customHeight="1" x14ac:dyDescent="0.2">
      <c r="A86" s="30">
        <v>6348</v>
      </c>
      <c r="B86" s="31" t="s">
        <v>87</v>
      </c>
      <c r="C86" s="32" t="s">
        <v>8</v>
      </c>
      <c r="D86" s="32" t="s">
        <v>24</v>
      </c>
      <c r="E86" s="20">
        <v>3</v>
      </c>
      <c r="F86" s="23">
        <f t="shared" si="1"/>
        <v>358.86</v>
      </c>
      <c r="G86" s="3"/>
      <c r="H86" s="4"/>
    </row>
    <row r="87" spans="1:8" ht="11.25" customHeight="1" x14ac:dyDescent="0.2">
      <c r="A87" s="30">
        <v>6349</v>
      </c>
      <c r="B87" s="31" t="s">
        <v>88</v>
      </c>
      <c r="C87" s="32" t="s">
        <v>8</v>
      </c>
      <c r="D87" s="32" t="s">
        <v>24</v>
      </c>
      <c r="E87" s="20">
        <v>3</v>
      </c>
      <c r="F87" s="23">
        <f t="shared" si="1"/>
        <v>358.86</v>
      </c>
      <c r="G87" s="3"/>
      <c r="H87" s="4"/>
    </row>
    <row r="88" spans="1:8" ht="11.25" customHeight="1" x14ac:dyDescent="0.2">
      <c r="A88" s="30">
        <v>6972</v>
      </c>
      <c r="B88" s="31" t="s">
        <v>89</v>
      </c>
      <c r="C88" s="32" t="s">
        <v>8</v>
      </c>
      <c r="D88" s="32" t="s">
        <v>24</v>
      </c>
      <c r="E88" s="20">
        <v>2</v>
      </c>
      <c r="F88" s="23">
        <f t="shared" si="1"/>
        <v>239.24</v>
      </c>
      <c r="G88" s="3"/>
      <c r="H88" s="4"/>
    </row>
    <row r="89" spans="1:8" ht="11.25" customHeight="1" x14ac:dyDescent="0.2">
      <c r="A89" s="30">
        <v>6350</v>
      </c>
      <c r="B89" s="31" t="s">
        <v>90</v>
      </c>
      <c r="C89" s="32" t="s">
        <v>8</v>
      </c>
      <c r="D89" s="32" t="s">
        <v>24</v>
      </c>
      <c r="E89" s="20">
        <v>0.3</v>
      </c>
      <c r="F89" s="23">
        <f t="shared" si="1"/>
        <v>35.886000000000003</v>
      </c>
      <c r="G89" s="3"/>
      <c r="H89" s="4"/>
    </row>
    <row r="90" spans="1:8" ht="11.25" customHeight="1" x14ac:dyDescent="0.2">
      <c r="A90" s="30">
        <v>6353</v>
      </c>
      <c r="B90" s="31" t="s">
        <v>91</v>
      </c>
      <c r="C90" s="32" t="s">
        <v>8</v>
      </c>
      <c r="D90" s="32" t="s">
        <v>24</v>
      </c>
      <c r="E90" s="20">
        <v>1</v>
      </c>
      <c r="F90" s="23">
        <f t="shared" si="1"/>
        <v>119.62</v>
      </c>
      <c r="G90" s="3"/>
      <c r="H90" s="4"/>
    </row>
    <row r="91" spans="1:8" ht="11.25" customHeight="1" x14ac:dyDescent="0.2">
      <c r="A91" s="30">
        <v>6354</v>
      </c>
      <c r="B91" s="31" t="s">
        <v>92</v>
      </c>
      <c r="C91" s="32" t="s">
        <v>8</v>
      </c>
      <c r="D91" s="32" t="s">
        <v>24</v>
      </c>
      <c r="E91" s="20">
        <v>0.3</v>
      </c>
      <c r="F91" s="23">
        <f t="shared" si="1"/>
        <v>35.886000000000003</v>
      </c>
      <c r="G91" s="3"/>
      <c r="H91" s="4"/>
    </row>
    <row r="92" spans="1:8" ht="11.25" customHeight="1" x14ac:dyDescent="0.2">
      <c r="A92" s="30">
        <v>6355</v>
      </c>
      <c r="B92" s="31" t="s">
        <v>93</v>
      </c>
      <c r="C92" s="32" t="s">
        <v>8</v>
      </c>
      <c r="D92" s="32" t="s">
        <v>24</v>
      </c>
      <c r="E92" s="20">
        <v>0.15</v>
      </c>
      <c r="F92" s="23">
        <f t="shared" si="1"/>
        <v>17.943000000000001</v>
      </c>
      <c r="G92" s="3"/>
      <c r="H92" s="4"/>
    </row>
    <row r="93" spans="1:8" ht="11.25" customHeight="1" x14ac:dyDescent="0.2">
      <c r="A93" s="30">
        <v>6973</v>
      </c>
      <c r="B93" s="31" t="s">
        <v>94</v>
      </c>
      <c r="C93" s="32" t="s">
        <v>8</v>
      </c>
      <c r="D93" s="32" t="s">
        <v>24</v>
      </c>
      <c r="E93" s="20">
        <v>0.5</v>
      </c>
      <c r="F93" s="23">
        <f t="shared" si="1"/>
        <v>59.81</v>
      </c>
      <c r="G93" s="3"/>
      <c r="H93" s="4"/>
    </row>
    <row r="94" spans="1:8" ht="11.25" customHeight="1" x14ac:dyDescent="0.2">
      <c r="A94" s="30">
        <v>6370</v>
      </c>
      <c r="B94" s="31" t="s">
        <v>95</v>
      </c>
      <c r="C94" s="32" t="s">
        <v>8</v>
      </c>
      <c r="D94" s="32" t="s">
        <v>24</v>
      </c>
      <c r="E94" s="20">
        <v>0.5</v>
      </c>
      <c r="F94" s="23">
        <f t="shared" si="1"/>
        <v>59.81</v>
      </c>
      <c r="G94" s="3"/>
      <c r="H94" s="4"/>
    </row>
    <row r="95" spans="1:8" ht="11.25" customHeight="1" x14ac:dyDescent="0.2">
      <c r="A95" s="30">
        <v>6540</v>
      </c>
      <c r="B95" s="31" t="s">
        <v>96</v>
      </c>
      <c r="C95" s="32" t="s">
        <v>8</v>
      </c>
      <c r="D95" s="32" t="s">
        <v>24</v>
      </c>
      <c r="E95" s="20">
        <v>0.16</v>
      </c>
      <c r="F95" s="23">
        <f t="shared" si="1"/>
        <v>19.139200000000002</v>
      </c>
      <c r="G95" s="3"/>
      <c r="H95" s="4"/>
    </row>
    <row r="96" spans="1:8" ht="11.25" customHeight="1" x14ac:dyDescent="0.2">
      <c r="A96" s="30">
        <v>7198</v>
      </c>
      <c r="B96" s="31" t="s">
        <v>97</v>
      </c>
      <c r="C96" s="32" t="s">
        <v>8</v>
      </c>
      <c r="D96" s="32" t="s">
        <v>24</v>
      </c>
      <c r="E96" s="20">
        <v>0.19</v>
      </c>
      <c r="F96" s="23">
        <f t="shared" si="1"/>
        <v>22.727800000000002</v>
      </c>
      <c r="G96" s="3"/>
      <c r="H96" s="4"/>
    </row>
    <row r="97" spans="1:8" ht="11.25" customHeight="1" x14ac:dyDescent="0.2">
      <c r="A97" s="30">
        <v>6470</v>
      </c>
      <c r="B97" s="31" t="s">
        <v>98</v>
      </c>
      <c r="C97" s="32" t="s">
        <v>8</v>
      </c>
      <c r="D97" s="32" t="s">
        <v>24</v>
      </c>
      <c r="E97" s="20">
        <v>0.5</v>
      </c>
      <c r="F97" s="23">
        <f t="shared" si="1"/>
        <v>59.81</v>
      </c>
      <c r="G97" s="3"/>
      <c r="H97" s="4"/>
    </row>
    <row r="98" spans="1:8" ht="11.25" customHeight="1" x14ac:dyDescent="0.2">
      <c r="A98" s="30">
        <v>6359</v>
      </c>
      <c r="B98" s="31" t="s">
        <v>99</v>
      </c>
      <c r="C98" s="32" t="s">
        <v>8</v>
      </c>
      <c r="D98" s="32" t="s">
        <v>24</v>
      </c>
      <c r="E98" s="20">
        <v>0.2</v>
      </c>
      <c r="F98" s="23">
        <f t="shared" si="1"/>
        <v>23.924000000000003</v>
      </c>
      <c r="G98" s="3"/>
      <c r="H98" s="4"/>
    </row>
    <row r="99" spans="1:8" ht="11.25" customHeight="1" x14ac:dyDescent="0.2">
      <c r="A99" s="30">
        <v>6212</v>
      </c>
      <c r="B99" s="31" t="s">
        <v>100</v>
      </c>
      <c r="C99" s="32" t="s">
        <v>8</v>
      </c>
      <c r="D99" s="32" t="s">
        <v>24</v>
      </c>
      <c r="E99" s="20">
        <v>0.85</v>
      </c>
      <c r="F99" s="23">
        <f t="shared" si="1"/>
        <v>101.67700000000001</v>
      </c>
      <c r="G99" s="3"/>
      <c r="H99" s="4"/>
    </row>
    <row r="100" spans="1:8" ht="11.25" customHeight="1" x14ac:dyDescent="0.2">
      <c r="A100" s="30">
        <v>6249</v>
      </c>
      <c r="B100" s="31" t="s">
        <v>101</v>
      </c>
      <c r="C100" s="32" t="s">
        <v>8</v>
      </c>
      <c r="D100" s="32" t="s">
        <v>24</v>
      </c>
      <c r="E100" s="20">
        <v>0.7</v>
      </c>
      <c r="F100" s="23">
        <f t="shared" si="1"/>
        <v>83.733999999999995</v>
      </c>
      <c r="G100" s="3"/>
      <c r="H100" s="4"/>
    </row>
    <row r="101" spans="1:8" ht="11.25" customHeight="1" x14ac:dyDescent="0.2">
      <c r="A101" s="30">
        <v>6213</v>
      </c>
      <c r="B101" s="31" t="s">
        <v>102</v>
      </c>
      <c r="C101" s="32" t="s">
        <v>8</v>
      </c>
      <c r="D101" s="32" t="s">
        <v>24</v>
      </c>
      <c r="E101" s="20">
        <v>1.25</v>
      </c>
      <c r="F101" s="23">
        <f t="shared" si="1"/>
        <v>149.52500000000001</v>
      </c>
      <c r="G101" s="3"/>
      <c r="H101" s="4"/>
    </row>
    <row r="102" spans="1:8" ht="11.25" customHeight="1" x14ac:dyDescent="0.2">
      <c r="A102" s="30">
        <v>6217</v>
      </c>
      <c r="B102" s="31" t="s">
        <v>103</v>
      </c>
      <c r="C102" s="32" t="s">
        <v>8</v>
      </c>
      <c r="D102" s="32" t="s">
        <v>24</v>
      </c>
      <c r="E102" s="20">
        <v>1.1000000000000001</v>
      </c>
      <c r="F102" s="23">
        <f t="shared" si="1"/>
        <v>131.58200000000002</v>
      </c>
      <c r="G102" s="3"/>
      <c r="H102" s="4"/>
    </row>
    <row r="103" spans="1:8" ht="11.25" customHeight="1" x14ac:dyDescent="0.2">
      <c r="A103" s="30">
        <v>7201</v>
      </c>
      <c r="B103" s="31" t="s">
        <v>104</v>
      </c>
      <c r="C103" s="32" t="s">
        <v>8</v>
      </c>
      <c r="D103" s="32" t="s">
        <v>24</v>
      </c>
      <c r="E103" s="20">
        <v>0.75</v>
      </c>
      <c r="F103" s="23">
        <f t="shared" si="1"/>
        <v>89.715000000000003</v>
      </c>
      <c r="G103" s="3"/>
      <c r="H103" s="4"/>
    </row>
    <row r="104" spans="1:8" ht="11.25" customHeight="1" x14ac:dyDescent="0.2">
      <c r="A104" s="30">
        <v>7204</v>
      </c>
      <c r="B104" s="31" t="s">
        <v>105</v>
      </c>
      <c r="C104" s="32" t="s">
        <v>8</v>
      </c>
      <c r="D104" s="32" t="s">
        <v>24</v>
      </c>
      <c r="E104" s="20">
        <v>0.75</v>
      </c>
      <c r="F104" s="23">
        <f t="shared" si="1"/>
        <v>89.715000000000003</v>
      </c>
      <c r="G104" s="3"/>
      <c r="H104" s="4"/>
    </row>
    <row r="105" spans="1:8" ht="11.25" customHeight="1" x14ac:dyDescent="0.2">
      <c r="A105" s="30">
        <v>7046</v>
      </c>
      <c r="B105" s="31" t="s">
        <v>106</v>
      </c>
      <c r="C105" s="32" t="s">
        <v>8</v>
      </c>
      <c r="D105" s="32" t="s">
        <v>24</v>
      </c>
      <c r="E105" s="20">
        <v>3</v>
      </c>
      <c r="F105" s="23">
        <f t="shared" si="1"/>
        <v>358.86</v>
      </c>
      <c r="G105" s="3"/>
      <c r="H105" s="4"/>
    </row>
    <row r="106" spans="1:8" ht="11.25" customHeight="1" x14ac:dyDescent="0.2">
      <c r="A106" s="30">
        <v>6055</v>
      </c>
      <c r="B106" s="31" t="s">
        <v>107</v>
      </c>
      <c r="C106" s="32" t="s">
        <v>8</v>
      </c>
      <c r="D106" s="32" t="s">
        <v>24</v>
      </c>
      <c r="E106" s="20">
        <v>0.3</v>
      </c>
      <c r="F106" s="23">
        <f t="shared" si="1"/>
        <v>35.886000000000003</v>
      </c>
      <c r="G106" s="3"/>
      <c r="H106" s="4"/>
    </row>
    <row r="107" spans="1:8" ht="11.25" customHeight="1" x14ac:dyDescent="0.2">
      <c r="A107" s="30">
        <v>6289</v>
      </c>
      <c r="B107" s="31" t="s">
        <v>108</v>
      </c>
      <c r="C107" s="32" t="s">
        <v>8</v>
      </c>
      <c r="D107" s="32" t="s">
        <v>24</v>
      </c>
      <c r="E107" s="20">
        <v>4.5</v>
      </c>
      <c r="F107" s="23">
        <f t="shared" si="1"/>
        <v>538.29</v>
      </c>
      <c r="G107" s="3"/>
      <c r="H107" s="4"/>
    </row>
    <row r="108" spans="1:8" ht="11.25" customHeight="1" x14ac:dyDescent="0.2">
      <c r="A108" s="30">
        <v>6230</v>
      </c>
      <c r="B108" s="31" t="s">
        <v>109</v>
      </c>
      <c r="C108" s="32" t="s">
        <v>8</v>
      </c>
      <c r="D108" s="32" t="s">
        <v>24</v>
      </c>
      <c r="E108" s="20">
        <v>3</v>
      </c>
      <c r="F108" s="23">
        <f t="shared" si="1"/>
        <v>358.86</v>
      </c>
      <c r="G108" s="3"/>
      <c r="H108" s="4"/>
    </row>
    <row r="109" spans="1:8" ht="11.25" customHeight="1" x14ac:dyDescent="0.2">
      <c r="A109" s="30">
        <v>6608</v>
      </c>
      <c r="B109" s="31" t="s">
        <v>110</v>
      </c>
      <c r="C109" s="32" t="s">
        <v>8</v>
      </c>
      <c r="D109" s="32" t="s">
        <v>24</v>
      </c>
      <c r="E109" s="20">
        <v>4.5</v>
      </c>
      <c r="F109" s="23">
        <f t="shared" si="1"/>
        <v>538.29</v>
      </c>
      <c r="G109" s="3"/>
      <c r="H109" s="4"/>
    </row>
    <row r="110" spans="1:8" ht="11.25" customHeight="1" x14ac:dyDescent="0.2">
      <c r="A110" s="30">
        <v>6296</v>
      </c>
      <c r="B110" s="31" t="s">
        <v>111</v>
      </c>
      <c r="C110" s="32" t="s">
        <v>8</v>
      </c>
      <c r="D110" s="32" t="s">
        <v>24</v>
      </c>
      <c r="E110" s="20">
        <v>0.2</v>
      </c>
      <c r="F110" s="23">
        <f t="shared" si="1"/>
        <v>23.924000000000003</v>
      </c>
      <c r="G110" s="3"/>
      <c r="H110" s="4"/>
    </row>
    <row r="111" spans="1:8" ht="11.25" customHeight="1" x14ac:dyDescent="0.2">
      <c r="A111" s="30">
        <v>6297</v>
      </c>
      <c r="B111" s="31" t="s">
        <v>112</v>
      </c>
      <c r="C111" s="32" t="s">
        <v>8</v>
      </c>
      <c r="D111" s="32" t="s">
        <v>24</v>
      </c>
      <c r="E111" s="20">
        <v>0.2</v>
      </c>
      <c r="F111" s="23">
        <f t="shared" si="1"/>
        <v>23.924000000000003</v>
      </c>
      <c r="G111" s="3"/>
      <c r="H111" s="4"/>
    </row>
    <row r="112" spans="1:8" ht="11.25" customHeight="1" x14ac:dyDescent="0.2">
      <c r="A112" s="30">
        <v>6298</v>
      </c>
      <c r="B112" s="31" t="s">
        <v>113</v>
      </c>
      <c r="C112" s="32" t="s">
        <v>8</v>
      </c>
      <c r="D112" s="32" t="s">
        <v>24</v>
      </c>
      <c r="E112" s="20">
        <v>0.2</v>
      </c>
      <c r="F112" s="23">
        <f t="shared" si="1"/>
        <v>23.924000000000003</v>
      </c>
      <c r="G112" s="3"/>
      <c r="H112" s="4"/>
    </row>
    <row r="113" spans="1:8" ht="11.25" customHeight="1" x14ac:dyDescent="0.2">
      <c r="A113" s="30">
        <v>6290</v>
      </c>
      <c r="B113" s="31" t="s">
        <v>114</v>
      </c>
      <c r="C113" s="32" t="s">
        <v>8</v>
      </c>
      <c r="D113" s="32" t="s">
        <v>24</v>
      </c>
      <c r="E113" s="20">
        <v>3</v>
      </c>
      <c r="F113" s="23">
        <f t="shared" si="1"/>
        <v>358.86</v>
      </c>
      <c r="G113" s="3"/>
      <c r="H113" s="4"/>
    </row>
    <row r="114" spans="1:8" ht="11.25" customHeight="1" x14ac:dyDescent="0.2">
      <c r="A114" s="30">
        <v>6291</v>
      </c>
      <c r="B114" s="31" t="s">
        <v>115</v>
      </c>
      <c r="C114" s="32" t="s">
        <v>8</v>
      </c>
      <c r="D114" s="32" t="s">
        <v>24</v>
      </c>
      <c r="E114" s="20">
        <v>3</v>
      </c>
      <c r="F114" s="23">
        <f t="shared" si="1"/>
        <v>358.86</v>
      </c>
      <c r="G114" s="3"/>
      <c r="H114" s="4"/>
    </row>
    <row r="115" spans="1:8" ht="11.25" customHeight="1" x14ac:dyDescent="0.2">
      <c r="A115" s="30">
        <v>6061</v>
      </c>
      <c r="B115" s="31" t="s">
        <v>116</v>
      </c>
      <c r="C115" s="32" t="s">
        <v>8</v>
      </c>
      <c r="D115" s="32" t="s">
        <v>24</v>
      </c>
      <c r="E115" s="20">
        <v>3</v>
      </c>
      <c r="F115" s="23">
        <f t="shared" si="1"/>
        <v>358.86</v>
      </c>
      <c r="G115" s="3"/>
      <c r="H115" s="4"/>
    </row>
    <row r="116" spans="1:8" ht="11.25" customHeight="1" x14ac:dyDescent="0.2">
      <c r="A116" s="30">
        <v>6056</v>
      </c>
      <c r="B116" s="31" t="s">
        <v>117</v>
      </c>
      <c r="C116" s="32" t="s">
        <v>8</v>
      </c>
      <c r="D116" s="32" t="s">
        <v>24</v>
      </c>
      <c r="E116" s="20">
        <v>2</v>
      </c>
      <c r="F116" s="23">
        <f t="shared" si="1"/>
        <v>239.24</v>
      </c>
      <c r="G116" s="3"/>
      <c r="H116" s="4"/>
    </row>
    <row r="117" spans="1:8" ht="11.25" customHeight="1" x14ac:dyDescent="0.2">
      <c r="A117" s="30">
        <v>92327</v>
      </c>
      <c r="B117" s="31" t="s">
        <v>118</v>
      </c>
      <c r="C117" s="32" t="s">
        <v>8</v>
      </c>
      <c r="D117" s="32" t="s">
        <v>3</v>
      </c>
      <c r="E117" s="20">
        <v>2.46</v>
      </c>
      <c r="F117" s="23">
        <f t="shared" si="1"/>
        <v>294.26519999999999</v>
      </c>
      <c r="G117" s="3"/>
      <c r="H117" s="4"/>
    </row>
    <row r="118" spans="1:8" ht="11.25" customHeight="1" x14ac:dyDescent="0.2">
      <c r="A118" s="30">
        <v>6133</v>
      </c>
      <c r="B118" s="31" t="s">
        <v>119</v>
      </c>
      <c r="C118" s="32" t="s">
        <v>120</v>
      </c>
      <c r="D118" s="32" t="s">
        <v>3</v>
      </c>
      <c r="E118" s="20">
        <v>10.18</v>
      </c>
      <c r="F118" s="23">
        <f t="shared" si="1"/>
        <v>1217.7316000000001</v>
      </c>
      <c r="G118" s="3"/>
      <c r="H118" s="4"/>
    </row>
    <row r="119" spans="1:8" ht="11.25" customHeight="1" x14ac:dyDescent="0.2">
      <c r="A119" s="30">
        <v>6317</v>
      </c>
      <c r="B119" s="31" t="s">
        <v>121</v>
      </c>
      <c r="C119" s="32" t="s">
        <v>8</v>
      </c>
      <c r="D119" s="32" t="s">
        <v>3</v>
      </c>
      <c r="E119" s="20">
        <v>3</v>
      </c>
      <c r="F119" s="23">
        <f t="shared" si="1"/>
        <v>358.86</v>
      </c>
      <c r="G119" s="3"/>
      <c r="H119" s="4"/>
    </row>
    <row r="120" spans="1:8" ht="11.25" customHeight="1" x14ac:dyDescent="0.2">
      <c r="A120" s="30">
        <v>6466</v>
      </c>
      <c r="B120" s="31" t="s">
        <v>122</v>
      </c>
      <c r="C120" s="32" t="s">
        <v>8</v>
      </c>
      <c r="D120" s="32" t="s">
        <v>3</v>
      </c>
      <c r="E120" s="20">
        <v>3</v>
      </c>
      <c r="F120" s="23">
        <f t="shared" si="1"/>
        <v>358.86</v>
      </c>
      <c r="G120" s="3"/>
      <c r="H120" s="4"/>
    </row>
    <row r="121" spans="1:8" ht="11.25" customHeight="1" x14ac:dyDescent="0.2">
      <c r="A121" s="30">
        <v>6642</v>
      </c>
      <c r="B121" s="31" t="s">
        <v>123</v>
      </c>
      <c r="C121" s="32" t="s">
        <v>8</v>
      </c>
      <c r="D121" s="32" t="s">
        <v>3</v>
      </c>
      <c r="E121" s="20">
        <v>0.5</v>
      </c>
      <c r="F121" s="23">
        <f t="shared" si="1"/>
        <v>59.81</v>
      </c>
      <c r="G121" s="3"/>
      <c r="H121" s="4"/>
    </row>
    <row r="122" spans="1:8" ht="11.25" customHeight="1" x14ac:dyDescent="0.2">
      <c r="A122" s="30">
        <v>6378</v>
      </c>
      <c r="B122" s="31" t="s">
        <v>124</v>
      </c>
      <c r="C122" s="32" t="s">
        <v>8</v>
      </c>
      <c r="D122" s="32" t="s">
        <v>3</v>
      </c>
      <c r="E122" s="20">
        <v>1.5</v>
      </c>
      <c r="F122" s="23">
        <f t="shared" si="1"/>
        <v>179.43</v>
      </c>
      <c r="G122" s="3"/>
      <c r="H122" s="4"/>
    </row>
    <row r="123" spans="1:8" ht="11.25" customHeight="1" x14ac:dyDescent="0.2">
      <c r="A123" s="30">
        <v>7029</v>
      </c>
      <c r="B123" s="31" t="s">
        <v>125</v>
      </c>
      <c r="C123" s="32" t="s">
        <v>8</v>
      </c>
      <c r="D123" s="32" t="s">
        <v>3</v>
      </c>
      <c r="E123" s="20">
        <v>0.76</v>
      </c>
      <c r="F123" s="23">
        <f t="shared" si="1"/>
        <v>90.911200000000008</v>
      </c>
      <c r="G123" s="3"/>
      <c r="H123" s="4"/>
    </row>
    <row r="124" spans="1:8" ht="11.25" customHeight="1" x14ac:dyDescent="0.2">
      <c r="A124" s="30">
        <v>7037</v>
      </c>
      <c r="B124" s="31" t="s">
        <v>126</v>
      </c>
      <c r="C124" s="32" t="s">
        <v>8</v>
      </c>
      <c r="D124" s="32" t="s">
        <v>3</v>
      </c>
      <c r="E124" s="20">
        <v>1</v>
      </c>
      <c r="F124" s="23">
        <f t="shared" si="1"/>
        <v>119.62</v>
      </c>
      <c r="G124" s="3"/>
      <c r="H124" s="4"/>
    </row>
    <row r="125" spans="1:8" ht="11.25" customHeight="1" x14ac:dyDescent="0.2">
      <c r="A125" s="30">
        <v>7036</v>
      </c>
      <c r="B125" s="31" t="s">
        <v>127</v>
      </c>
      <c r="C125" s="32" t="s">
        <v>8</v>
      </c>
      <c r="D125" s="32" t="s">
        <v>3</v>
      </c>
      <c r="E125" s="20">
        <v>1</v>
      </c>
      <c r="F125" s="23">
        <f t="shared" si="1"/>
        <v>119.62</v>
      </c>
      <c r="G125" s="3"/>
      <c r="H125" s="4"/>
    </row>
    <row r="126" spans="1:8" ht="11.25" customHeight="1" x14ac:dyDescent="0.2">
      <c r="A126" s="30">
        <v>6255</v>
      </c>
      <c r="B126" s="31" t="s">
        <v>128</v>
      </c>
      <c r="C126" s="32" t="s">
        <v>8</v>
      </c>
      <c r="D126" s="32" t="s">
        <v>3</v>
      </c>
      <c r="E126" s="20">
        <v>1.3</v>
      </c>
      <c r="F126" s="23">
        <f t="shared" si="1"/>
        <v>155.506</v>
      </c>
      <c r="G126" s="3"/>
      <c r="H126" s="4"/>
    </row>
    <row r="127" spans="1:8" ht="11.25" customHeight="1" x14ac:dyDescent="0.2">
      <c r="A127" s="30">
        <v>6982</v>
      </c>
      <c r="B127" s="31" t="s">
        <v>129</v>
      </c>
      <c r="C127" s="32" t="s">
        <v>8</v>
      </c>
      <c r="D127" s="32" t="s">
        <v>3</v>
      </c>
      <c r="E127" s="20">
        <v>1.3</v>
      </c>
      <c r="F127" s="23">
        <f t="shared" si="1"/>
        <v>155.506</v>
      </c>
      <c r="G127" s="3"/>
      <c r="H127" s="4"/>
    </row>
    <row r="128" spans="1:8" ht="11.25" customHeight="1" x14ac:dyDescent="0.2">
      <c r="A128" s="30">
        <v>7038</v>
      </c>
      <c r="B128" s="31" t="s">
        <v>130</v>
      </c>
      <c r="C128" s="32" t="s">
        <v>8</v>
      </c>
      <c r="D128" s="32" t="s">
        <v>3</v>
      </c>
      <c r="E128" s="20">
        <v>1.3</v>
      </c>
      <c r="F128" s="23">
        <f t="shared" si="1"/>
        <v>155.506</v>
      </c>
      <c r="G128" s="3"/>
      <c r="H128" s="4"/>
    </row>
    <row r="129" spans="1:8" ht="11.25" customHeight="1" x14ac:dyDescent="0.2">
      <c r="A129" s="30">
        <v>6379</v>
      </c>
      <c r="B129" s="31" t="s">
        <v>131</v>
      </c>
      <c r="C129" s="32" t="s">
        <v>19</v>
      </c>
      <c r="D129" s="32" t="s">
        <v>3</v>
      </c>
      <c r="E129" s="20">
        <v>15</v>
      </c>
      <c r="F129" s="23">
        <f t="shared" si="1"/>
        <v>1794.3000000000002</v>
      </c>
      <c r="G129" s="3"/>
      <c r="H129" s="4"/>
    </row>
    <row r="130" spans="1:8" ht="11.25" customHeight="1" x14ac:dyDescent="0.2">
      <c r="A130" s="30">
        <v>6380</v>
      </c>
      <c r="B130" s="31" t="s">
        <v>132</v>
      </c>
      <c r="C130" s="32" t="s">
        <v>19</v>
      </c>
      <c r="D130" s="32" t="s">
        <v>3</v>
      </c>
      <c r="E130" s="20">
        <v>13</v>
      </c>
      <c r="F130" s="23">
        <f t="shared" si="1"/>
        <v>1555.06</v>
      </c>
      <c r="G130" s="3"/>
      <c r="H130" s="4"/>
    </row>
    <row r="131" spans="1:8" ht="11.25" customHeight="1" x14ac:dyDescent="0.2">
      <c r="A131" s="30">
        <v>6381</v>
      </c>
      <c r="B131" s="31" t="s">
        <v>133</v>
      </c>
      <c r="C131" s="32" t="s">
        <v>8</v>
      </c>
      <c r="D131" s="32" t="s">
        <v>3</v>
      </c>
      <c r="E131" s="20">
        <v>1</v>
      </c>
      <c r="F131" s="23">
        <f t="shared" si="1"/>
        <v>119.62</v>
      </c>
      <c r="G131" s="3"/>
      <c r="H131" s="4"/>
    </row>
    <row r="132" spans="1:8" ht="11.25" customHeight="1" x14ac:dyDescent="0.2">
      <c r="A132" s="30">
        <v>6382</v>
      </c>
      <c r="B132" s="31" t="s">
        <v>134</v>
      </c>
      <c r="C132" s="32" t="s">
        <v>8</v>
      </c>
      <c r="D132" s="32" t="s">
        <v>3</v>
      </c>
      <c r="E132" s="20">
        <v>1</v>
      </c>
      <c r="F132" s="23">
        <f t="shared" si="1"/>
        <v>119.62</v>
      </c>
      <c r="G132" s="3"/>
      <c r="H132" s="4"/>
    </row>
    <row r="133" spans="1:8" ht="11.25" customHeight="1" x14ac:dyDescent="0.2">
      <c r="A133" s="30">
        <v>6318</v>
      </c>
      <c r="B133" s="31" t="s">
        <v>135</v>
      </c>
      <c r="C133" s="32" t="s">
        <v>8</v>
      </c>
      <c r="D133" s="32" t="s">
        <v>3</v>
      </c>
      <c r="E133" s="20">
        <v>1</v>
      </c>
      <c r="F133" s="23">
        <f t="shared" si="1"/>
        <v>119.62</v>
      </c>
      <c r="G133" s="3"/>
      <c r="H133" s="4"/>
    </row>
    <row r="134" spans="1:8" ht="11.25" customHeight="1" x14ac:dyDescent="0.2">
      <c r="A134" s="30">
        <v>92324</v>
      </c>
      <c r="B134" s="31" t="s">
        <v>136</v>
      </c>
      <c r="C134" s="32" t="s">
        <v>8</v>
      </c>
      <c r="D134" s="32" t="s">
        <v>3</v>
      </c>
      <c r="E134" s="20">
        <v>0.91</v>
      </c>
      <c r="F134" s="23">
        <f t="shared" si="1"/>
        <v>108.85420000000001</v>
      </c>
      <c r="G134" s="3"/>
      <c r="H134" s="4"/>
    </row>
    <row r="135" spans="1:8" ht="11.25" customHeight="1" x14ac:dyDescent="0.2">
      <c r="A135" s="30">
        <v>6415</v>
      </c>
      <c r="B135" s="31" t="s">
        <v>137</v>
      </c>
      <c r="C135" s="32" t="s">
        <v>19</v>
      </c>
      <c r="D135" s="32" t="s">
        <v>3</v>
      </c>
      <c r="E135" s="20">
        <v>1.3</v>
      </c>
      <c r="F135" s="23">
        <f t="shared" si="1"/>
        <v>155.506</v>
      </c>
      <c r="G135" s="3"/>
      <c r="H135" s="4"/>
    </row>
    <row r="136" spans="1:8" ht="11.25" customHeight="1" x14ac:dyDescent="0.2">
      <c r="A136" s="30">
        <v>6412</v>
      </c>
      <c r="B136" s="31" t="s">
        <v>138</v>
      </c>
      <c r="C136" s="32" t="s">
        <v>139</v>
      </c>
      <c r="D136" s="32" t="s">
        <v>3</v>
      </c>
      <c r="E136" s="20">
        <v>0.28000000000000003</v>
      </c>
      <c r="F136" s="23">
        <f t="shared" si="1"/>
        <v>33.493600000000008</v>
      </c>
      <c r="G136" s="3"/>
      <c r="H136" s="4"/>
    </row>
    <row r="137" spans="1:8" ht="11.25" customHeight="1" x14ac:dyDescent="0.2">
      <c r="A137" s="30">
        <v>6413</v>
      </c>
      <c r="B137" s="31" t="s">
        <v>140</v>
      </c>
      <c r="C137" s="32" t="s">
        <v>139</v>
      </c>
      <c r="D137" s="32" t="s">
        <v>3</v>
      </c>
      <c r="E137" s="20">
        <v>0.28000000000000003</v>
      </c>
      <c r="F137" s="23">
        <f t="shared" ref="F137:F200" si="2">E137*F$5</f>
        <v>33.493600000000008</v>
      </c>
      <c r="G137" s="3"/>
      <c r="H137" s="4"/>
    </row>
    <row r="138" spans="1:8" ht="11.25" customHeight="1" x14ac:dyDescent="0.2">
      <c r="A138" s="30">
        <v>6414</v>
      </c>
      <c r="B138" s="31" t="s">
        <v>141</v>
      </c>
      <c r="C138" s="32" t="s">
        <v>19</v>
      </c>
      <c r="D138" s="32" t="s">
        <v>3</v>
      </c>
      <c r="E138" s="20">
        <v>2.1</v>
      </c>
      <c r="F138" s="23">
        <f t="shared" si="2"/>
        <v>251.20200000000003</v>
      </c>
      <c r="G138" s="3"/>
      <c r="H138" s="4"/>
    </row>
    <row r="139" spans="1:8" ht="11.25" customHeight="1" x14ac:dyDescent="0.2">
      <c r="A139" s="30">
        <v>6299</v>
      </c>
      <c r="B139" s="31" t="s">
        <v>142</v>
      </c>
      <c r="C139" s="32" t="s">
        <v>8</v>
      </c>
      <c r="D139" s="32" t="s">
        <v>3</v>
      </c>
      <c r="E139" s="20">
        <v>0.9</v>
      </c>
      <c r="F139" s="23">
        <f t="shared" si="2"/>
        <v>107.658</v>
      </c>
      <c r="G139" s="3"/>
      <c r="H139" s="4"/>
    </row>
    <row r="140" spans="1:8" ht="11.25" customHeight="1" x14ac:dyDescent="0.2">
      <c r="A140" s="30">
        <v>6641</v>
      </c>
      <c r="B140" s="31" t="s">
        <v>143</v>
      </c>
      <c r="C140" s="32" t="s">
        <v>144</v>
      </c>
      <c r="D140" s="32" t="s">
        <v>3</v>
      </c>
      <c r="E140" s="20">
        <v>0.34</v>
      </c>
      <c r="F140" s="23">
        <f t="shared" si="2"/>
        <v>40.670800000000007</v>
      </c>
      <c r="G140" s="3"/>
      <c r="H140" s="4"/>
    </row>
    <row r="141" spans="1:8" ht="11.25" customHeight="1" x14ac:dyDescent="0.2">
      <c r="A141" s="30">
        <v>6633</v>
      </c>
      <c r="B141" s="31" t="s">
        <v>145</v>
      </c>
      <c r="C141" s="32" t="s">
        <v>19</v>
      </c>
      <c r="D141" s="32" t="s">
        <v>3</v>
      </c>
      <c r="E141" s="20">
        <v>23</v>
      </c>
      <c r="F141" s="23">
        <f t="shared" si="2"/>
        <v>2751.26</v>
      </c>
      <c r="G141" s="3"/>
      <c r="H141" s="4"/>
    </row>
    <row r="142" spans="1:8" ht="11.25" customHeight="1" x14ac:dyDescent="0.2">
      <c r="A142" s="30">
        <v>6632</v>
      </c>
      <c r="B142" s="31" t="s">
        <v>146</v>
      </c>
      <c r="C142" s="32" t="s">
        <v>19</v>
      </c>
      <c r="D142" s="32" t="s">
        <v>3</v>
      </c>
      <c r="E142" s="20">
        <v>28</v>
      </c>
      <c r="F142" s="23">
        <f t="shared" si="2"/>
        <v>3349.36</v>
      </c>
      <c r="G142" s="3"/>
      <c r="H142" s="4"/>
    </row>
    <row r="143" spans="1:8" ht="11.25" customHeight="1" x14ac:dyDescent="0.2">
      <c r="A143" s="30">
        <v>6220</v>
      </c>
      <c r="B143" s="31" t="s">
        <v>147</v>
      </c>
      <c r="C143" s="32" t="s">
        <v>8</v>
      </c>
      <c r="D143" s="32" t="s">
        <v>3</v>
      </c>
      <c r="E143" s="20">
        <v>1.5</v>
      </c>
      <c r="F143" s="23">
        <f t="shared" si="2"/>
        <v>179.43</v>
      </c>
      <c r="G143" s="3"/>
      <c r="H143" s="4"/>
    </row>
    <row r="144" spans="1:8" ht="11.25" customHeight="1" x14ac:dyDescent="0.2">
      <c r="A144" s="30">
        <v>6221</v>
      </c>
      <c r="B144" s="31" t="s">
        <v>148</v>
      </c>
      <c r="C144" s="32" t="s">
        <v>8</v>
      </c>
      <c r="D144" s="32" t="s">
        <v>3</v>
      </c>
      <c r="E144" s="20">
        <v>3.55</v>
      </c>
      <c r="F144" s="23">
        <f t="shared" si="2"/>
        <v>424.65100000000001</v>
      </c>
      <c r="G144" s="3"/>
      <c r="H144" s="4"/>
    </row>
    <row r="145" spans="1:8" ht="11.25" customHeight="1" x14ac:dyDescent="0.2">
      <c r="A145" s="30">
        <v>6475</v>
      </c>
      <c r="B145" s="31" t="s">
        <v>149</v>
      </c>
      <c r="C145" s="32" t="s">
        <v>19</v>
      </c>
      <c r="D145" s="32" t="s">
        <v>3</v>
      </c>
      <c r="E145" s="20">
        <v>28</v>
      </c>
      <c r="F145" s="23">
        <f t="shared" si="2"/>
        <v>3349.36</v>
      </c>
      <c r="G145" s="3"/>
      <c r="H145" s="4"/>
    </row>
    <row r="146" spans="1:8" ht="11.25" customHeight="1" x14ac:dyDescent="0.2">
      <c r="A146" s="30">
        <v>6069</v>
      </c>
      <c r="B146" s="31" t="s">
        <v>150</v>
      </c>
      <c r="C146" s="32" t="s">
        <v>8</v>
      </c>
      <c r="D146" s="32" t="s">
        <v>3</v>
      </c>
      <c r="E146" s="20">
        <v>1</v>
      </c>
      <c r="F146" s="23">
        <f t="shared" si="2"/>
        <v>119.62</v>
      </c>
      <c r="G146" s="3"/>
      <c r="H146" s="4"/>
    </row>
    <row r="147" spans="1:8" ht="11.25" customHeight="1" x14ac:dyDescent="0.2">
      <c r="A147" s="30">
        <v>6073</v>
      </c>
      <c r="B147" s="31" t="s">
        <v>151</v>
      </c>
      <c r="C147" s="32" t="s">
        <v>60</v>
      </c>
      <c r="D147" s="32" t="s">
        <v>3</v>
      </c>
      <c r="E147" s="20">
        <v>1.3</v>
      </c>
      <c r="F147" s="23">
        <f t="shared" si="2"/>
        <v>155.506</v>
      </c>
      <c r="G147" s="3"/>
      <c r="H147" s="4"/>
    </row>
    <row r="148" spans="1:8" ht="11.25" customHeight="1" x14ac:dyDescent="0.2">
      <c r="A148" s="30">
        <v>6074</v>
      </c>
      <c r="B148" s="31" t="s">
        <v>152</v>
      </c>
      <c r="C148" s="32" t="s">
        <v>60</v>
      </c>
      <c r="D148" s="32" t="s">
        <v>3</v>
      </c>
      <c r="E148" s="20">
        <v>1.3</v>
      </c>
      <c r="F148" s="23">
        <f t="shared" si="2"/>
        <v>155.506</v>
      </c>
      <c r="G148" s="3"/>
      <c r="H148" s="4"/>
    </row>
    <row r="149" spans="1:8" ht="11.25" customHeight="1" x14ac:dyDescent="0.2">
      <c r="A149" s="30">
        <v>6405</v>
      </c>
      <c r="B149" s="31" t="s">
        <v>153</v>
      </c>
      <c r="C149" s="32" t="s">
        <v>154</v>
      </c>
      <c r="D149" s="32" t="s">
        <v>3</v>
      </c>
      <c r="E149" s="20">
        <v>1.5</v>
      </c>
      <c r="F149" s="23">
        <f t="shared" si="2"/>
        <v>179.43</v>
      </c>
      <c r="G149" s="3"/>
      <c r="H149" s="4"/>
    </row>
    <row r="150" spans="1:8" ht="11.25" customHeight="1" x14ac:dyDescent="0.2">
      <c r="A150" s="30">
        <v>6572</v>
      </c>
      <c r="B150" s="31" t="s">
        <v>155</v>
      </c>
      <c r="C150" s="32" t="s">
        <v>8</v>
      </c>
      <c r="D150" s="32" t="s">
        <v>3</v>
      </c>
      <c r="E150" s="20">
        <v>0.15</v>
      </c>
      <c r="F150" s="23">
        <f t="shared" si="2"/>
        <v>17.943000000000001</v>
      </c>
      <c r="G150" s="3"/>
      <c r="H150" s="4"/>
    </row>
    <row r="151" spans="1:8" ht="11.25" customHeight="1" x14ac:dyDescent="0.2">
      <c r="A151" s="30">
        <v>6573</v>
      </c>
      <c r="B151" s="31" t="s">
        <v>156</v>
      </c>
      <c r="C151" s="32" t="s">
        <v>8</v>
      </c>
      <c r="D151" s="32" t="s">
        <v>3</v>
      </c>
      <c r="E151" s="20">
        <v>2</v>
      </c>
      <c r="F151" s="23">
        <f t="shared" si="2"/>
        <v>239.24</v>
      </c>
      <c r="G151" s="3"/>
      <c r="H151" s="4"/>
    </row>
    <row r="152" spans="1:8" ht="11.25" customHeight="1" x14ac:dyDescent="0.2">
      <c r="A152" s="30">
        <v>6575</v>
      </c>
      <c r="B152" s="31" t="s">
        <v>157</v>
      </c>
      <c r="C152" s="32" t="s">
        <v>8</v>
      </c>
      <c r="D152" s="32" t="s">
        <v>3</v>
      </c>
      <c r="E152" s="20">
        <v>2</v>
      </c>
      <c r="F152" s="23">
        <f t="shared" si="2"/>
        <v>239.24</v>
      </c>
      <c r="G152" s="3"/>
      <c r="H152" s="4"/>
    </row>
    <row r="153" spans="1:8" ht="11.25" customHeight="1" x14ac:dyDescent="0.2">
      <c r="A153" s="30">
        <v>6577</v>
      </c>
      <c r="B153" s="31" t="s">
        <v>158</v>
      </c>
      <c r="C153" s="32" t="s">
        <v>8</v>
      </c>
      <c r="D153" s="32" t="s">
        <v>3</v>
      </c>
      <c r="E153" s="20">
        <v>5</v>
      </c>
      <c r="F153" s="23">
        <f t="shared" si="2"/>
        <v>598.1</v>
      </c>
      <c r="G153" s="3"/>
      <c r="H153" s="4"/>
    </row>
    <row r="154" spans="1:8" ht="11.25" customHeight="1" x14ac:dyDescent="0.2">
      <c r="A154" s="30">
        <v>6656</v>
      </c>
      <c r="B154" s="31" t="s">
        <v>159</v>
      </c>
      <c r="C154" s="32" t="s">
        <v>8</v>
      </c>
      <c r="D154" s="32" t="s">
        <v>3</v>
      </c>
      <c r="E154" s="20">
        <v>5</v>
      </c>
      <c r="F154" s="23">
        <f t="shared" si="2"/>
        <v>598.1</v>
      </c>
      <c r="G154" s="3"/>
      <c r="H154" s="4"/>
    </row>
    <row r="155" spans="1:8" ht="11.25" customHeight="1" x14ac:dyDescent="0.2">
      <c r="A155" s="30">
        <v>6311</v>
      </c>
      <c r="B155" s="31" t="s">
        <v>160</v>
      </c>
      <c r="C155" s="32" t="s">
        <v>8</v>
      </c>
      <c r="D155" s="32" t="s">
        <v>3</v>
      </c>
      <c r="E155" s="20">
        <v>0.5</v>
      </c>
      <c r="F155" s="23">
        <f t="shared" si="2"/>
        <v>59.81</v>
      </c>
      <c r="G155" s="3"/>
      <c r="H155" s="4"/>
    </row>
    <row r="156" spans="1:8" ht="11.25" customHeight="1" x14ac:dyDescent="0.2">
      <c r="A156" s="30">
        <v>6431</v>
      </c>
      <c r="B156" s="31" t="s">
        <v>161</v>
      </c>
      <c r="C156" s="32" t="s">
        <v>8</v>
      </c>
      <c r="D156" s="32" t="s">
        <v>3</v>
      </c>
      <c r="E156" s="20">
        <v>0.5</v>
      </c>
      <c r="F156" s="23">
        <f t="shared" si="2"/>
        <v>59.81</v>
      </c>
      <c r="G156" s="3"/>
      <c r="H156" s="4"/>
    </row>
    <row r="157" spans="1:8" ht="11.25" customHeight="1" x14ac:dyDescent="0.2">
      <c r="A157" s="30">
        <v>6432</v>
      </c>
      <c r="B157" s="31" t="s">
        <v>162</v>
      </c>
      <c r="C157" s="32" t="s">
        <v>8</v>
      </c>
      <c r="D157" s="32" t="s">
        <v>3</v>
      </c>
      <c r="E157" s="20">
        <v>0.5</v>
      </c>
      <c r="F157" s="23">
        <f t="shared" si="2"/>
        <v>59.81</v>
      </c>
      <c r="G157" s="3"/>
      <c r="H157" s="4"/>
    </row>
    <row r="158" spans="1:8" ht="11.25" customHeight="1" x14ac:dyDescent="0.2">
      <c r="A158" s="30">
        <v>6309</v>
      </c>
      <c r="B158" s="31" t="s">
        <v>163</v>
      </c>
      <c r="C158" s="32" t="s">
        <v>8</v>
      </c>
      <c r="D158" s="32" t="s">
        <v>3</v>
      </c>
      <c r="E158" s="20">
        <v>1</v>
      </c>
      <c r="F158" s="23">
        <f t="shared" si="2"/>
        <v>119.62</v>
      </c>
      <c r="G158" s="3"/>
      <c r="H158" s="4"/>
    </row>
    <row r="159" spans="1:8" ht="11.25" customHeight="1" x14ac:dyDescent="0.2">
      <c r="A159" s="30">
        <v>6635</v>
      </c>
      <c r="B159" s="31" t="s">
        <v>164</v>
      </c>
      <c r="C159" s="32" t="s">
        <v>8</v>
      </c>
      <c r="D159" s="32" t="s">
        <v>3</v>
      </c>
      <c r="E159" s="20">
        <v>60</v>
      </c>
      <c r="F159" s="23">
        <f t="shared" si="2"/>
        <v>7177.2000000000007</v>
      </c>
      <c r="G159" s="3"/>
      <c r="H159" s="4"/>
    </row>
    <row r="160" spans="1:8" ht="11.25" customHeight="1" x14ac:dyDescent="0.2">
      <c r="A160" s="30">
        <v>6459</v>
      </c>
      <c r="B160" s="31" t="s">
        <v>165</v>
      </c>
      <c r="C160" s="32" t="s">
        <v>8</v>
      </c>
      <c r="D160" s="32" t="s">
        <v>3</v>
      </c>
      <c r="E160" s="20">
        <v>2</v>
      </c>
      <c r="F160" s="23">
        <f t="shared" si="2"/>
        <v>239.24</v>
      </c>
      <c r="G160" s="3"/>
      <c r="H160" s="4"/>
    </row>
    <row r="161" spans="1:8" ht="11.25" customHeight="1" x14ac:dyDescent="0.2">
      <c r="A161" s="30">
        <v>8091</v>
      </c>
      <c r="B161" s="31" t="s">
        <v>166</v>
      </c>
      <c r="C161" s="32" t="s">
        <v>8</v>
      </c>
      <c r="D161" s="32" t="s">
        <v>3</v>
      </c>
      <c r="E161" s="20">
        <v>0.4</v>
      </c>
      <c r="F161" s="23">
        <f t="shared" si="2"/>
        <v>47.848000000000006</v>
      </c>
      <c r="G161" s="3"/>
      <c r="H161" s="4"/>
    </row>
    <row r="162" spans="1:8" ht="11.25" customHeight="1" x14ac:dyDescent="0.2">
      <c r="A162" s="30">
        <v>7292</v>
      </c>
      <c r="B162" s="31" t="s">
        <v>167</v>
      </c>
      <c r="C162" s="32" t="s">
        <v>8</v>
      </c>
      <c r="D162" s="32" t="s">
        <v>3</v>
      </c>
      <c r="E162" s="20">
        <v>0.12</v>
      </c>
      <c r="F162" s="23">
        <f t="shared" si="2"/>
        <v>14.3544</v>
      </c>
      <c r="G162" s="3"/>
      <c r="H162" s="4"/>
    </row>
    <row r="163" spans="1:8" ht="11.25" customHeight="1" x14ac:dyDescent="0.2">
      <c r="A163" s="30">
        <v>7295</v>
      </c>
      <c r="B163" s="31" t="s">
        <v>168</v>
      </c>
      <c r="C163" s="32" t="s">
        <v>8</v>
      </c>
      <c r="D163" s="32" t="s">
        <v>3</v>
      </c>
      <c r="E163" s="20">
        <v>0.06</v>
      </c>
      <c r="F163" s="23">
        <f t="shared" si="2"/>
        <v>7.1772</v>
      </c>
      <c r="G163" s="3"/>
      <c r="H163" s="4"/>
    </row>
    <row r="164" spans="1:8" ht="11.25" customHeight="1" x14ac:dyDescent="0.2">
      <c r="A164" s="30">
        <v>6241</v>
      </c>
      <c r="B164" s="31" t="s">
        <v>169</v>
      </c>
      <c r="C164" s="32" t="s">
        <v>8</v>
      </c>
      <c r="D164" s="32" t="s">
        <v>3</v>
      </c>
      <c r="E164" s="20">
        <v>0.5</v>
      </c>
      <c r="F164" s="23">
        <f t="shared" si="2"/>
        <v>59.81</v>
      </c>
      <c r="G164" s="3"/>
      <c r="H164" s="4"/>
    </row>
    <row r="165" spans="1:8" ht="11.25" customHeight="1" x14ac:dyDescent="0.2">
      <c r="A165" s="30">
        <v>6878</v>
      </c>
      <c r="B165" s="31" t="s">
        <v>170</v>
      </c>
      <c r="C165" s="32" t="s">
        <v>19</v>
      </c>
      <c r="D165" s="32" t="s">
        <v>3</v>
      </c>
      <c r="E165" s="20">
        <v>54.67</v>
      </c>
      <c r="F165" s="23">
        <f t="shared" si="2"/>
        <v>6539.6254000000008</v>
      </c>
      <c r="G165" s="3"/>
      <c r="H165" s="4"/>
    </row>
    <row r="166" spans="1:8" ht="11.25" customHeight="1" x14ac:dyDescent="0.2">
      <c r="A166" s="30">
        <v>6385</v>
      </c>
      <c r="B166" s="31" t="s">
        <v>171</v>
      </c>
      <c r="C166" s="32" t="s">
        <v>19</v>
      </c>
      <c r="D166" s="32" t="s">
        <v>3</v>
      </c>
      <c r="E166" s="20">
        <v>23</v>
      </c>
      <c r="F166" s="23">
        <f t="shared" si="2"/>
        <v>2751.26</v>
      </c>
      <c r="G166" s="3"/>
      <c r="H166" s="4"/>
    </row>
    <row r="167" spans="1:8" ht="11.25" customHeight="1" x14ac:dyDescent="0.2">
      <c r="A167" s="30">
        <v>6384</v>
      </c>
      <c r="B167" s="31" t="s">
        <v>172</v>
      </c>
      <c r="C167" s="32" t="s">
        <v>19</v>
      </c>
      <c r="D167" s="32" t="s">
        <v>3</v>
      </c>
      <c r="E167" s="20">
        <v>28</v>
      </c>
      <c r="F167" s="23">
        <f t="shared" si="2"/>
        <v>3349.36</v>
      </c>
      <c r="G167" s="3"/>
      <c r="H167" s="4"/>
    </row>
    <row r="168" spans="1:8" ht="11.25" customHeight="1" x14ac:dyDescent="0.2">
      <c r="A168" s="30">
        <v>6399</v>
      </c>
      <c r="B168" s="31" t="s">
        <v>173</v>
      </c>
      <c r="C168" s="32" t="s">
        <v>19</v>
      </c>
      <c r="D168" s="32" t="s">
        <v>3</v>
      </c>
      <c r="E168" s="20">
        <v>46</v>
      </c>
      <c r="F168" s="23">
        <f t="shared" si="2"/>
        <v>5502.52</v>
      </c>
      <c r="G168" s="3"/>
      <c r="H168" s="4"/>
    </row>
    <row r="169" spans="1:8" ht="11.25" customHeight="1" x14ac:dyDescent="0.2">
      <c r="A169" s="30">
        <v>6474</v>
      </c>
      <c r="B169" s="31" t="s">
        <v>174</v>
      </c>
      <c r="C169" s="32" t="s">
        <v>19</v>
      </c>
      <c r="D169" s="32" t="s">
        <v>3</v>
      </c>
      <c r="E169" s="20">
        <v>56</v>
      </c>
      <c r="F169" s="23">
        <f t="shared" si="2"/>
        <v>6698.72</v>
      </c>
      <c r="G169" s="3"/>
      <c r="H169" s="4"/>
    </row>
    <row r="170" spans="1:8" ht="11.25" customHeight="1" x14ac:dyDescent="0.2">
      <c r="A170" s="30">
        <v>6877</v>
      </c>
      <c r="B170" s="31" t="s">
        <v>175</v>
      </c>
      <c r="C170" s="32" t="s">
        <v>176</v>
      </c>
      <c r="D170" s="32" t="s">
        <v>3</v>
      </c>
      <c r="E170" s="20">
        <v>0.02</v>
      </c>
      <c r="F170" s="23">
        <f t="shared" si="2"/>
        <v>2.3924000000000003</v>
      </c>
      <c r="G170" s="3"/>
      <c r="H170" s="4"/>
    </row>
    <row r="171" spans="1:8" ht="11.25" customHeight="1" x14ac:dyDescent="0.2">
      <c r="A171" s="30">
        <v>6549</v>
      </c>
      <c r="B171" s="31" t="s">
        <v>177</v>
      </c>
      <c r="C171" s="32" t="s">
        <v>8</v>
      </c>
      <c r="D171" s="32" t="s">
        <v>3</v>
      </c>
      <c r="E171" s="20">
        <v>4.33</v>
      </c>
      <c r="F171" s="23">
        <f t="shared" si="2"/>
        <v>517.95460000000003</v>
      </c>
      <c r="G171" s="3"/>
      <c r="H171" s="4"/>
    </row>
    <row r="172" spans="1:8" ht="11.25" customHeight="1" x14ac:dyDescent="0.2">
      <c r="A172" s="30">
        <v>6396</v>
      </c>
      <c r="B172" s="31" t="s">
        <v>178</v>
      </c>
      <c r="C172" s="32" t="s">
        <v>60</v>
      </c>
      <c r="D172" s="32" t="s">
        <v>3</v>
      </c>
      <c r="E172" s="20">
        <v>11.28</v>
      </c>
      <c r="F172" s="23">
        <f t="shared" si="2"/>
        <v>1349.3136</v>
      </c>
      <c r="G172" s="3"/>
      <c r="H172" s="4"/>
    </row>
    <row r="173" spans="1:8" ht="11.25" customHeight="1" x14ac:dyDescent="0.2">
      <c r="A173" s="30">
        <v>6397</v>
      </c>
      <c r="B173" s="31" t="s">
        <v>179</v>
      </c>
      <c r="C173" s="32" t="s">
        <v>60</v>
      </c>
      <c r="D173" s="32" t="s">
        <v>3</v>
      </c>
      <c r="E173" s="20">
        <v>11.88</v>
      </c>
      <c r="F173" s="23">
        <f t="shared" si="2"/>
        <v>1421.0856000000001</v>
      </c>
      <c r="G173" s="3"/>
      <c r="H173" s="4"/>
    </row>
    <row r="174" spans="1:8" ht="11.25" customHeight="1" x14ac:dyDescent="0.2">
      <c r="A174" s="30">
        <v>6322</v>
      </c>
      <c r="B174" s="31" t="s">
        <v>180</v>
      </c>
      <c r="C174" s="32" t="s">
        <v>60</v>
      </c>
      <c r="D174" s="32" t="s">
        <v>3</v>
      </c>
      <c r="E174" s="20">
        <v>12.48</v>
      </c>
      <c r="F174" s="23">
        <f t="shared" si="2"/>
        <v>1492.8576</v>
      </c>
      <c r="G174" s="3"/>
      <c r="H174" s="4"/>
    </row>
    <row r="175" spans="1:8" ht="11.25" customHeight="1" x14ac:dyDescent="0.2">
      <c r="A175" s="30">
        <v>6398</v>
      </c>
      <c r="B175" s="31" t="s">
        <v>181</v>
      </c>
      <c r="C175" s="32" t="s">
        <v>8</v>
      </c>
      <c r="D175" s="32" t="s">
        <v>3</v>
      </c>
      <c r="E175" s="20">
        <v>1</v>
      </c>
      <c r="F175" s="23">
        <f t="shared" si="2"/>
        <v>119.62</v>
      </c>
      <c r="G175" s="3"/>
      <c r="H175" s="4"/>
    </row>
    <row r="176" spans="1:8" ht="11.25" customHeight="1" x14ac:dyDescent="0.2">
      <c r="A176" s="30">
        <v>6071</v>
      </c>
      <c r="B176" s="31" t="s">
        <v>182</v>
      </c>
      <c r="C176" s="32" t="s">
        <v>8</v>
      </c>
      <c r="D176" s="32" t="s">
        <v>3</v>
      </c>
      <c r="E176" s="20">
        <v>1</v>
      </c>
      <c r="F176" s="23">
        <f t="shared" si="2"/>
        <v>119.62</v>
      </c>
      <c r="G176" s="3"/>
      <c r="H176" s="4"/>
    </row>
    <row r="177" spans="1:8" ht="11.25" customHeight="1" x14ac:dyDescent="0.2">
      <c r="A177" s="30">
        <v>6072</v>
      </c>
      <c r="B177" s="31" t="s">
        <v>183</v>
      </c>
      <c r="C177" s="32" t="s">
        <v>8</v>
      </c>
      <c r="D177" s="32" t="s">
        <v>3</v>
      </c>
      <c r="E177" s="20">
        <v>1</v>
      </c>
      <c r="F177" s="23">
        <f t="shared" si="2"/>
        <v>119.62</v>
      </c>
      <c r="G177" s="3"/>
      <c r="H177" s="4"/>
    </row>
    <row r="178" spans="1:8" ht="11.25" customHeight="1" x14ac:dyDescent="0.2">
      <c r="A178" s="30">
        <v>6233</v>
      </c>
      <c r="B178" s="31" t="s">
        <v>184</v>
      </c>
      <c r="C178" s="32" t="s">
        <v>8</v>
      </c>
      <c r="D178" s="32" t="s">
        <v>3</v>
      </c>
      <c r="E178" s="20">
        <v>0.5</v>
      </c>
      <c r="F178" s="23">
        <f t="shared" si="2"/>
        <v>59.81</v>
      </c>
      <c r="G178" s="3"/>
      <c r="H178" s="4"/>
    </row>
    <row r="179" spans="1:8" ht="11.25" customHeight="1" x14ac:dyDescent="0.2">
      <c r="A179" s="30">
        <v>6234</v>
      </c>
      <c r="B179" s="31" t="s">
        <v>185</v>
      </c>
      <c r="C179" s="32" t="s">
        <v>8</v>
      </c>
      <c r="D179" s="32" t="s">
        <v>3</v>
      </c>
      <c r="E179" s="20">
        <v>0.2</v>
      </c>
      <c r="F179" s="23">
        <f t="shared" si="2"/>
        <v>23.924000000000003</v>
      </c>
      <c r="G179" s="3"/>
      <c r="H179" s="4"/>
    </row>
    <row r="180" spans="1:8" ht="11.25" customHeight="1" x14ac:dyDescent="0.2">
      <c r="A180" s="30">
        <v>6235</v>
      </c>
      <c r="B180" s="31" t="s">
        <v>186</v>
      </c>
      <c r="C180" s="32" t="s">
        <v>8</v>
      </c>
      <c r="D180" s="32" t="s">
        <v>3</v>
      </c>
      <c r="E180" s="20">
        <v>0.1</v>
      </c>
      <c r="F180" s="23">
        <f t="shared" si="2"/>
        <v>11.962000000000002</v>
      </c>
      <c r="G180" s="3"/>
      <c r="H180" s="4"/>
    </row>
    <row r="181" spans="1:8" ht="11.25" customHeight="1" x14ac:dyDescent="0.2">
      <c r="A181" s="30">
        <v>6409</v>
      </c>
      <c r="B181" s="31" t="s">
        <v>187</v>
      </c>
      <c r="C181" s="32" t="s">
        <v>8</v>
      </c>
      <c r="D181" s="32" t="s">
        <v>3</v>
      </c>
      <c r="E181" s="20">
        <v>0.2</v>
      </c>
      <c r="F181" s="23">
        <f t="shared" si="2"/>
        <v>23.924000000000003</v>
      </c>
      <c r="G181" s="3"/>
      <c r="H181" s="4"/>
    </row>
    <row r="182" spans="1:8" ht="11.25" customHeight="1" x14ac:dyDescent="0.2">
      <c r="A182" s="30">
        <v>6408</v>
      </c>
      <c r="B182" s="31" t="s">
        <v>188</v>
      </c>
      <c r="C182" s="32" t="s">
        <v>8</v>
      </c>
      <c r="D182" s="32" t="s">
        <v>3</v>
      </c>
      <c r="E182" s="20">
        <v>0.4</v>
      </c>
      <c r="F182" s="23">
        <f t="shared" si="2"/>
        <v>47.848000000000006</v>
      </c>
      <c r="G182" s="3"/>
      <c r="H182" s="4"/>
    </row>
    <row r="183" spans="1:8" ht="11.25" customHeight="1" x14ac:dyDescent="0.2">
      <c r="A183" s="30">
        <v>7338</v>
      </c>
      <c r="B183" s="31" t="s">
        <v>189</v>
      </c>
      <c r="C183" s="32" t="s">
        <v>8</v>
      </c>
      <c r="D183" s="32" t="s">
        <v>3</v>
      </c>
      <c r="E183" s="20">
        <v>3.33</v>
      </c>
      <c r="F183" s="23">
        <f t="shared" si="2"/>
        <v>398.33460000000002</v>
      </c>
      <c r="G183" s="3"/>
      <c r="H183" s="4"/>
    </row>
    <row r="184" spans="1:8" ht="11.25" customHeight="1" x14ac:dyDescent="0.2">
      <c r="A184" s="30">
        <v>7339</v>
      </c>
      <c r="B184" s="31" t="s">
        <v>190</v>
      </c>
      <c r="C184" s="32" t="s">
        <v>8</v>
      </c>
      <c r="D184" s="32" t="s">
        <v>3</v>
      </c>
      <c r="E184" s="20">
        <v>6.67</v>
      </c>
      <c r="F184" s="23">
        <f t="shared" si="2"/>
        <v>797.86540000000002</v>
      </c>
      <c r="G184" s="3"/>
      <c r="H184" s="4"/>
    </row>
    <row r="185" spans="1:8" ht="11.25" customHeight="1" x14ac:dyDescent="0.2">
      <c r="A185" s="30">
        <v>6462</v>
      </c>
      <c r="B185" s="31" t="s">
        <v>191</v>
      </c>
      <c r="C185" s="32" t="s">
        <v>8</v>
      </c>
      <c r="D185" s="32" t="s">
        <v>3</v>
      </c>
      <c r="E185" s="20">
        <v>0.6</v>
      </c>
      <c r="F185" s="23">
        <f t="shared" si="2"/>
        <v>71.772000000000006</v>
      </c>
      <c r="G185" s="3"/>
      <c r="H185" s="4"/>
    </row>
    <row r="186" spans="1:8" ht="11.25" customHeight="1" x14ac:dyDescent="0.2">
      <c r="A186" s="30">
        <v>6319</v>
      </c>
      <c r="B186" s="31" t="s">
        <v>192</v>
      </c>
      <c r="C186" s="32" t="s">
        <v>8</v>
      </c>
      <c r="D186" s="32" t="s">
        <v>3</v>
      </c>
      <c r="E186" s="20">
        <v>0.6</v>
      </c>
      <c r="F186" s="23">
        <f t="shared" si="2"/>
        <v>71.772000000000006</v>
      </c>
      <c r="G186" s="3"/>
      <c r="H186" s="4"/>
    </row>
    <row r="187" spans="1:8" ht="11.25" customHeight="1" x14ac:dyDescent="0.2">
      <c r="A187" s="30">
        <v>6417</v>
      </c>
      <c r="B187" s="31" t="s">
        <v>193</v>
      </c>
      <c r="C187" s="32" t="s">
        <v>8</v>
      </c>
      <c r="D187" s="32" t="s">
        <v>3</v>
      </c>
      <c r="E187" s="20">
        <v>0.75</v>
      </c>
      <c r="F187" s="23">
        <f t="shared" si="2"/>
        <v>89.715000000000003</v>
      </c>
      <c r="G187" s="3"/>
      <c r="H187" s="4"/>
    </row>
    <row r="188" spans="1:8" ht="11.25" customHeight="1" x14ac:dyDescent="0.2">
      <c r="A188" s="30">
        <v>6427</v>
      </c>
      <c r="B188" s="31" t="s">
        <v>194</v>
      </c>
      <c r="C188" s="32" t="s">
        <v>8</v>
      </c>
      <c r="D188" s="32" t="s">
        <v>3</v>
      </c>
      <c r="E188" s="20">
        <v>1</v>
      </c>
      <c r="F188" s="23">
        <f t="shared" si="2"/>
        <v>119.62</v>
      </c>
      <c r="G188" s="3"/>
      <c r="H188" s="4"/>
    </row>
    <row r="189" spans="1:8" ht="11.25" customHeight="1" x14ac:dyDescent="0.2">
      <c r="A189" s="30">
        <v>6418</v>
      </c>
      <c r="B189" s="31" t="s">
        <v>195</v>
      </c>
      <c r="C189" s="32" t="s">
        <v>8</v>
      </c>
      <c r="D189" s="32" t="s">
        <v>3</v>
      </c>
      <c r="E189" s="20">
        <v>0.15</v>
      </c>
      <c r="F189" s="23">
        <f t="shared" si="2"/>
        <v>17.943000000000001</v>
      </c>
      <c r="G189" s="3"/>
      <c r="H189" s="4"/>
    </row>
    <row r="190" spans="1:8" ht="11.25" customHeight="1" x14ac:dyDescent="0.2">
      <c r="A190" s="30">
        <v>6421</v>
      </c>
      <c r="B190" s="31" t="s">
        <v>196</v>
      </c>
      <c r="C190" s="32" t="s">
        <v>8</v>
      </c>
      <c r="D190" s="32" t="s">
        <v>3</v>
      </c>
      <c r="E190" s="20">
        <v>5</v>
      </c>
      <c r="F190" s="23">
        <f t="shared" si="2"/>
        <v>598.1</v>
      </c>
      <c r="G190" s="3"/>
      <c r="H190" s="4"/>
    </row>
    <row r="191" spans="1:8" ht="11.25" customHeight="1" x14ac:dyDescent="0.2">
      <c r="A191" s="30">
        <v>6560</v>
      </c>
      <c r="B191" s="31" t="s">
        <v>197</v>
      </c>
      <c r="C191" s="32" t="s">
        <v>8</v>
      </c>
      <c r="D191" s="32" t="s">
        <v>3</v>
      </c>
      <c r="E191" s="20">
        <v>9.5</v>
      </c>
      <c r="F191" s="23">
        <f t="shared" si="2"/>
        <v>1136.3900000000001</v>
      </c>
      <c r="G191" s="3"/>
      <c r="H191" s="4"/>
    </row>
    <row r="192" spans="1:8" ht="11.25" customHeight="1" x14ac:dyDescent="0.2">
      <c r="A192" s="30">
        <v>6422</v>
      </c>
      <c r="B192" s="31" t="s">
        <v>198</v>
      </c>
      <c r="C192" s="32" t="s">
        <v>8</v>
      </c>
      <c r="D192" s="32" t="s">
        <v>3</v>
      </c>
      <c r="E192" s="20">
        <v>2.5</v>
      </c>
      <c r="F192" s="23">
        <f t="shared" si="2"/>
        <v>299.05</v>
      </c>
      <c r="G192" s="3"/>
      <c r="H192" s="4"/>
    </row>
    <row r="193" spans="1:8" ht="11.25" customHeight="1" x14ac:dyDescent="0.2">
      <c r="A193" s="30">
        <v>6416</v>
      </c>
      <c r="B193" s="31" t="s">
        <v>199</v>
      </c>
      <c r="C193" s="32" t="s">
        <v>8</v>
      </c>
      <c r="D193" s="32" t="s">
        <v>3</v>
      </c>
      <c r="E193" s="20">
        <v>1.5</v>
      </c>
      <c r="F193" s="23">
        <f t="shared" si="2"/>
        <v>179.43</v>
      </c>
      <c r="G193" s="3"/>
      <c r="H193" s="4"/>
    </row>
    <row r="194" spans="1:8" ht="11.25" customHeight="1" x14ac:dyDescent="0.2">
      <c r="A194" s="30">
        <v>6428</v>
      </c>
      <c r="B194" s="31" t="s">
        <v>200</v>
      </c>
      <c r="C194" s="32" t="s">
        <v>8</v>
      </c>
      <c r="D194" s="32" t="s">
        <v>3</v>
      </c>
      <c r="E194" s="20">
        <v>0.1</v>
      </c>
      <c r="F194" s="23">
        <f t="shared" si="2"/>
        <v>11.962000000000002</v>
      </c>
      <c r="G194" s="3"/>
      <c r="H194" s="4"/>
    </row>
    <row r="195" spans="1:8" ht="11.25" customHeight="1" x14ac:dyDescent="0.2">
      <c r="A195" s="30">
        <v>6244</v>
      </c>
      <c r="B195" s="31" t="s">
        <v>201</v>
      </c>
      <c r="C195" s="32" t="s">
        <v>8</v>
      </c>
      <c r="D195" s="32" t="s">
        <v>3</v>
      </c>
      <c r="E195" s="20">
        <v>0.2</v>
      </c>
      <c r="F195" s="23">
        <f t="shared" si="2"/>
        <v>23.924000000000003</v>
      </c>
      <c r="G195" s="3"/>
      <c r="H195" s="4"/>
    </row>
    <row r="196" spans="1:8" ht="11.25" customHeight="1" x14ac:dyDescent="0.2">
      <c r="A196" s="30">
        <v>6424</v>
      </c>
      <c r="B196" s="31" t="s">
        <v>202</v>
      </c>
      <c r="C196" s="32" t="s">
        <v>8</v>
      </c>
      <c r="D196" s="32" t="s">
        <v>3</v>
      </c>
      <c r="E196" s="20">
        <v>2</v>
      </c>
      <c r="F196" s="23">
        <f t="shared" si="2"/>
        <v>239.24</v>
      </c>
      <c r="G196" s="3"/>
      <c r="H196" s="4"/>
    </row>
    <row r="197" spans="1:8" ht="11.25" customHeight="1" x14ac:dyDescent="0.2">
      <c r="A197" s="30">
        <v>6574</v>
      </c>
      <c r="B197" s="31" t="s">
        <v>203</v>
      </c>
      <c r="C197" s="32" t="s">
        <v>8</v>
      </c>
      <c r="D197" s="32" t="s">
        <v>3</v>
      </c>
      <c r="E197" s="20">
        <v>2</v>
      </c>
      <c r="F197" s="23">
        <f t="shared" si="2"/>
        <v>239.24</v>
      </c>
      <c r="G197" s="3"/>
      <c r="H197" s="4"/>
    </row>
    <row r="198" spans="1:8" ht="11.25" customHeight="1" x14ac:dyDescent="0.2">
      <c r="A198" s="30">
        <v>6579</v>
      </c>
      <c r="B198" s="31" t="s">
        <v>204</v>
      </c>
      <c r="C198" s="32" t="s">
        <v>8</v>
      </c>
      <c r="D198" s="32" t="s">
        <v>3</v>
      </c>
      <c r="E198" s="20">
        <v>5</v>
      </c>
      <c r="F198" s="23">
        <f t="shared" si="2"/>
        <v>598.1</v>
      </c>
      <c r="G198" s="3"/>
      <c r="H198" s="4"/>
    </row>
    <row r="199" spans="1:8" ht="11.25" customHeight="1" x14ac:dyDescent="0.2">
      <c r="A199" s="30">
        <v>6580</v>
      </c>
      <c r="B199" s="31" t="s">
        <v>205</v>
      </c>
      <c r="C199" s="32" t="s">
        <v>8</v>
      </c>
      <c r="D199" s="32" t="s">
        <v>3</v>
      </c>
      <c r="E199" s="20">
        <v>5</v>
      </c>
      <c r="F199" s="23">
        <f t="shared" si="2"/>
        <v>598.1</v>
      </c>
      <c r="G199" s="3"/>
      <c r="H199" s="4"/>
    </row>
    <row r="200" spans="1:8" ht="11.25" customHeight="1" x14ac:dyDescent="0.2">
      <c r="A200" s="30">
        <v>6581</v>
      </c>
      <c r="B200" s="31" t="s">
        <v>206</v>
      </c>
      <c r="C200" s="32" t="s">
        <v>8</v>
      </c>
      <c r="D200" s="32" t="s">
        <v>3</v>
      </c>
      <c r="E200" s="20">
        <v>5</v>
      </c>
      <c r="F200" s="23">
        <f t="shared" si="2"/>
        <v>598.1</v>
      </c>
      <c r="G200" s="3"/>
      <c r="H200" s="4"/>
    </row>
    <row r="201" spans="1:8" ht="11.25" customHeight="1" x14ac:dyDescent="0.2">
      <c r="A201" s="30">
        <v>6582</v>
      </c>
      <c r="B201" s="31" t="s">
        <v>207</v>
      </c>
      <c r="C201" s="32" t="s">
        <v>8</v>
      </c>
      <c r="D201" s="32" t="s">
        <v>3</v>
      </c>
      <c r="E201" s="20">
        <v>5</v>
      </c>
      <c r="F201" s="23">
        <f t="shared" ref="F201:F264" si="3">E201*F$5</f>
        <v>598.1</v>
      </c>
      <c r="G201" s="3"/>
      <c r="H201" s="4"/>
    </row>
    <row r="202" spans="1:8" ht="11.25" customHeight="1" x14ac:dyDescent="0.2">
      <c r="A202" s="30">
        <v>6583</v>
      </c>
      <c r="B202" s="31" t="s">
        <v>208</v>
      </c>
      <c r="C202" s="32" t="s">
        <v>8</v>
      </c>
      <c r="D202" s="32" t="s">
        <v>3</v>
      </c>
      <c r="E202" s="20">
        <v>5</v>
      </c>
      <c r="F202" s="23">
        <f t="shared" si="3"/>
        <v>598.1</v>
      </c>
      <c r="G202" s="3"/>
      <c r="H202" s="4"/>
    </row>
    <row r="203" spans="1:8" ht="11.25" customHeight="1" x14ac:dyDescent="0.2">
      <c r="A203" s="30">
        <v>6584</v>
      </c>
      <c r="B203" s="31" t="s">
        <v>209</v>
      </c>
      <c r="C203" s="32" t="s">
        <v>8</v>
      </c>
      <c r="D203" s="32" t="s">
        <v>3</v>
      </c>
      <c r="E203" s="20">
        <v>5</v>
      </c>
      <c r="F203" s="23">
        <f t="shared" si="3"/>
        <v>598.1</v>
      </c>
      <c r="G203" s="3"/>
      <c r="H203" s="4"/>
    </row>
    <row r="204" spans="1:8" ht="11.25" customHeight="1" x14ac:dyDescent="0.2">
      <c r="A204" s="30">
        <v>6586</v>
      </c>
      <c r="B204" s="31" t="s">
        <v>210</v>
      </c>
      <c r="C204" s="32" t="s">
        <v>8</v>
      </c>
      <c r="D204" s="32" t="s">
        <v>3</v>
      </c>
      <c r="E204" s="20">
        <v>5</v>
      </c>
      <c r="F204" s="23">
        <f t="shared" si="3"/>
        <v>598.1</v>
      </c>
      <c r="G204" s="3"/>
      <c r="H204" s="4"/>
    </row>
    <row r="205" spans="1:8" ht="11.25" customHeight="1" x14ac:dyDescent="0.2">
      <c r="A205" s="30">
        <v>6325</v>
      </c>
      <c r="B205" s="31" t="s">
        <v>211</v>
      </c>
      <c r="C205" s="32" t="s">
        <v>8</v>
      </c>
      <c r="D205" s="32" t="s">
        <v>3</v>
      </c>
      <c r="E205" s="20">
        <v>5</v>
      </c>
      <c r="F205" s="23">
        <f t="shared" si="3"/>
        <v>598.1</v>
      </c>
      <c r="G205" s="3"/>
      <c r="H205" s="4"/>
    </row>
    <row r="206" spans="1:8" ht="11.25" customHeight="1" x14ac:dyDescent="0.2">
      <c r="A206" s="30">
        <v>6386</v>
      </c>
      <c r="B206" s="31" t="s">
        <v>212</v>
      </c>
      <c r="C206" s="32" t="s">
        <v>8</v>
      </c>
      <c r="D206" s="32" t="s">
        <v>3</v>
      </c>
      <c r="E206" s="20">
        <v>12</v>
      </c>
      <c r="F206" s="23">
        <f t="shared" si="3"/>
        <v>1435.44</v>
      </c>
      <c r="G206" s="3"/>
      <c r="H206" s="4"/>
    </row>
    <row r="207" spans="1:8" ht="11.25" customHeight="1" x14ac:dyDescent="0.2">
      <c r="A207" s="30">
        <v>6387</v>
      </c>
      <c r="B207" s="31" t="s">
        <v>213</v>
      </c>
      <c r="C207" s="32" t="s">
        <v>8</v>
      </c>
      <c r="D207" s="32" t="s">
        <v>3</v>
      </c>
      <c r="E207" s="20">
        <v>2</v>
      </c>
      <c r="F207" s="23">
        <f t="shared" si="3"/>
        <v>239.24</v>
      </c>
      <c r="G207" s="3"/>
      <c r="H207" s="4"/>
    </row>
    <row r="208" spans="1:8" ht="11.25" customHeight="1" x14ac:dyDescent="0.2">
      <c r="A208" s="30">
        <v>6388</v>
      </c>
      <c r="B208" s="31" t="s">
        <v>214</v>
      </c>
      <c r="C208" s="32" t="s">
        <v>8</v>
      </c>
      <c r="D208" s="32" t="s">
        <v>3</v>
      </c>
      <c r="E208" s="20">
        <v>2</v>
      </c>
      <c r="F208" s="23">
        <f t="shared" si="3"/>
        <v>239.24</v>
      </c>
      <c r="G208" s="3"/>
      <c r="H208" s="4"/>
    </row>
    <row r="209" spans="1:8" ht="11.25" customHeight="1" x14ac:dyDescent="0.2">
      <c r="A209" s="30">
        <v>7395</v>
      </c>
      <c r="B209" s="31" t="s">
        <v>215</v>
      </c>
      <c r="C209" s="32" t="s">
        <v>8</v>
      </c>
      <c r="D209" s="32" t="s">
        <v>3</v>
      </c>
      <c r="E209" s="20">
        <v>7.48</v>
      </c>
      <c r="F209" s="23">
        <f t="shared" si="3"/>
        <v>894.75760000000014</v>
      </c>
      <c r="G209" s="3"/>
      <c r="H209" s="4"/>
    </row>
    <row r="210" spans="1:8" ht="11.25" customHeight="1" x14ac:dyDescent="0.2">
      <c r="A210" s="30">
        <v>6389</v>
      </c>
      <c r="B210" s="31" t="s">
        <v>216</v>
      </c>
      <c r="C210" s="32" t="s">
        <v>8</v>
      </c>
      <c r="D210" s="32" t="s">
        <v>3</v>
      </c>
      <c r="E210" s="20">
        <v>5</v>
      </c>
      <c r="F210" s="23">
        <f t="shared" si="3"/>
        <v>598.1</v>
      </c>
      <c r="G210" s="3"/>
      <c r="H210" s="4"/>
    </row>
    <row r="211" spans="1:8" ht="11.25" customHeight="1" x14ac:dyDescent="0.2">
      <c r="A211" s="30">
        <v>6391</v>
      </c>
      <c r="B211" s="31" t="s">
        <v>217</v>
      </c>
      <c r="C211" s="32" t="s">
        <v>8</v>
      </c>
      <c r="D211" s="32" t="s">
        <v>3</v>
      </c>
      <c r="E211" s="20">
        <v>5</v>
      </c>
      <c r="F211" s="23">
        <f t="shared" si="3"/>
        <v>598.1</v>
      </c>
      <c r="G211" s="3"/>
      <c r="H211" s="4"/>
    </row>
    <row r="212" spans="1:8" ht="11.25" customHeight="1" x14ac:dyDescent="0.2">
      <c r="A212" s="30">
        <v>6327</v>
      </c>
      <c r="B212" s="31" t="s">
        <v>218</v>
      </c>
      <c r="C212" s="32" t="s">
        <v>8</v>
      </c>
      <c r="D212" s="32" t="s">
        <v>3</v>
      </c>
      <c r="E212" s="20">
        <v>5</v>
      </c>
      <c r="F212" s="23">
        <f t="shared" si="3"/>
        <v>598.1</v>
      </c>
      <c r="G212" s="3"/>
      <c r="H212" s="4"/>
    </row>
    <row r="213" spans="1:8" ht="11.25" customHeight="1" x14ac:dyDescent="0.2">
      <c r="A213" s="30">
        <v>7396</v>
      </c>
      <c r="B213" s="31" t="s">
        <v>219</v>
      </c>
      <c r="C213" s="32" t="s">
        <v>8</v>
      </c>
      <c r="D213" s="32" t="s">
        <v>3</v>
      </c>
      <c r="E213" s="20">
        <v>7.5</v>
      </c>
      <c r="F213" s="23">
        <f t="shared" si="3"/>
        <v>897.15000000000009</v>
      </c>
      <c r="G213" s="3"/>
      <c r="H213" s="4"/>
    </row>
    <row r="214" spans="1:8" ht="11.25" customHeight="1" x14ac:dyDescent="0.2">
      <c r="A214" s="30">
        <v>6392</v>
      </c>
      <c r="B214" s="31" t="s">
        <v>220</v>
      </c>
      <c r="C214" s="32" t="s">
        <v>8</v>
      </c>
      <c r="D214" s="32" t="s">
        <v>3</v>
      </c>
      <c r="E214" s="20">
        <v>5</v>
      </c>
      <c r="F214" s="23">
        <f t="shared" si="3"/>
        <v>598.1</v>
      </c>
      <c r="G214" s="3"/>
      <c r="H214" s="4"/>
    </row>
    <row r="215" spans="1:8" ht="11.25" customHeight="1" x14ac:dyDescent="0.2">
      <c r="A215" s="30">
        <v>6594</v>
      </c>
      <c r="B215" s="31" t="s">
        <v>221</v>
      </c>
      <c r="C215" s="32" t="s">
        <v>8</v>
      </c>
      <c r="D215" s="32" t="s">
        <v>3</v>
      </c>
      <c r="E215" s="20">
        <v>7</v>
      </c>
      <c r="F215" s="23">
        <f t="shared" si="3"/>
        <v>837.34</v>
      </c>
      <c r="G215" s="3"/>
      <c r="H215" s="4"/>
    </row>
    <row r="216" spans="1:8" ht="11.25" customHeight="1" x14ac:dyDescent="0.2">
      <c r="A216" s="30">
        <v>6393</v>
      </c>
      <c r="B216" s="31" t="s">
        <v>222</v>
      </c>
      <c r="C216" s="32" t="s">
        <v>8</v>
      </c>
      <c r="D216" s="32" t="s">
        <v>3</v>
      </c>
      <c r="E216" s="20">
        <v>2.4</v>
      </c>
      <c r="F216" s="23">
        <f t="shared" si="3"/>
        <v>287.08800000000002</v>
      </c>
      <c r="G216" s="3"/>
      <c r="H216" s="4"/>
    </row>
    <row r="217" spans="1:8" ht="11.25" customHeight="1" x14ac:dyDescent="0.2">
      <c r="A217" s="30">
        <v>6960</v>
      </c>
      <c r="B217" s="31" t="s">
        <v>223</v>
      </c>
      <c r="C217" s="32" t="s">
        <v>8</v>
      </c>
      <c r="D217" s="32" t="s">
        <v>3</v>
      </c>
      <c r="E217" s="20">
        <v>2.4</v>
      </c>
      <c r="F217" s="23">
        <f t="shared" si="3"/>
        <v>287.08800000000002</v>
      </c>
      <c r="G217" s="3"/>
      <c r="H217" s="4"/>
    </row>
    <row r="218" spans="1:8" ht="11.25" customHeight="1" x14ac:dyDescent="0.2">
      <c r="A218" s="30">
        <v>6394</v>
      </c>
      <c r="B218" s="31" t="s">
        <v>224</v>
      </c>
      <c r="C218" s="32" t="s">
        <v>8</v>
      </c>
      <c r="D218" s="32" t="s">
        <v>3</v>
      </c>
      <c r="E218" s="20">
        <v>6</v>
      </c>
      <c r="F218" s="23">
        <f t="shared" si="3"/>
        <v>717.72</v>
      </c>
      <c r="G218" s="3"/>
      <c r="H218" s="4"/>
    </row>
    <row r="219" spans="1:8" ht="11.25" customHeight="1" x14ac:dyDescent="0.2">
      <c r="A219" s="30">
        <v>6395</v>
      </c>
      <c r="B219" s="31" t="s">
        <v>225</v>
      </c>
      <c r="C219" s="32" t="s">
        <v>8</v>
      </c>
      <c r="D219" s="32" t="s">
        <v>3</v>
      </c>
      <c r="E219" s="20">
        <v>6</v>
      </c>
      <c r="F219" s="23">
        <f t="shared" si="3"/>
        <v>717.72</v>
      </c>
      <c r="G219" s="3"/>
      <c r="H219" s="4"/>
    </row>
    <row r="220" spans="1:8" ht="11.25" customHeight="1" x14ac:dyDescent="0.2">
      <c r="A220" s="30">
        <v>7394</v>
      </c>
      <c r="B220" s="31" t="s">
        <v>226</v>
      </c>
      <c r="C220" s="32" t="s">
        <v>8</v>
      </c>
      <c r="D220" s="32" t="s">
        <v>3</v>
      </c>
      <c r="E220" s="20">
        <v>11.97</v>
      </c>
      <c r="F220" s="23">
        <f t="shared" si="3"/>
        <v>1431.8514000000002</v>
      </c>
      <c r="G220" s="3"/>
      <c r="H220" s="4"/>
    </row>
    <row r="221" spans="1:8" ht="11.25" customHeight="1" x14ac:dyDescent="0.2">
      <c r="A221" s="30">
        <v>6400</v>
      </c>
      <c r="B221" s="31" t="s">
        <v>227</v>
      </c>
      <c r="C221" s="32" t="s">
        <v>8</v>
      </c>
      <c r="D221" s="32" t="s">
        <v>3</v>
      </c>
      <c r="E221" s="20">
        <v>0.8</v>
      </c>
      <c r="F221" s="23">
        <f t="shared" si="3"/>
        <v>95.696000000000012</v>
      </c>
      <c r="G221" s="3"/>
      <c r="H221" s="4"/>
    </row>
    <row r="222" spans="1:8" ht="11.25" customHeight="1" x14ac:dyDescent="0.2">
      <c r="A222" s="30">
        <v>6401</v>
      </c>
      <c r="B222" s="31" t="s">
        <v>228</v>
      </c>
      <c r="C222" s="32" t="s">
        <v>8</v>
      </c>
      <c r="D222" s="32" t="s">
        <v>3</v>
      </c>
      <c r="E222" s="20">
        <v>2</v>
      </c>
      <c r="F222" s="23">
        <f t="shared" si="3"/>
        <v>239.24</v>
      </c>
      <c r="G222" s="3"/>
      <c r="H222" s="4"/>
    </row>
    <row r="223" spans="1:8" ht="11.25" customHeight="1" x14ac:dyDescent="0.2">
      <c r="A223" s="30">
        <v>6589</v>
      </c>
      <c r="B223" s="31" t="s">
        <v>229</v>
      </c>
      <c r="C223" s="32" t="s">
        <v>8</v>
      </c>
      <c r="D223" s="32" t="s">
        <v>3</v>
      </c>
      <c r="E223" s="20">
        <v>2</v>
      </c>
      <c r="F223" s="23">
        <f t="shared" si="3"/>
        <v>239.24</v>
      </c>
      <c r="G223" s="3"/>
      <c r="H223" s="4"/>
    </row>
    <row r="224" spans="1:8" ht="11.25" customHeight="1" x14ac:dyDescent="0.2">
      <c r="A224" s="30">
        <v>6402</v>
      </c>
      <c r="B224" s="31" t="s">
        <v>230</v>
      </c>
      <c r="C224" s="32" t="s">
        <v>8</v>
      </c>
      <c r="D224" s="32" t="s">
        <v>3</v>
      </c>
      <c r="E224" s="20">
        <v>1</v>
      </c>
      <c r="F224" s="23">
        <f t="shared" si="3"/>
        <v>119.62</v>
      </c>
      <c r="G224" s="3"/>
      <c r="H224" s="4"/>
    </row>
    <row r="225" spans="1:8" ht="11.25" customHeight="1" x14ac:dyDescent="0.2">
      <c r="A225" s="30">
        <v>6403</v>
      </c>
      <c r="B225" s="31" t="s">
        <v>231</v>
      </c>
      <c r="C225" s="32" t="s">
        <v>8</v>
      </c>
      <c r="D225" s="32" t="s">
        <v>3</v>
      </c>
      <c r="E225" s="20">
        <v>0.5</v>
      </c>
      <c r="F225" s="23">
        <f t="shared" si="3"/>
        <v>59.81</v>
      </c>
      <c r="G225" s="3"/>
      <c r="H225" s="4"/>
    </row>
    <row r="226" spans="1:8" ht="11.25" customHeight="1" x14ac:dyDescent="0.2">
      <c r="A226" s="30">
        <v>6383</v>
      </c>
      <c r="B226" s="31" t="s">
        <v>232</v>
      </c>
      <c r="C226" s="32" t="s">
        <v>8</v>
      </c>
      <c r="D226" s="32" t="s">
        <v>3</v>
      </c>
      <c r="E226" s="20">
        <v>5</v>
      </c>
      <c r="F226" s="23">
        <f t="shared" si="3"/>
        <v>598.1</v>
      </c>
      <c r="G226" s="3"/>
      <c r="H226" s="4"/>
    </row>
    <row r="227" spans="1:8" ht="11.25" customHeight="1" x14ac:dyDescent="0.2">
      <c r="A227" s="30">
        <v>7043</v>
      </c>
      <c r="B227" s="31" t="s">
        <v>233</v>
      </c>
      <c r="C227" s="32" t="s">
        <v>8</v>
      </c>
      <c r="D227" s="32" t="s">
        <v>3</v>
      </c>
      <c r="E227" s="20">
        <v>0.3</v>
      </c>
      <c r="F227" s="23">
        <f t="shared" si="3"/>
        <v>35.886000000000003</v>
      </c>
      <c r="G227" s="3"/>
      <c r="H227" s="4"/>
    </row>
    <row r="228" spans="1:8" ht="11.25" customHeight="1" x14ac:dyDescent="0.2">
      <c r="A228" s="30">
        <v>6429</v>
      </c>
      <c r="B228" s="31" t="s">
        <v>234</v>
      </c>
      <c r="C228" s="32" t="s">
        <v>8</v>
      </c>
      <c r="D228" s="32" t="s">
        <v>3</v>
      </c>
      <c r="E228" s="20">
        <v>0.5</v>
      </c>
      <c r="F228" s="23">
        <f t="shared" si="3"/>
        <v>59.81</v>
      </c>
      <c r="G228" s="3"/>
      <c r="H228" s="4"/>
    </row>
    <row r="229" spans="1:8" ht="11.25" customHeight="1" x14ac:dyDescent="0.2">
      <c r="A229" s="30">
        <v>6430</v>
      </c>
      <c r="B229" s="31" t="s">
        <v>235</v>
      </c>
      <c r="C229" s="32" t="s">
        <v>8</v>
      </c>
      <c r="D229" s="32" t="s">
        <v>3</v>
      </c>
      <c r="E229" s="20">
        <v>0.5</v>
      </c>
      <c r="F229" s="23">
        <f t="shared" si="3"/>
        <v>59.81</v>
      </c>
      <c r="G229" s="3"/>
      <c r="H229" s="4"/>
    </row>
    <row r="230" spans="1:8" ht="11.25" customHeight="1" x14ac:dyDescent="0.2">
      <c r="A230" s="30">
        <v>6563</v>
      </c>
      <c r="B230" s="31" t="s">
        <v>236</v>
      </c>
      <c r="C230" s="32" t="s">
        <v>8</v>
      </c>
      <c r="D230" s="32" t="s">
        <v>3</v>
      </c>
      <c r="E230" s="20">
        <v>0.5</v>
      </c>
      <c r="F230" s="23">
        <f t="shared" si="3"/>
        <v>59.81</v>
      </c>
      <c r="G230" s="3"/>
      <c r="H230" s="4"/>
    </row>
    <row r="231" spans="1:8" ht="11.25" customHeight="1" x14ac:dyDescent="0.2">
      <c r="A231" s="30">
        <v>7418</v>
      </c>
      <c r="B231" s="31" t="s">
        <v>237</v>
      </c>
      <c r="C231" s="32" t="s">
        <v>8</v>
      </c>
      <c r="D231" s="32" t="s">
        <v>3</v>
      </c>
      <c r="E231" s="20">
        <v>0.19</v>
      </c>
      <c r="F231" s="23">
        <f t="shared" si="3"/>
        <v>22.727800000000002</v>
      </c>
      <c r="G231" s="3"/>
      <c r="H231" s="4"/>
    </row>
    <row r="232" spans="1:8" ht="11.25" customHeight="1" x14ac:dyDescent="0.2">
      <c r="A232" s="30">
        <v>6411</v>
      </c>
      <c r="B232" s="31" t="s">
        <v>238</v>
      </c>
      <c r="C232" s="32" t="s">
        <v>8</v>
      </c>
      <c r="D232" s="32" t="s">
        <v>3</v>
      </c>
      <c r="E232" s="20">
        <v>3.38</v>
      </c>
      <c r="F232" s="23">
        <f t="shared" si="3"/>
        <v>404.31560000000002</v>
      </c>
      <c r="G232" s="3"/>
      <c r="H232" s="4"/>
    </row>
    <row r="233" spans="1:8" ht="11.25" customHeight="1" x14ac:dyDescent="0.2">
      <c r="A233" s="30">
        <v>6634</v>
      </c>
      <c r="B233" s="31" t="s">
        <v>239</v>
      </c>
      <c r="C233" s="32" t="s">
        <v>8</v>
      </c>
      <c r="D233" s="32" t="s">
        <v>3</v>
      </c>
      <c r="E233" s="20">
        <v>1</v>
      </c>
      <c r="F233" s="23">
        <f t="shared" si="3"/>
        <v>119.62</v>
      </c>
      <c r="G233" s="3"/>
      <c r="H233" s="4"/>
    </row>
    <row r="234" spans="1:8" ht="11.25" customHeight="1" x14ac:dyDescent="0.2">
      <c r="A234" s="30">
        <v>6247</v>
      </c>
      <c r="B234" s="31" t="s">
        <v>240</v>
      </c>
      <c r="C234" s="32" t="s">
        <v>8</v>
      </c>
      <c r="D234" s="32" t="s">
        <v>3</v>
      </c>
      <c r="E234" s="20">
        <v>2.5</v>
      </c>
      <c r="F234" s="23">
        <f t="shared" si="3"/>
        <v>299.05</v>
      </c>
      <c r="G234" s="3"/>
      <c r="H234" s="4"/>
    </row>
    <row r="235" spans="1:8" ht="11.25" customHeight="1" x14ac:dyDescent="0.2">
      <c r="A235" s="30">
        <v>6472</v>
      </c>
      <c r="B235" s="31" t="s">
        <v>241</v>
      </c>
      <c r="C235" s="32" t="s">
        <v>8</v>
      </c>
      <c r="D235" s="32" t="s">
        <v>3</v>
      </c>
      <c r="E235" s="20">
        <v>0.2</v>
      </c>
      <c r="F235" s="23">
        <f t="shared" si="3"/>
        <v>23.924000000000003</v>
      </c>
      <c r="G235" s="3"/>
      <c r="H235" s="4"/>
    </row>
    <row r="236" spans="1:8" ht="11.25" customHeight="1" x14ac:dyDescent="0.2">
      <c r="A236" s="30">
        <v>6195</v>
      </c>
      <c r="B236" s="31" t="s">
        <v>242</v>
      </c>
      <c r="C236" s="32" t="s">
        <v>60</v>
      </c>
      <c r="D236" s="32" t="s">
        <v>3</v>
      </c>
      <c r="E236" s="20">
        <v>11</v>
      </c>
      <c r="F236" s="23">
        <f t="shared" si="3"/>
        <v>1315.8200000000002</v>
      </c>
      <c r="G236" s="3"/>
      <c r="H236" s="4"/>
    </row>
    <row r="237" spans="1:8" ht="11.25" customHeight="1" x14ac:dyDescent="0.2">
      <c r="A237" s="30">
        <v>6239</v>
      </c>
      <c r="B237" s="31" t="s">
        <v>243</v>
      </c>
      <c r="C237" s="32" t="s">
        <v>8</v>
      </c>
      <c r="D237" s="32" t="s">
        <v>3</v>
      </c>
      <c r="E237" s="20">
        <v>2.5</v>
      </c>
      <c r="F237" s="23">
        <f t="shared" si="3"/>
        <v>299.05</v>
      </c>
      <c r="G237" s="3"/>
      <c r="H237" s="4"/>
    </row>
    <row r="238" spans="1:8" ht="11.25" customHeight="1" x14ac:dyDescent="0.2">
      <c r="A238" s="30">
        <v>6420</v>
      </c>
      <c r="B238" s="31" t="s">
        <v>244</v>
      </c>
      <c r="C238" s="32" t="s">
        <v>8</v>
      </c>
      <c r="D238" s="32" t="s">
        <v>3</v>
      </c>
      <c r="E238" s="20">
        <v>0.5</v>
      </c>
      <c r="F238" s="23">
        <f t="shared" si="3"/>
        <v>59.81</v>
      </c>
      <c r="G238" s="3"/>
      <c r="H238" s="4"/>
    </row>
    <row r="239" spans="1:8" ht="11.25" customHeight="1" x14ac:dyDescent="0.2">
      <c r="A239" s="30">
        <v>7423</v>
      </c>
      <c r="B239" s="31" t="s">
        <v>245</v>
      </c>
      <c r="C239" s="32" t="s">
        <v>8</v>
      </c>
      <c r="D239" s="32" t="s">
        <v>3</v>
      </c>
      <c r="E239" s="20">
        <v>2.99</v>
      </c>
      <c r="F239" s="23">
        <f t="shared" si="3"/>
        <v>357.66380000000004</v>
      </c>
      <c r="G239" s="3"/>
      <c r="H239" s="4"/>
    </row>
    <row r="240" spans="1:8" ht="11.25" customHeight="1" x14ac:dyDescent="0.2">
      <c r="A240" s="30">
        <v>7426</v>
      </c>
      <c r="B240" s="31" t="s">
        <v>246</v>
      </c>
      <c r="C240" s="32" t="s">
        <v>8</v>
      </c>
      <c r="D240" s="32" t="s">
        <v>3</v>
      </c>
      <c r="E240" s="20">
        <v>2.99</v>
      </c>
      <c r="F240" s="23">
        <f t="shared" si="3"/>
        <v>357.66380000000004</v>
      </c>
      <c r="G240" s="3"/>
      <c r="H240" s="4"/>
    </row>
    <row r="241" spans="1:8" ht="11.25" customHeight="1" x14ac:dyDescent="0.2">
      <c r="A241" s="30">
        <v>7429</v>
      </c>
      <c r="B241" s="31" t="s">
        <v>247</v>
      </c>
      <c r="C241" s="32" t="s">
        <v>8</v>
      </c>
      <c r="D241" s="32" t="s">
        <v>3</v>
      </c>
      <c r="E241" s="20">
        <v>7.5</v>
      </c>
      <c r="F241" s="23">
        <f t="shared" si="3"/>
        <v>897.15000000000009</v>
      </c>
      <c r="G241" s="3"/>
      <c r="H241" s="4"/>
    </row>
    <row r="242" spans="1:8" ht="11.25" customHeight="1" x14ac:dyDescent="0.2">
      <c r="A242" s="30">
        <v>6423</v>
      </c>
      <c r="B242" s="31" t="s">
        <v>248</v>
      </c>
      <c r="C242" s="32" t="s">
        <v>8</v>
      </c>
      <c r="D242" s="32" t="s">
        <v>3</v>
      </c>
      <c r="E242" s="20">
        <v>2</v>
      </c>
      <c r="F242" s="23">
        <f t="shared" si="3"/>
        <v>239.24</v>
      </c>
      <c r="G242" s="3"/>
      <c r="H242" s="4"/>
    </row>
    <row r="243" spans="1:8" ht="11.25" customHeight="1" x14ac:dyDescent="0.2">
      <c r="A243" s="30">
        <v>6240</v>
      </c>
      <c r="B243" s="31" t="s">
        <v>249</v>
      </c>
      <c r="C243" s="32" t="s">
        <v>8</v>
      </c>
      <c r="D243" s="32" t="s">
        <v>3</v>
      </c>
      <c r="E243" s="20">
        <v>2</v>
      </c>
      <c r="F243" s="23">
        <f t="shared" si="3"/>
        <v>239.24</v>
      </c>
      <c r="G243" s="3"/>
      <c r="H243" s="4"/>
    </row>
    <row r="244" spans="1:8" ht="11.25" customHeight="1" x14ac:dyDescent="0.2">
      <c r="A244" s="30">
        <v>6242</v>
      </c>
      <c r="B244" s="31" t="s">
        <v>250</v>
      </c>
      <c r="C244" s="32" t="s">
        <v>8</v>
      </c>
      <c r="D244" s="32" t="s">
        <v>3</v>
      </c>
      <c r="E244" s="20">
        <v>2</v>
      </c>
      <c r="F244" s="23">
        <f t="shared" si="3"/>
        <v>239.24</v>
      </c>
      <c r="G244" s="3"/>
      <c r="H244" s="4"/>
    </row>
    <row r="245" spans="1:8" ht="11.25" customHeight="1" x14ac:dyDescent="0.2">
      <c r="A245" s="30">
        <v>6196</v>
      </c>
      <c r="B245" s="31" t="s">
        <v>251</v>
      </c>
      <c r="C245" s="32" t="s">
        <v>8</v>
      </c>
      <c r="D245" s="32" t="s">
        <v>3</v>
      </c>
      <c r="E245" s="20">
        <v>16</v>
      </c>
      <c r="F245" s="23">
        <f t="shared" si="3"/>
        <v>1913.92</v>
      </c>
      <c r="G245" s="3"/>
      <c r="H245" s="4"/>
    </row>
    <row r="246" spans="1:8" ht="11.25" customHeight="1" x14ac:dyDescent="0.2">
      <c r="A246" s="30">
        <v>6082</v>
      </c>
      <c r="B246" s="31" t="s">
        <v>252</v>
      </c>
      <c r="C246" s="32" t="s">
        <v>8</v>
      </c>
      <c r="D246" s="32" t="s">
        <v>3</v>
      </c>
      <c r="E246" s="20">
        <v>1</v>
      </c>
      <c r="F246" s="23">
        <f t="shared" si="3"/>
        <v>119.62</v>
      </c>
      <c r="G246" s="3"/>
      <c r="H246" s="4"/>
    </row>
    <row r="247" spans="1:8" ht="11.25" customHeight="1" x14ac:dyDescent="0.2">
      <c r="A247" s="30">
        <v>6083</v>
      </c>
      <c r="B247" s="31" t="s">
        <v>253</v>
      </c>
      <c r="C247" s="32" t="s">
        <v>8</v>
      </c>
      <c r="D247" s="32" t="s">
        <v>3</v>
      </c>
      <c r="E247" s="20">
        <v>1</v>
      </c>
      <c r="F247" s="23">
        <f t="shared" si="3"/>
        <v>119.62</v>
      </c>
      <c r="G247" s="3"/>
      <c r="H247" s="4"/>
    </row>
    <row r="248" spans="1:8" ht="11.25" customHeight="1" x14ac:dyDescent="0.2">
      <c r="A248" s="30">
        <v>6661</v>
      </c>
      <c r="B248" s="31" t="s">
        <v>254</v>
      </c>
      <c r="C248" s="32" t="s">
        <v>8</v>
      </c>
      <c r="D248" s="32" t="s">
        <v>3</v>
      </c>
      <c r="E248" s="20">
        <v>60</v>
      </c>
      <c r="F248" s="23">
        <f t="shared" si="3"/>
        <v>7177.2000000000007</v>
      </c>
      <c r="G248" s="3"/>
      <c r="H248" s="4"/>
    </row>
    <row r="249" spans="1:8" ht="11.25" customHeight="1" x14ac:dyDescent="0.2">
      <c r="A249" s="30">
        <v>6425</v>
      </c>
      <c r="B249" s="31" t="s">
        <v>255</v>
      </c>
      <c r="C249" s="32" t="s">
        <v>8</v>
      </c>
      <c r="D249" s="32" t="s">
        <v>3</v>
      </c>
      <c r="E249" s="20">
        <v>4.5</v>
      </c>
      <c r="F249" s="23">
        <f t="shared" si="3"/>
        <v>538.29</v>
      </c>
      <c r="G249" s="3"/>
      <c r="H249" s="4"/>
    </row>
    <row r="250" spans="1:8" ht="11.25" customHeight="1" x14ac:dyDescent="0.2">
      <c r="A250" s="30">
        <v>6243</v>
      </c>
      <c r="B250" s="31" t="s">
        <v>256</v>
      </c>
      <c r="C250" s="32" t="s">
        <v>8</v>
      </c>
      <c r="D250" s="32" t="s">
        <v>3</v>
      </c>
      <c r="E250" s="20">
        <v>3</v>
      </c>
      <c r="F250" s="23">
        <f t="shared" si="3"/>
        <v>358.86</v>
      </c>
      <c r="G250" s="3"/>
      <c r="H250" s="4"/>
    </row>
    <row r="251" spans="1:8" ht="11.25" customHeight="1" x14ac:dyDescent="0.2">
      <c r="A251" s="30">
        <v>6426</v>
      </c>
      <c r="B251" s="31" t="s">
        <v>257</v>
      </c>
      <c r="C251" s="32" t="s">
        <v>8</v>
      </c>
      <c r="D251" s="32" t="s">
        <v>3</v>
      </c>
      <c r="E251" s="20">
        <v>4</v>
      </c>
      <c r="F251" s="23">
        <f t="shared" si="3"/>
        <v>478.48</v>
      </c>
      <c r="G251" s="3"/>
      <c r="H251" s="4"/>
    </row>
    <row r="252" spans="1:8" ht="11.25" customHeight="1" x14ac:dyDescent="0.2">
      <c r="A252" s="30">
        <v>6329</v>
      </c>
      <c r="B252" s="31" t="s">
        <v>258</v>
      </c>
      <c r="C252" s="32" t="s">
        <v>8</v>
      </c>
      <c r="D252" s="32" t="s">
        <v>3</v>
      </c>
      <c r="E252" s="20">
        <v>22</v>
      </c>
      <c r="F252" s="23">
        <f t="shared" si="3"/>
        <v>2631.6400000000003</v>
      </c>
      <c r="G252" s="3"/>
      <c r="H252" s="4"/>
    </row>
    <row r="253" spans="1:8" ht="11.25" customHeight="1" x14ac:dyDescent="0.2">
      <c r="A253" s="30">
        <v>6330</v>
      </c>
      <c r="B253" s="31" t="s">
        <v>259</v>
      </c>
      <c r="C253" s="32" t="s">
        <v>8</v>
      </c>
      <c r="D253" s="32" t="s">
        <v>3</v>
      </c>
      <c r="E253" s="20">
        <v>25</v>
      </c>
      <c r="F253" s="23">
        <f t="shared" si="3"/>
        <v>2990.5</v>
      </c>
      <c r="G253" s="3"/>
      <c r="H253" s="4"/>
    </row>
    <row r="254" spans="1:8" ht="11.25" customHeight="1" x14ac:dyDescent="0.2">
      <c r="A254" s="30">
        <v>6216</v>
      </c>
      <c r="B254" s="31" t="s">
        <v>260</v>
      </c>
      <c r="C254" s="32" t="s">
        <v>8</v>
      </c>
      <c r="D254" s="32" t="s">
        <v>3</v>
      </c>
      <c r="E254" s="20">
        <v>1.2</v>
      </c>
      <c r="F254" s="23">
        <f t="shared" si="3"/>
        <v>143.54400000000001</v>
      </c>
      <c r="G254" s="3"/>
      <c r="H254" s="4"/>
    </row>
    <row r="255" spans="1:8" ht="11.25" customHeight="1" x14ac:dyDescent="0.2">
      <c r="A255" s="30">
        <v>6253</v>
      </c>
      <c r="B255" s="31" t="s">
        <v>261</v>
      </c>
      <c r="C255" s="32" t="s">
        <v>8</v>
      </c>
      <c r="D255" s="32" t="s">
        <v>3</v>
      </c>
      <c r="E255" s="20">
        <v>0.5</v>
      </c>
      <c r="F255" s="23">
        <f t="shared" si="3"/>
        <v>59.81</v>
      </c>
      <c r="G255" s="3"/>
      <c r="H255" s="4"/>
    </row>
    <row r="256" spans="1:8" ht="11.25" customHeight="1" x14ac:dyDescent="0.2">
      <c r="A256" s="30">
        <v>6250</v>
      </c>
      <c r="B256" s="31" t="s">
        <v>262</v>
      </c>
      <c r="C256" s="32" t="s">
        <v>8</v>
      </c>
      <c r="D256" s="32" t="s">
        <v>3</v>
      </c>
      <c r="E256" s="20">
        <v>0.5</v>
      </c>
      <c r="F256" s="23">
        <f t="shared" si="3"/>
        <v>59.81</v>
      </c>
      <c r="G256" s="3"/>
      <c r="H256" s="4"/>
    </row>
    <row r="257" spans="1:8" ht="11.25" customHeight="1" x14ac:dyDescent="0.2">
      <c r="A257" s="30">
        <v>6254</v>
      </c>
      <c r="B257" s="31" t="s">
        <v>263</v>
      </c>
      <c r="C257" s="32" t="s">
        <v>8</v>
      </c>
      <c r="D257" s="32" t="s">
        <v>3</v>
      </c>
      <c r="E257" s="20">
        <v>0.5</v>
      </c>
      <c r="F257" s="23">
        <f t="shared" si="3"/>
        <v>59.81</v>
      </c>
      <c r="G257" s="3"/>
      <c r="H257" s="4"/>
    </row>
    <row r="258" spans="1:8" ht="11.25" customHeight="1" x14ac:dyDescent="0.2">
      <c r="A258" s="30">
        <v>6390</v>
      </c>
      <c r="B258" s="31" t="s">
        <v>264</v>
      </c>
      <c r="C258" s="32" t="s">
        <v>8</v>
      </c>
      <c r="D258" s="32" t="s">
        <v>3</v>
      </c>
      <c r="E258" s="20">
        <v>11</v>
      </c>
      <c r="F258" s="23">
        <f t="shared" si="3"/>
        <v>1315.8200000000002</v>
      </c>
      <c r="G258" s="3"/>
      <c r="H258" s="4"/>
    </row>
    <row r="259" spans="1:8" ht="11.25" customHeight="1" x14ac:dyDescent="0.2">
      <c r="A259" s="30">
        <v>6458</v>
      </c>
      <c r="B259" s="31" t="s">
        <v>265</v>
      </c>
      <c r="C259" s="32" t="s">
        <v>8</v>
      </c>
      <c r="D259" s="32" t="s">
        <v>3</v>
      </c>
      <c r="E259" s="20">
        <v>11</v>
      </c>
      <c r="F259" s="23">
        <f t="shared" si="3"/>
        <v>1315.8200000000002</v>
      </c>
      <c r="G259" s="3"/>
      <c r="H259" s="4"/>
    </row>
    <row r="260" spans="1:8" ht="11.25" customHeight="1" x14ac:dyDescent="0.2">
      <c r="A260" s="30">
        <v>6332</v>
      </c>
      <c r="B260" s="31" t="s">
        <v>266</v>
      </c>
      <c r="C260" s="32" t="s">
        <v>8</v>
      </c>
      <c r="D260" s="32" t="s">
        <v>3</v>
      </c>
      <c r="E260" s="20">
        <v>15</v>
      </c>
      <c r="F260" s="23">
        <f t="shared" si="3"/>
        <v>1794.3000000000002</v>
      </c>
      <c r="G260" s="3"/>
      <c r="H260" s="4"/>
    </row>
    <row r="261" spans="1:8" ht="11.25" customHeight="1" x14ac:dyDescent="0.2">
      <c r="A261" s="30">
        <v>6595</v>
      </c>
      <c r="B261" s="31" t="s">
        <v>267</v>
      </c>
      <c r="C261" s="32" t="s">
        <v>8</v>
      </c>
      <c r="D261" s="32" t="s">
        <v>3</v>
      </c>
      <c r="E261" s="20">
        <v>15</v>
      </c>
      <c r="F261" s="23">
        <f t="shared" si="3"/>
        <v>1794.3000000000002</v>
      </c>
      <c r="G261" s="3"/>
      <c r="H261" s="4"/>
    </row>
    <row r="262" spans="1:8" ht="11.25" customHeight="1" x14ac:dyDescent="0.2">
      <c r="A262" s="30">
        <v>6596</v>
      </c>
      <c r="B262" s="31" t="s">
        <v>268</v>
      </c>
      <c r="C262" s="32" t="s">
        <v>8</v>
      </c>
      <c r="D262" s="32" t="s">
        <v>3</v>
      </c>
      <c r="E262" s="20">
        <v>15</v>
      </c>
      <c r="F262" s="23">
        <f t="shared" si="3"/>
        <v>1794.3000000000002</v>
      </c>
      <c r="G262" s="3"/>
      <c r="H262" s="4"/>
    </row>
    <row r="263" spans="1:8" ht="11.25" customHeight="1" x14ac:dyDescent="0.2">
      <c r="A263" s="30">
        <v>6636</v>
      </c>
      <c r="B263" s="31" t="s">
        <v>165</v>
      </c>
      <c r="C263" s="32" t="s">
        <v>8</v>
      </c>
      <c r="D263" s="32" t="s">
        <v>3</v>
      </c>
      <c r="E263" s="20">
        <v>2</v>
      </c>
      <c r="F263" s="23">
        <f t="shared" si="3"/>
        <v>239.24</v>
      </c>
      <c r="G263" s="3"/>
      <c r="H263" s="4"/>
    </row>
    <row r="264" spans="1:8" ht="11.25" customHeight="1" x14ac:dyDescent="0.2">
      <c r="A264" s="30">
        <v>6092</v>
      </c>
      <c r="B264" s="31" t="s">
        <v>269</v>
      </c>
      <c r="C264" s="32" t="s">
        <v>8</v>
      </c>
      <c r="D264" s="32" t="s">
        <v>3</v>
      </c>
      <c r="E264" s="20">
        <v>8</v>
      </c>
      <c r="F264" s="23">
        <f t="shared" si="3"/>
        <v>956.96</v>
      </c>
      <c r="G264" s="3"/>
      <c r="H264" s="4"/>
    </row>
    <row r="265" spans="1:8" ht="11.25" customHeight="1" x14ac:dyDescent="0.2">
      <c r="A265" s="30">
        <v>6093</v>
      </c>
      <c r="B265" s="31" t="s">
        <v>270</v>
      </c>
      <c r="C265" s="32" t="s">
        <v>8</v>
      </c>
      <c r="D265" s="32" t="s">
        <v>3</v>
      </c>
      <c r="E265" s="20">
        <v>11</v>
      </c>
      <c r="F265" s="23">
        <f t="shared" ref="F265:F328" si="4">E265*F$5</f>
        <v>1315.8200000000002</v>
      </c>
      <c r="G265" s="3"/>
      <c r="H265" s="4"/>
    </row>
    <row r="266" spans="1:8" ht="11.25" customHeight="1" x14ac:dyDescent="0.2">
      <c r="A266" s="30">
        <v>92325</v>
      </c>
      <c r="B266" s="31" t="s">
        <v>271</v>
      </c>
      <c r="C266" s="32" t="s">
        <v>19</v>
      </c>
      <c r="D266" s="32" t="s">
        <v>3</v>
      </c>
      <c r="E266" s="20">
        <v>0.02</v>
      </c>
      <c r="F266" s="23">
        <f t="shared" si="4"/>
        <v>2.3924000000000003</v>
      </c>
      <c r="G266" s="3"/>
      <c r="H266" s="4"/>
    </row>
    <row r="267" spans="1:8" ht="11.25" customHeight="1" x14ac:dyDescent="0.2">
      <c r="A267" s="30">
        <v>6333</v>
      </c>
      <c r="B267" s="31" t="s">
        <v>272</v>
      </c>
      <c r="C267" s="32" t="s">
        <v>6</v>
      </c>
      <c r="D267" s="32" t="s">
        <v>3</v>
      </c>
      <c r="E267" s="20">
        <v>0.05</v>
      </c>
      <c r="F267" s="23">
        <f t="shared" si="4"/>
        <v>5.9810000000000008</v>
      </c>
      <c r="G267" s="3"/>
      <c r="H267" s="4"/>
    </row>
    <row r="268" spans="1:8" ht="11.25" customHeight="1" x14ac:dyDescent="0.2">
      <c r="A268" s="30">
        <v>6473</v>
      </c>
      <c r="B268" s="31" t="s">
        <v>273</v>
      </c>
      <c r="C268" s="32" t="s">
        <v>6</v>
      </c>
      <c r="D268" s="32" t="s">
        <v>3</v>
      </c>
      <c r="E268" s="20">
        <v>0.05</v>
      </c>
      <c r="F268" s="23">
        <f t="shared" si="4"/>
        <v>5.9810000000000008</v>
      </c>
      <c r="G268" s="3"/>
      <c r="H268" s="4"/>
    </row>
    <row r="269" spans="1:8" ht="11.25" customHeight="1" x14ac:dyDescent="0.2">
      <c r="A269" s="30">
        <v>6377</v>
      </c>
      <c r="B269" s="31" t="s">
        <v>274</v>
      </c>
      <c r="C269" s="32" t="s">
        <v>19</v>
      </c>
      <c r="D269" s="32" t="s">
        <v>3</v>
      </c>
      <c r="E269" s="20">
        <v>2.25</v>
      </c>
      <c r="F269" s="23">
        <f t="shared" si="4"/>
        <v>269.14499999999998</v>
      </c>
      <c r="G269" s="3"/>
      <c r="H269" s="4"/>
    </row>
    <row r="270" spans="1:8" ht="11.25" customHeight="1" x14ac:dyDescent="0.2">
      <c r="A270" s="30">
        <v>6169</v>
      </c>
      <c r="B270" s="31" t="s">
        <v>275</v>
      </c>
      <c r="C270" s="32" t="s">
        <v>2</v>
      </c>
      <c r="D270" s="32" t="s">
        <v>3</v>
      </c>
      <c r="E270" s="20">
        <v>11</v>
      </c>
      <c r="F270" s="23">
        <f t="shared" si="4"/>
        <v>1315.8200000000002</v>
      </c>
      <c r="G270" s="3"/>
      <c r="H270" s="4"/>
    </row>
    <row r="271" spans="1:8" ht="11.25" customHeight="1" x14ac:dyDescent="0.2">
      <c r="A271" s="30">
        <v>6128</v>
      </c>
      <c r="B271" s="31" t="s">
        <v>276</v>
      </c>
      <c r="C271" s="32" t="s">
        <v>2</v>
      </c>
      <c r="D271" s="32" t="s">
        <v>3</v>
      </c>
      <c r="E271" s="20">
        <v>16.13</v>
      </c>
      <c r="F271" s="23">
        <f t="shared" si="4"/>
        <v>1929.4705999999999</v>
      </c>
      <c r="G271" s="3"/>
      <c r="H271" s="4"/>
    </row>
    <row r="272" spans="1:8" ht="11.25" customHeight="1" x14ac:dyDescent="0.2">
      <c r="A272" s="30">
        <v>6137</v>
      </c>
      <c r="B272" s="31" t="s">
        <v>277</v>
      </c>
      <c r="C272" s="32" t="s">
        <v>2</v>
      </c>
      <c r="D272" s="32" t="s">
        <v>3</v>
      </c>
      <c r="E272" s="20">
        <v>28.82</v>
      </c>
      <c r="F272" s="23">
        <f t="shared" si="4"/>
        <v>3447.4484000000002</v>
      </c>
      <c r="G272" s="3"/>
      <c r="H272" s="4"/>
    </row>
    <row r="273" spans="1:8" ht="11.25" customHeight="1" x14ac:dyDescent="0.2">
      <c r="A273" s="30">
        <v>6129</v>
      </c>
      <c r="B273" s="31" t="s">
        <v>278</v>
      </c>
      <c r="C273" s="32" t="s">
        <v>2</v>
      </c>
      <c r="D273" s="32" t="s">
        <v>3</v>
      </c>
      <c r="E273" s="20">
        <v>22</v>
      </c>
      <c r="F273" s="23">
        <f t="shared" si="4"/>
        <v>2631.6400000000003</v>
      </c>
      <c r="G273" s="3"/>
      <c r="H273" s="4"/>
    </row>
    <row r="274" spans="1:8" ht="11.25" customHeight="1" x14ac:dyDescent="0.2">
      <c r="A274" s="30">
        <v>6445</v>
      </c>
      <c r="B274" s="31" t="s">
        <v>279</v>
      </c>
      <c r="C274" s="32" t="s">
        <v>8</v>
      </c>
      <c r="D274" s="32" t="s">
        <v>3</v>
      </c>
      <c r="E274" s="20">
        <v>0.5</v>
      </c>
      <c r="F274" s="23">
        <f t="shared" si="4"/>
        <v>59.81</v>
      </c>
      <c r="G274" s="3"/>
      <c r="H274" s="4"/>
    </row>
    <row r="275" spans="1:8" ht="11.25" customHeight="1" x14ac:dyDescent="0.2">
      <c r="A275" s="30">
        <v>6446</v>
      </c>
      <c r="B275" s="31" t="s">
        <v>280</v>
      </c>
      <c r="C275" s="32" t="s">
        <v>19</v>
      </c>
      <c r="D275" s="32" t="s">
        <v>3</v>
      </c>
      <c r="E275" s="20">
        <v>8</v>
      </c>
      <c r="F275" s="23">
        <f t="shared" si="4"/>
        <v>956.96</v>
      </c>
      <c r="G275" s="3"/>
      <c r="H275" s="4"/>
    </row>
    <row r="276" spans="1:8" ht="11.25" customHeight="1" x14ac:dyDescent="0.2">
      <c r="A276" s="30">
        <v>6603</v>
      </c>
      <c r="B276" s="31" t="s">
        <v>281</v>
      </c>
      <c r="C276" s="32" t="s">
        <v>19</v>
      </c>
      <c r="D276" s="32" t="s">
        <v>3</v>
      </c>
      <c r="E276" s="20">
        <v>2.67</v>
      </c>
      <c r="F276" s="23">
        <f t="shared" si="4"/>
        <v>319.3854</v>
      </c>
      <c r="G276" s="3"/>
      <c r="H276" s="4"/>
    </row>
    <row r="277" spans="1:8" ht="11.25" customHeight="1" x14ac:dyDescent="0.2">
      <c r="A277" s="30">
        <v>6614</v>
      </c>
      <c r="B277" s="31" t="s">
        <v>282</v>
      </c>
      <c r="C277" s="32" t="s">
        <v>19</v>
      </c>
      <c r="D277" s="32" t="s">
        <v>3</v>
      </c>
      <c r="E277" s="20">
        <v>2</v>
      </c>
      <c r="F277" s="23">
        <f t="shared" si="4"/>
        <v>239.24</v>
      </c>
      <c r="G277" s="3"/>
      <c r="H277" s="4"/>
    </row>
    <row r="278" spans="1:8" ht="11.25" customHeight="1" x14ac:dyDescent="0.2">
      <c r="A278" s="30">
        <v>6246</v>
      </c>
      <c r="B278" s="31" t="s">
        <v>283</v>
      </c>
      <c r="C278" s="32" t="s">
        <v>8</v>
      </c>
      <c r="D278" s="32" t="s">
        <v>3</v>
      </c>
      <c r="E278" s="20">
        <v>0.5</v>
      </c>
      <c r="F278" s="23">
        <f t="shared" si="4"/>
        <v>59.81</v>
      </c>
      <c r="G278" s="3"/>
      <c r="H278" s="4"/>
    </row>
    <row r="279" spans="1:8" ht="11.25" customHeight="1" x14ac:dyDescent="0.2">
      <c r="A279" s="30">
        <v>6447</v>
      </c>
      <c r="B279" s="31" t="s">
        <v>284</v>
      </c>
      <c r="C279" s="32" t="s">
        <v>8</v>
      </c>
      <c r="D279" s="32" t="s">
        <v>3</v>
      </c>
      <c r="E279" s="20">
        <v>0.5</v>
      </c>
      <c r="F279" s="23">
        <f t="shared" si="4"/>
        <v>59.81</v>
      </c>
      <c r="G279" s="3"/>
      <c r="H279" s="4"/>
    </row>
    <row r="280" spans="1:8" ht="11.25" customHeight="1" x14ac:dyDescent="0.2">
      <c r="A280" s="30">
        <v>6223</v>
      </c>
      <c r="B280" s="31" t="s">
        <v>285</v>
      </c>
      <c r="C280" s="32" t="s">
        <v>8</v>
      </c>
      <c r="D280" s="32" t="s">
        <v>3</v>
      </c>
      <c r="E280" s="20">
        <v>0.1</v>
      </c>
      <c r="F280" s="23">
        <f t="shared" si="4"/>
        <v>11.962000000000002</v>
      </c>
      <c r="G280" s="3"/>
      <c r="H280" s="4"/>
    </row>
    <row r="281" spans="1:8" ht="11.25" customHeight="1" x14ac:dyDescent="0.2">
      <c r="A281" s="30">
        <v>6170</v>
      </c>
      <c r="B281" s="31" t="s">
        <v>286</v>
      </c>
      <c r="C281" s="32" t="s">
        <v>8</v>
      </c>
      <c r="D281" s="32" t="s">
        <v>3</v>
      </c>
      <c r="E281" s="20">
        <v>0.5</v>
      </c>
      <c r="F281" s="23">
        <f t="shared" si="4"/>
        <v>59.81</v>
      </c>
      <c r="G281" s="3"/>
      <c r="H281" s="4"/>
    </row>
    <row r="282" spans="1:8" ht="11.25" customHeight="1" x14ac:dyDescent="0.2">
      <c r="A282" s="30">
        <v>6171</v>
      </c>
      <c r="B282" s="31" t="s">
        <v>287</v>
      </c>
      <c r="C282" s="32" t="s">
        <v>8</v>
      </c>
      <c r="D282" s="32" t="s">
        <v>3</v>
      </c>
      <c r="E282" s="20">
        <v>0.5</v>
      </c>
      <c r="F282" s="23">
        <f t="shared" si="4"/>
        <v>59.81</v>
      </c>
      <c r="G282" s="3"/>
      <c r="H282" s="4"/>
    </row>
    <row r="283" spans="1:8" ht="11.25" customHeight="1" x14ac:dyDescent="0.2">
      <c r="A283" s="30">
        <v>6448</v>
      </c>
      <c r="B283" s="31" t="s">
        <v>288</v>
      </c>
      <c r="C283" s="32" t="s">
        <v>8</v>
      </c>
      <c r="D283" s="32" t="s">
        <v>3</v>
      </c>
      <c r="E283" s="20">
        <v>0.5</v>
      </c>
      <c r="F283" s="23">
        <f t="shared" si="4"/>
        <v>59.81</v>
      </c>
      <c r="G283" s="3"/>
      <c r="H283" s="4"/>
    </row>
    <row r="284" spans="1:8" ht="11.25" customHeight="1" x14ac:dyDescent="0.2">
      <c r="A284" s="30">
        <v>6335</v>
      </c>
      <c r="B284" s="31" t="s">
        <v>289</v>
      </c>
      <c r="C284" s="32" t="s">
        <v>8</v>
      </c>
      <c r="D284" s="32" t="s">
        <v>3</v>
      </c>
      <c r="E284" s="20">
        <v>0.5</v>
      </c>
      <c r="F284" s="23">
        <f t="shared" si="4"/>
        <v>59.81</v>
      </c>
      <c r="G284" s="3"/>
      <c r="H284" s="4"/>
    </row>
    <row r="285" spans="1:8" ht="11.25" customHeight="1" x14ac:dyDescent="0.2">
      <c r="A285" s="30">
        <v>6438</v>
      </c>
      <c r="B285" s="31" t="s">
        <v>290</v>
      </c>
      <c r="C285" s="32" t="s">
        <v>139</v>
      </c>
      <c r="D285" s="32" t="s">
        <v>3</v>
      </c>
      <c r="E285" s="20">
        <v>0.5</v>
      </c>
      <c r="F285" s="23">
        <f t="shared" si="4"/>
        <v>59.81</v>
      </c>
      <c r="G285" s="3"/>
      <c r="H285" s="4"/>
    </row>
    <row r="286" spans="1:8" ht="11.25" customHeight="1" x14ac:dyDescent="0.2">
      <c r="A286" s="30">
        <v>6156</v>
      </c>
      <c r="B286" s="31" t="s">
        <v>291</v>
      </c>
      <c r="C286" s="32" t="s">
        <v>8</v>
      </c>
      <c r="D286" s="32" t="s">
        <v>3</v>
      </c>
      <c r="E286" s="20">
        <v>0.7</v>
      </c>
      <c r="F286" s="23">
        <f t="shared" si="4"/>
        <v>83.733999999999995</v>
      </c>
      <c r="G286" s="3"/>
      <c r="H286" s="4"/>
    </row>
    <row r="287" spans="1:8" ht="11.25" customHeight="1" x14ac:dyDescent="0.2">
      <c r="A287" s="30">
        <v>6155</v>
      </c>
      <c r="B287" s="31" t="s">
        <v>292</v>
      </c>
      <c r="C287" s="32" t="s">
        <v>8</v>
      </c>
      <c r="D287" s="32" t="s">
        <v>3</v>
      </c>
      <c r="E287" s="20">
        <v>0.7</v>
      </c>
      <c r="F287" s="23">
        <f t="shared" si="4"/>
        <v>83.733999999999995</v>
      </c>
      <c r="G287" s="3"/>
      <c r="H287" s="4"/>
    </row>
    <row r="288" spans="1:8" ht="11.25" customHeight="1" x14ac:dyDescent="0.2">
      <c r="A288" s="30">
        <v>6181</v>
      </c>
      <c r="B288" s="31" t="s">
        <v>293</v>
      </c>
      <c r="C288" s="32" t="s">
        <v>8</v>
      </c>
      <c r="D288" s="32" t="s">
        <v>3</v>
      </c>
      <c r="E288" s="20">
        <v>0.73</v>
      </c>
      <c r="F288" s="23">
        <f t="shared" si="4"/>
        <v>87.322599999999994</v>
      </c>
      <c r="G288" s="3"/>
      <c r="H288" s="4"/>
    </row>
    <row r="289" spans="1:8" ht="11.25" customHeight="1" x14ac:dyDescent="0.2">
      <c r="A289" s="30">
        <v>6182</v>
      </c>
      <c r="B289" s="31" t="s">
        <v>294</v>
      </c>
      <c r="C289" s="32" t="s">
        <v>8</v>
      </c>
      <c r="D289" s="32" t="s">
        <v>3</v>
      </c>
      <c r="E289" s="20">
        <v>0.5</v>
      </c>
      <c r="F289" s="23">
        <f t="shared" si="4"/>
        <v>59.81</v>
      </c>
      <c r="G289" s="3"/>
      <c r="H289" s="4"/>
    </row>
    <row r="290" spans="1:8" ht="11.25" customHeight="1" x14ac:dyDescent="0.2">
      <c r="A290" s="30">
        <v>6439</v>
      </c>
      <c r="B290" s="31" t="s">
        <v>295</v>
      </c>
      <c r="C290" s="32" t="s">
        <v>8</v>
      </c>
      <c r="D290" s="32" t="s">
        <v>3</v>
      </c>
      <c r="E290" s="20">
        <v>0.2</v>
      </c>
      <c r="F290" s="23">
        <f t="shared" si="4"/>
        <v>23.924000000000003</v>
      </c>
      <c r="G290" s="3"/>
      <c r="H290" s="4"/>
    </row>
    <row r="291" spans="1:8" ht="11.25" customHeight="1" x14ac:dyDescent="0.2">
      <c r="A291" s="30">
        <v>6440</v>
      </c>
      <c r="B291" s="31" t="s">
        <v>296</v>
      </c>
      <c r="C291" s="32" t="s">
        <v>8</v>
      </c>
      <c r="D291" s="32" t="s">
        <v>3</v>
      </c>
      <c r="E291" s="20">
        <v>0.1</v>
      </c>
      <c r="F291" s="23">
        <f t="shared" si="4"/>
        <v>11.962000000000002</v>
      </c>
      <c r="G291" s="3"/>
      <c r="H291" s="4"/>
    </row>
    <row r="292" spans="1:8" ht="11.25" customHeight="1" x14ac:dyDescent="0.2">
      <c r="A292" s="30">
        <v>6883</v>
      </c>
      <c r="B292" s="31" t="s">
        <v>297</v>
      </c>
      <c r="C292" s="32" t="s">
        <v>8</v>
      </c>
      <c r="D292" s="32" t="s">
        <v>3</v>
      </c>
      <c r="E292" s="20">
        <v>0.38</v>
      </c>
      <c r="F292" s="23">
        <f t="shared" si="4"/>
        <v>45.455600000000004</v>
      </c>
      <c r="G292" s="3"/>
      <c r="H292" s="4"/>
    </row>
    <row r="293" spans="1:8" ht="11.25" customHeight="1" x14ac:dyDescent="0.2">
      <c r="A293" s="30">
        <v>6441</v>
      </c>
      <c r="B293" s="31" t="s">
        <v>298</v>
      </c>
      <c r="C293" s="32" t="s">
        <v>8</v>
      </c>
      <c r="D293" s="32" t="s">
        <v>3</v>
      </c>
      <c r="E293" s="20">
        <v>0.5</v>
      </c>
      <c r="F293" s="23">
        <f t="shared" si="4"/>
        <v>59.81</v>
      </c>
      <c r="G293" s="3"/>
      <c r="H293" s="4"/>
    </row>
    <row r="294" spans="1:8" ht="11.25" customHeight="1" x14ac:dyDescent="0.2">
      <c r="A294" s="30">
        <v>6210</v>
      </c>
      <c r="B294" s="31" t="s">
        <v>299</v>
      </c>
      <c r="C294" s="32" t="s">
        <v>8</v>
      </c>
      <c r="D294" s="32" t="s">
        <v>3</v>
      </c>
      <c r="E294" s="20">
        <v>0.08</v>
      </c>
      <c r="F294" s="23">
        <f t="shared" si="4"/>
        <v>9.5696000000000012</v>
      </c>
      <c r="G294" s="3"/>
      <c r="H294" s="4"/>
    </row>
    <row r="295" spans="1:8" ht="11.25" customHeight="1" x14ac:dyDescent="0.2">
      <c r="A295" s="30">
        <v>6442</v>
      </c>
      <c r="B295" s="31" t="s">
        <v>300</v>
      </c>
      <c r="C295" s="32" t="s">
        <v>8</v>
      </c>
      <c r="D295" s="32" t="s">
        <v>3</v>
      </c>
      <c r="E295" s="20">
        <v>0.5</v>
      </c>
      <c r="F295" s="23">
        <f t="shared" si="4"/>
        <v>59.81</v>
      </c>
      <c r="G295" s="3"/>
      <c r="H295" s="4"/>
    </row>
    <row r="296" spans="1:8" ht="11.25" customHeight="1" x14ac:dyDescent="0.2">
      <c r="A296" s="30">
        <v>6295</v>
      </c>
      <c r="B296" s="31" t="s">
        <v>301</v>
      </c>
      <c r="C296" s="32" t="s">
        <v>8</v>
      </c>
      <c r="D296" s="32" t="s">
        <v>3</v>
      </c>
      <c r="E296" s="20">
        <v>0.1</v>
      </c>
      <c r="F296" s="23">
        <f t="shared" si="4"/>
        <v>11.962000000000002</v>
      </c>
      <c r="G296" s="3"/>
      <c r="H296" s="4"/>
    </row>
    <row r="297" spans="1:8" ht="11.25" customHeight="1" x14ac:dyDescent="0.2">
      <c r="A297" s="30">
        <v>6444</v>
      </c>
      <c r="B297" s="31" t="s">
        <v>302</v>
      </c>
      <c r="C297" s="32" t="s">
        <v>8</v>
      </c>
      <c r="D297" s="32" t="s">
        <v>3</v>
      </c>
      <c r="E297" s="20">
        <v>0.1</v>
      </c>
      <c r="F297" s="23">
        <f t="shared" si="4"/>
        <v>11.962000000000002</v>
      </c>
      <c r="G297" s="3"/>
      <c r="H297" s="4"/>
    </row>
    <row r="298" spans="1:8" ht="11.25" customHeight="1" x14ac:dyDescent="0.2">
      <c r="A298" s="30">
        <v>6443</v>
      </c>
      <c r="B298" s="31" t="s">
        <v>303</v>
      </c>
      <c r="C298" s="32" t="s">
        <v>8</v>
      </c>
      <c r="D298" s="32" t="s">
        <v>3</v>
      </c>
      <c r="E298" s="20">
        <v>0.2</v>
      </c>
      <c r="F298" s="23">
        <f t="shared" si="4"/>
        <v>23.924000000000003</v>
      </c>
      <c r="G298" s="3"/>
      <c r="H298" s="4"/>
    </row>
    <row r="299" spans="1:8" ht="11.25" customHeight="1" x14ac:dyDescent="0.2">
      <c r="A299" s="30">
        <v>6598</v>
      </c>
      <c r="B299" s="31" t="s">
        <v>304</v>
      </c>
      <c r="C299" s="32" t="s">
        <v>60</v>
      </c>
      <c r="D299" s="32" t="s">
        <v>3</v>
      </c>
      <c r="E299" s="20">
        <v>1.19</v>
      </c>
      <c r="F299" s="23">
        <f t="shared" si="4"/>
        <v>142.34780000000001</v>
      </c>
      <c r="G299" s="3"/>
      <c r="H299" s="4"/>
    </row>
    <row r="300" spans="1:8" ht="11.25" customHeight="1" x14ac:dyDescent="0.2">
      <c r="A300" s="30">
        <v>6598</v>
      </c>
      <c r="B300" s="31" t="s">
        <v>304</v>
      </c>
      <c r="C300" s="32" t="s">
        <v>60</v>
      </c>
      <c r="D300" s="32" t="s">
        <v>24</v>
      </c>
      <c r="E300" s="20">
        <v>0.51</v>
      </c>
      <c r="F300" s="23">
        <f t="shared" si="4"/>
        <v>61.006200000000007</v>
      </c>
      <c r="G300" s="3"/>
      <c r="H300" s="4"/>
    </row>
    <row r="301" spans="1:8" ht="11.25" customHeight="1" x14ac:dyDescent="0.2">
      <c r="A301" s="30">
        <v>6437</v>
      </c>
      <c r="B301" s="31" t="s">
        <v>305</v>
      </c>
      <c r="C301" s="32" t="s">
        <v>8</v>
      </c>
      <c r="D301" s="32" t="s">
        <v>3</v>
      </c>
      <c r="E301" s="20">
        <v>0.91</v>
      </c>
      <c r="F301" s="23">
        <f t="shared" si="4"/>
        <v>108.85420000000001</v>
      </c>
      <c r="G301" s="3"/>
      <c r="H301" s="4"/>
    </row>
    <row r="302" spans="1:8" ht="11.25" customHeight="1" x14ac:dyDescent="0.2">
      <c r="A302" s="30">
        <v>6437</v>
      </c>
      <c r="B302" s="31" t="s">
        <v>305</v>
      </c>
      <c r="C302" s="32" t="s">
        <v>8</v>
      </c>
      <c r="D302" s="32" t="s">
        <v>24</v>
      </c>
      <c r="E302" s="20">
        <v>0.39</v>
      </c>
      <c r="F302" s="23">
        <f t="shared" si="4"/>
        <v>46.651800000000001</v>
      </c>
      <c r="G302" s="3"/>
      <c r="H302" s="4"/>
    </row>
    <row r="303" spans="1:8" ht="11.25" customHeight="1" x14ac:dyDescent="0.2">
      <c r="A303" s="30">
        <v>6479</v>
      </c>
      <c r="B303" s="31" t="s">
        <v>306</v>
      </c>
      <c r="C303" s="32" t="s">
        <v>60</v>
      </c>
      <c r="D303" s="32" t="s">
        <v>3</v>
      </c>
      <c r="E303" s="20">
        <v>10.5</v>
      </c>
      <c r="F303" s="23">
        <f t="shared" si="4"/>
        <v>1256.01</v>
      </c>
      <c r="G303" s="3"/>
      <c r="H303" s="4"/>
    </row>
    <row r="304" spans="1:8" ht="11.25" customHeight="1" x14ac:dyDescent="0.2">
      <c r="A304" s="30">
        <v>6479</v>
      </c>
      <c r="B304" s="31" t="s">
        <v>306</v>
      </c>
      <c r="C304" s="32" t="s">
        <v>60</v>
      </c>
      <c r="D304" s="32" t="s">
        <v>24</v>
      </c>
      <c r="E304" s="20">
        <v>4.5</v>
      </c>
      <c r="F304" s="23">
        <f t="shared" si="4"/>
        <v>538.29</v>
      </c>
      <c r="G304" s="3"/>
      <c r="H304" s="4"/>
    </row>
    <row r="305" spans="1:8" ht="11.25" customHeight="1" x14ac:dyDescent="0.2">
      <c r="A305" s="30">
        <v>6463</v>
      </c>
      <c r="B305" s="31" t="s">
        <v>307</v>
      </c>
      <c r="C305" s="32" t="s">
        <v>8</v>
      </c>
      <c r="D305" s="32" t="s">
        <v>3</v>
      </c>
      <c r="E305" s="20">
        <v>0.91</v>
      </c>
      <c r="F305" s="23">
        <f t="shared" si="4"/>
        <v>108.85420000000001</v>
      </c>
      <c r="G305" s="3"/>
      <c r="H305" s="4"/>
    </row>
    <row r="306" spans="1:8" ht="11.25" customHeight="1" x14ac:dyDescent="0.2">
      <c r="A306" s="30">
        <v>6463</v>
      </c>
      <c r="B306" s="31" t="s">
        <v>307</v>
      </c>
      <c r="C306" s="32" t="s">
        <v>8</v>
      </c>
      <c r="D306" s="32" t="s">
        <v>24</v>
      </c>
      <c r="E306" s="20">
        <v>0.39</v>
      </c>
      <c r="F306" s="23">
        <f t="shared" si="4"/>
        <v>46.651800000000001</v>
      </c>
      <c r="G306" s="3"/>
      <c r="H306" s="4"/>
    </row>
    <row r="307" spans="1:8" ht="11.25" customHeight="1" x14ac:dyDescent="0.2">
      <c r="A307" s="30">
        <v>6530</v>
      </c>
      <c r="B307" s="31" t="s">
        <v>308</v>
      </c>
      <c r="C307" s="32" t="s">
        <v>8</v>
      </c>
      <c r="D307" s="32" t="s">
        <v>3</v>
      </c>
      <c r="E307" s="20">
        <v>0.91</v>
      </c>
      <c r="F307" s="23">
        <f t="shared" si="4"/>
        <v>108.85420000000001</v>
      </c>
      <c r="G307" s="3"/>
      <c r="H307" s="4"/>
    </row>
    <row r="308" spans="1:8" ht="11.25" customHeight="1" x14ac:dyDescent="0.2">
      <c r="A308" s="30">
        <v>6530</v>
      </c>
      <c r="B308" s="31" t="s">
        <v>308</v>
      </c>
      <c r="C308" s="32" t="s">
        <v>8</v>
      </c>
      <c r="D308" s="32" t="s">
        <v>24</v>
      </c>
      <c r="E308" s="20">
        <v>0.39</v>
      </c>
      <c r="F308" s="23">
        <f t="shared" si="4"/>
        <v>46.651800000000001</v>
      </c>
      <c r="G308" s="3"/>
      <c r="H308" s="4"/>
    </row>
    <row r="309" spans="1:8" ht="11.25" customHeight="1" x14ac:dyDescent="0.2">
      <c r="A309" s="30">
        <v>6655</v>
      </c>
      <c r="B309" s="31" t="s">
        <v>309</v>
      </c>
      <c r="C309" s="32" t="s">
        <v>8</v>
      </c>
      <c r="D309" s="32" t="s">
        <v>3</v>
      </c>
      <c r="E309" s="20">
        <v>0.14000000000000001</v>
      </c>
      <c r="F309" s="23">
        <f t="shared" si="4"/>
        <v>16.746800000000004</v>
      </c>
      <c r="G309" s="3"/>
      <c r="H309" s="4"/>
    </row>
    <row r="310" spans="1:8" ht="11.25" customHeight="1" x14ac:dyDescent="0.2">
      <c r="A310" s="30">
        <v>6655</v>
      </c>
      <c r="B310" s="31" t="s">
        <v>309</v>
      </c>
      <c r="C310" s="32" t="s">
        <v>8</v>
      </c>
      <c r="D310" s="32" t="s">
        <v>24</v>
      </c>
      <c r="E310" s="20">
        <v>0.06</v>
      </c>
      <c r="F310" s="23">
        <f t="shared" si="4"/>
        <v>7.1772</v>
      </c>
      <c r="G310" s="3"/>
      <c r="H310" s="4"/>
    </row>
    <row r="311" spans="1:8" ht="11.25" customHeight="1" x14ac:dyDescent="0.2">
      <c r="A311" s="30">
        <v>6975</v>
      </c>
      <c r="B311" s="31" t="s">
        <v>310</v>
      </c>
      <c r="C311" s="32" t="s">
        <v>8</v>
      </c>
      <c r="D311" s="32" t="s">
        <v>3</v>
      </c>
      <c r="E311" s="20">
        <v>0.08</v>
      </c>
      <c r="F311" s="23">
        <f t="shared" si="4"/>
        <v>9.5696000000000012</v>
      </c>
      <c r="G311" s="3"/>
      <c r="H311" s="4"/>
    </row>
    <row r="312" spans="1:8" ht="11.25" customHeight="1" x14ac:dyDescent="0.2">
      <c r="A312" s="30">
        <v>6975</v>
      </c>
      <c r="B312" s="31" t="s">
        <v>310</v>
      </c>
      <c r="C312" s="32" t="s">
        <v>8</v>
      </c>
      <c r="D312" s="32" t="s">
        <v>24</v>
      </c>
      <c r="E312" s="20">
        <v>0.04</v>
      </c>
      <c r="F312" s="23">
        <f t="shared" si="4"/>
        <v>4.7848000000000006</v>
      </c>
      <c r="G312" s="3"/>
      <c r="H312" s="4"/>
    </row>
    <row r="313" spans="1:8" ht="11.25" customHeight="1" x14ac:dyDescent="0.2">
      <c r="A313" s="30">
        <v>7540</v>
      </c>
      <c r="B313" s="31" t="s">
        <v>311</v>
      </c>
      <c r="C313" s="32" t="s">
        <v>8</v>
      </c>
      <c r="D313" s="32" t="s">
        <v>3</v>
      </c>
      <c r="E313" s="20">
        <v>1.28</v>
      </c>
      <c r="F313" s="23">
        <f t="shared" si="4"/>
        <v>153.11360000000002</v>
      </c>
      <c r="G313" s="3"/>
      <c r="H313" s="4"/>
    </row>
    <row r="314" spans="1:8" ht="11.25" customHeight="1" x14ac:dyDescent="0.2">
      <c r="A314" s="30">
        <v>7540</v>
      </c>
      <c r="B314" s="31" t="s">
        <v>311</v>
      </c>
      <c r="C314" s="32" t="s">
        <v>8</v>
      </c>
      <c r="D314" s="32" t="s">
        <v>24</v>
      </c>
      <c r="E314" s="20">
        <v>0.55000000000000004</v>
      </c>
      <c r="F314" s="23">
        <f t="shared" si="4"/>
        <v>65.791000000000011</v>
      </c>
      <c r="G314" s="3"/>
      <c r="H314" s="4"/>
    </row>
    <row r="315" spans="1:8" ht="11.25" customHeight="1" x14ac:dyDescent="0.2">
      <c r="A315" s="30">
        <v>6436</v>
      </c>
      <c r="B315" s="31" t="s">
        <v>312</v>
      </c>
      <c r="C315" s="32" t="s">
        <v>8</v>
      </c>
      <c r="D315" s="32" t="s">
        <v>3</v>
      </c>
      <c r="E315" s="20">
        <v>0.91</v>
      </c>
      <c r="F315" s="23">
        <f t="shared" si="4"/>
        <v>108.85420000000001</v>
      </c>
      <c r="G315" s="3"/>
      <c r="H315" s="4"/>
    </row>
    <row r="316" spans="1:8" ht="11.25" customHeight="1" x14ac:dyDescent="0.2">
      <c r="A316" s="30">
        <v>6436</v>
      </c>
      <c r="B316" s="31" t="s">
        <v>312</v>
      </c>
      <c r="C316" s="32" t="s">
        <v>8</v>
      </c>
      <c r="D316" s="32" t="s">
        <v>24</v>
      </c>
      <c r="E316" s="20">
        <v>0.39</v>
      </c>
      <c r="F316" s="23">
        <f t="shared" si="4"/>
        <v>46.651800000000001</v>
      </c>
      <c r="G316" s="3"/>
      <c r="H316" s="4"/>
    </row>
    <row r="317" spans="1:8" ht="11.25" customHeight="1" x14ac:dyDescent="0.2">
      <c r="A317" s="30">
        <v>6947</v>
      </c>
      <c r="B317" s="31" t="s">
        <v>313</v>
      </c>
      <c r="C317" s="32" t="s">
        <v>19</v>
      </c>
      <c r="D317" s="32" t="s">
        <v>3</v>
      </c>
      <c r="E317" s="20">
        <v>18.62</v>
      </c>
      <c r="F317" s="23">
        <f t="shared" si="4"/>
        <v>2227.3244000000004</v>
      </c>
      <c r="G317" s="3"/>
      <c r="H317" s="4"/>
    </row>
    <row r="318" spans="1:8" ht="11.25" customHeight="1" x14ac:dyDescent="0.2">
      <c r="A318" s="30">
        <v>6947</v>
      </c>
      <c r="B318" s="31" t="s">
        <v>313</v>
      </c>
      <c r="C318" s="32" t="s">
        <v>19</v>
      </c>
      <c r="D318" s="32" t="s">
        <v>24</v>
      </c>
      <c r="E318" s="20">
        <v>7.98</v>
      </c>
      <c r="F318" s="23">
        <f t="shared" si="4"/>
        <v>954.56760000000008</v>
      </c>
      <c r="G318" s="3"/>
      <c r="H318" s="4"/>
    </row>
    <row r="319" spans="1:8" ht="11.25" customHeight="1" x14ac:dyDescent="0.2">
      <c r="A319" s="30">
        <v>6948</v>
      </c>
      <c r="B319" s="31" t="s">
        <v>314</v>
      </c>
      <c r="C319" s="32" t="s">
        <v>19</v>
      </c>
      <c r="D319" s="32" t="s">
        <v>3</v>
      </c>
      <c r="E319" s="20">
        <v>14.21</v>
      </c>
      <c r="F319" s="23">
        <f t="shared" si="4"/>
        <v>1699.8002000000001</v>
      </c>
      <c r="G319" s="3"/>
      <c r="H319" s="4"/>
    </row>
    <row r="320" spans="1:8" ht="11.25" customHeight="1" x14ac:dyDescent="0.2">
      <c r="A320" s="30">
        <v>6948</v>
      </c>
      <c r="B320" s="31" t="s">
        <v>314</v>
      </c>
      <c r="C320" s="32" t="s">
        <v>19</v>
      </c>
      <c r="D320" s="32" t="s">
        <v>24</v>
      </c>
      <c r="E320" s="20">
        <v>6.09</v>
      </c>
      <c r="F320" s="23">
        <f t="shared" si="4"/>
        <v>728.48580000000004</v>
      </c>
      <c r="G320" s="3"/>
      <c r="H320" s="4"/>
    </row>
    <row r="321" spans="1:8" ht="11.25" customHeight="1" x14ac:dyDescent="0.2">
      <c r="A321" s="30">
        <v>6950</v>
      </c>
      <c r="B321" s="31" t="s">
        <v>315</v>
      </c>
      <c r="C321" s="32" t="s">
        <v>19</v>
      </c>
      <c r="D321" s="32" t="s">
        <v>3</v>
      </c>
      <c r="E321" s="20">
        <v>18.62</v>
      </c>
      <c r="F321" s="23">
        <f t="shared" si="4"/>
        <v>2227.3244000000004</v>
      </c>
      <c r="G321" s="3"/>
      <c r="H321" s="4"/>
    </row>
    <row r="322" spans="1:8" ht="11.25" customHeight="1" x14ac:dyDescent="0.2">
      <c r="A322" s="30">
        <v>6950</v>
      </c>
      <c r="B322" s="31" t="s">
        <v>315</v>
      </c>
      <c r="C322" s="32" t="s">
        <v>19</v>
      </c>
      <c r="D322" s="32" t="s">
        <v>24</v>
      </c>
      <c r="E322" s="20">
        <v>7.98</v>
      </c>
      <c r="F322" s="23">
        <f t="shared" si="4"/>
        <v>954.56760000000008</v>
      </c>
      <c r="G322" s="3"/>
      <c r="H322" s="4"/>
    </row>
    <row r="323" spans="1:8" ht="11.25" customHeight="1" x14ac:dyDescent="0.2">
      <c r="A323" s="30">
        <v>6949</v>
      </c>
      <c r="B323" s="31" t="s">
        <v>316</v>
      </c>
      <c r="C323" s="32" t="s">
        <v>19</v>
      </c>
      <c r="D323" s="32" t="s">
        <v>3</v>
      </c>
      <c r="E323" s="20">
        <v>18.62</v>
      </c>
      <c r="F323" s="23">
        <f t="shared" si="4"/>
        <v>2227.3244000000004</v>
      </c>
      <c r="G323" s="3"/>
      <c r="H323" s="4"/>
    </row>
    <row r="324" spans="1:8" ht="11.25" customHeight="1" x14ac:dyDescent="0.2">
      <c r="A324" s="30">
        <v>6949</v>
      </c>
      <c r="B324" s="31" t="s">
        <v>316</v>
      </c>
      <c r="C324" s="32" t="s">
        <v>19</v>
      </c>
      <c r="D324" s="32" t="s">
        <v>24</v>
      </c>
      <c r="E324" s="20">
        <v>7.98</v>
      </c>
      <c r="F324" s="23">
        <f t="shared" si="4"/>
        <v>954.56760000000008</v>
      </c>
      <c r="G324" s="3"/>
      <c r="H324" s="4"/>
    </row>
    <row r="325" spans="1:8" ht="11.25" customHeight="1" x14ac:dyDescent="0.2">
      <c r="A325" s="30">
        <v>6951</v>
      </c>
      <c r="B325" s="31" t="s">
        <v>317</v>
      </c>
      <c r="C325" s="32" t="s">
        <v>19</v>
      </c>
      <c r="D325" s="32" t="s">
        <v>3</v>
      </c>
      <c r="E325" s="20">
        <v>36.659999999999997</v>
      </c>
      <c r="F325" s="23">
        <f t="shared" si="4"/>
        <v>4385.2691999999997</v>
      </c>
      <c r="G325" s="3"/>
      <c r="H325" s="4"/>
    </row>
    <row r="326" spans="1:8" ht="11.25" customHeight="1" x14ac:dyDescent="0.2">
      <c r="A326" s="30">
        <v>6951</v>
      </c>
      <c r="B326" s="31" t="s">
        <v>317</v>
      </c>
      <c r="C326" s="32" t="s">
        <v>19</v>
      </c>
      <c r="D326" s="32" t="s">
        <v>24</v>
      </c>
      <c r="E326" s="20">
        <v>15.71</v>
      </c>
      <c r="F326" s="23">
        <f t="shared" si="4"/>
        <v>1879.2302000000002</v>
      </c>
      <c r="G326" s="3"/>
      <c r="H326" s="4"/>
    </row>
    <row r="327" spans="1:8" ht="11.25" customHeight="1" x14ac:dyDescent="0.2">
      <c r="A327" s="30">
        <v>6907</v>
      </c>
      <c r="B327" s="31" t="s">
        <v>318</v>
      </c>
      <c r="C327" s="32" t="s">
        <v>8</v>
      </c>
      <c r="D327" s="32" t="s">
        <v>3</v>
      </c>
      <c r="E327" s="20">
        <v>0.2</v>
      </c>
      <c r="F327" s="23">
        <f t="shared" si="4"/>
        <v>23.924000000000003</v>
      </c>
      <c r="G327" s="3"/>
      <c r="H327" s="4"/>
    </row>
    <row r="328" spans="1:8" ht="11.25" customHeight="1" x14ac:dyDescent="0.2">
      <c r="A328" s="30">
        <v>6907</v>
      </c>
      <c r="B328" s="31" t="s">
        <v>318</v>
      </c>
      <c r="C328" s="32" t="s">
        <v>8</v>
      </c>
      <c r="D328" s="32" t="s">
        <v>24</v>
      </c>
      <c r="E328" s="20">
        <v>0.08</v>
      </c>
      <c r="F328" s="23">
        <f t="shared" si="4"/>
        <v>9.5696000000000012</v>
      </c>
      <c r="G328" s="3"/>
      <c r="H328" s="4"/>
    </row>
    <row r="329" spans="1:8" ht="11.25" customHeight="1" x14ac:dyDescent="0.2">
      <c r="A329" s="30">
        <v>6906</v>
      </c>
      <c r="B329" s="31" t="s">
        <v>319</v>
      </c>
      <c r="C329" s="32" t="s">
        <v>8</v>
      </c>
      <c r="D329" s="32" t="s">
        <v>3</v>
      </c>
      <c r="E329" s="20">
        <v>0.39</v>
      </c>
      <c r="F329" s="23">
        <f t="shared" ref="F329:F392" si="5">E329*F$5</f>
        <v>46.651800000000001</v>
      </c>
      <c r="G329" s="3"/>
      <c r="H329" s="4"/>
    </row>
    <row r="330" spans="1:8" ht="11.25" customHeight="1" x14ac:dyDescent="0.2">
      <c r="A330" s="30">
        <v>6906</v>
      </c>
      <c r="B330" s="31" t="s">
        <v>319</v>
      </c>
      <c r="C330" s="32" t="s">
        <v>8</v>
      </c>
      <c r="D330" s="32" t="s">
        <v>24</v>
      </c>
      <c r="E330" s="20">
        <v>0.16</v>
      </c>
      <c r="F330" s="23">
        <f t="shared" si="5"/>
        <v>19.139200000000002</v>
      </c>
      <c r="G330" s="3"/>
      <c r="H330" s="4"/>
    </row>
    <row r="331" spans="1:8" ht="11.25" customHeight="1" x14ac:dyDescent="0.2">
      <c r="A331" s="30">
        <v>7558</v>
      </c>
      <c r="B331" s="31" t="s">
        <v>320</v>
      </c>
      <c r="C331" s="32" t="s">
        <v>8</v>
      </c>
      <c r="D331" s="32" t="s">
        <v>3</v>
      </c>
      <c r="E331" s="20">
        <v>1.32</v>
      </c>
      <c r="F331" s="23">
        <f t="shared" si="5"/>
        <v>157.89840000000001</v>
      </c>
      <c r="G331" s="3"/>
      <c r="H331" s="4"/>
    </row>
    <row r="332" spans="1:8" ht="11.25" customHeight="1" x14ac:dyDescent="0.2">
      <c r="A332" s="30">
        <v>7558</v>
      </c>
      <c r="B332" s="31" t="s">
        <v>320</v>
      </c>
      <c r="C332" s="32" t="s">
        <v>8</v>
      </c>
      <c r="D332" s="32" t="s">
        <v>24</v>
      </c>
      <c r="E332" s="20">
        <v>0.56999999999999995</v>
      </c>
      <c r="F332" s="23">
        <f t="shared" si="5"/>
        <v>68.183399999999992</v>
      </c>
      <c r="G332" s="3"/>
      <c r="H332" s="4"/>
    </row>
    <row r="333" spans="1:8" ht="11.25" customHeight="1" x14ac:dyDescent="0.2">
      <c r="A333" s="30">
        <v>6918</v>
      </c>
      <c r="B333" s="31" t="s">
        <v>321</v>
      </c>
      <c r="C333" s="32" t="s">
        <v>8</v>
      </c>
      <c r="D333" s="32" t="s">
        <v>3</v>
      </c>
      <c r="E333" s="20">
        <v>1.6</v>
      </c>
      <c r="F333" s="23">
        <f t="shared" si="5"/>
        <v>191.39200000000002</v>
      </c>
      <c r="G333" s="3"/>
      <c r="H333" s="4"/>
    </row>
    <row r="334" spans="1:8" ht="11.25" customHeight="1" x14ac:dyDescent="0.2">
      <c r="A334" s="30">
        <v>6918</v>
      </c>
      <c r="B334" s="31" t="s">
        <v>321</v>
      </c>
      <c r="C334" s="32" t="s">
        <v>8</v>
      </c>
      <c r="D334" s="32" t="s">
        <v>24</v>
      </c>
      <c r="E334" s="20">
        <v>0.68</v>
      </c>
      <c r="F334" s="23">
        <f t="shared" si="5"/>
        <v>81.341600000000014</v>
      </c>
      <c r="G334" s="3"/>
      <c r="H334" s="4"/>
    </row>
    <row r="335" spans="1:8" ht="11.25" customHeight="1" x14ac:dyDescent="0.2">
      <c r="A335" s="30">
        <v>6917</v>
      </c>
      <c r="B335" s="31" t="s">
        <v>322</v>
      </c>
      <c r="C335" s="32" t="s">
        <v>8</v>
      </c>
      <c r="D335" s="32" t="s">
        <v>3</v>
      </c>
      <c r="E335" s="20">
        <v>1.6</v>
      </c>
      <c r="F335" s="23">
        <f t="shared" si="5"/>
        <v>191.39200000000002</v>
      </c>
      <c r="G335" s="3"/>
      <c r="H335" s="4"/>
    </row>
    <row r="336" spans="1:8" ht="11.25" customHeight="1" x14ac:dyDescent="0.2">
      <c r="A336" s="30">
        <v>6917</v>
      </c>
      <c r="B336" s="31" t="s">
        <v>322</v>
      </c>
      <c r="C336" s="32" t="s">
        <v>8</v>
      </c>
      <c r="D336" s="32" t="s">
        <v>24</v>
      </c>
      <c r="E336" s="20">
        <v>0.68</v>
      </c>
      <c r="F336" s="23">
        <f t="shared" si="5"/>
        <v>81.341600000000014</v>
      </c>
      <c r="G336" s="3"/>
      <c r="H336" s="4"/>
    </row>
    <row r="337" spans="1:8" ht="11.25" customHeight="1" x14ac:dyDescent="0.2">
      <c r="A337" s="30">
        <v>7580</v>
      </c>
      <c r="B337" s="31" t="s">
        <v>323</v>
      </c>
      <c r="C337" s="32" t="s">
        <v>8</v>
      </c>
      <c r="D337" s="32" t="s">
        <v>3</v>
      </c>
      <c r="E337" s="20">
        <v>7.34</v>
      </c>
      <c r="F337" s="23">
        <f t="shared" si="5"/>
        <v>878.01080000000002</v>
      </c>
      <c r="G337" s="3"/>
      <c r="H337" s="4"/>
    </row>
    <row r="338" spans="1:8" ht="11.25" customHeight="1" x14ac:dyDescent="0.2">
      <c r="A338" s="30">
        <v>7580</v>
      </c>
      <c r="B338" s="31" t="s">
        <v>323</v>
      </c>
      <c r="C338" s="32" t="s">
        <v>8</v>
      </c>
      <c r="D338" s="32" t="s">
        <v>24</v>
      </c>
      <c r="E338" s="20">
        <v>3.14</v>
      </c>
      <c r="F338" s="23">
        <f t="shared" si="5"/>
        <v>375.60680000000002</v>
      </c>
      <c r="G338" s="3"/>
      <c r="H338" s="4"/>
    </row>
    <row r="339" spans="1:8" ht="11.25" customHeight="1" x14ac:dyDescent="0.2">
      <c r="A339" s="30">
        <v>7584</v>
      </c>
      <c r="B339" s="31" t="s">
        <v>324</v>
      </c>
      <c r="C339" s="32" t="s">
        <v>8</v>
      </c>
      <c r="D339" s="32" t="s">
        <v>3</v>
      </c>
      <c r="E339" s="20">
        <v>1.47</v>
      </c>
      <c r="F339" s="23">
        <f t="shared" si="5"/>
        <v>175.84139999999999</v>
      </c>
      <c r="G339" s="3"/>
      <c r="H339" s="4"/>
    </row>
    <row r="340" spans="1:8" ht="11.25" customHeight="1" x14ac:dyDescent="0.2">
      <c r="A340" s="30">
        <v>7584</v>
      </c>
      <c r="B340" s="31" t="s">
        <v>324</v>
      </c>
      <c r="C340" s="32" t="s">
        <v>8</v>
      </c>
      <c r="D340" s="32" t="s">
        <v>24</v>
      </c>
      <c r="E340" s="20">
        <v>0.63</v>
      </c>
      <c r="F340" s="23">
        <f t="shared" si="5"/>
        <v>75.360600000000005</v>
      </c>
      <c r="G340" s="3"/>
      <c r="H340" s="4"/>
    </row>
    <row r="341" spans="1:8" ht="11.25" customHeight="1" x14ac:dyDescent="0.2">
      <c r="A341" s="30">
        <v>6923</v>
      </c>
      <c r="B341" s="31" t="s">
        <v>325</v>
      </c>
      <c r="C341" s="32" t="s">
        <v>8</v>
      </c>
      <c r="D341" s="32" t="s">
        <v>3</v>
      </c>
      <c r="E341" s="20">
        <v>1.47</v>
      </c>
      <c r="F341" s="23">
        <f t="shared" si="5"/>
        <v>175.84139999999999</v>
      </c>
      <c r="G341" s="3"/>
      <c r="H341" s="4"/>
    </row>
    <row r="342" spans="1:8" ht="11.25" customHeight="1" x14ac:dyDescent="0.2">
      <c r="A342" s="30">
        <v>6923</v>
      </c>
      <c r="B342" s="31" t="s">
        <v>325</v>
      </c>
      <c r="C342" s="32" t="s">
        <v>8</v>
      </c>
      <c r="D342" s="32" t="s">
        <v>24</v>
      </c>
      <c r="E342" s="20">
        <v>0.63</v>
      </c>
      <c r="F342" s="23">
        <f t="shared" si="5"/>
        <v>75.360600000000005</v>
      </c>
      <c r="G342" s="3"/>
      <c r="H342" s="4"/>
    </row>
    <row r="343" spans="1:8" ht="11.25" customHeight="1" x14ac:dyDescent="0.2">
      <c r="A343" s="30">
        <v>6925</v>
      </c>
      <c r="B343" s="31" t="s">
        <v>326</v>
      </c>
      <c r="C343" s="32" t="s">
        <v>8</v>
      </c>
      <c r="D343" s="32" t="s">
        <v>3</v>
      </c>
      <c r="E343" s="20">
        <v>5.88</v>
      </c>
      <c r="F343" s="23">
        <f t="shared" si="5"/>
        <v>703.36559999999997</v>
      </c>
      <c r="G343" s="3"/>
      <c r="H343" s="4"/>
    </row>
    <row r="344" spans="1:8" ht="11.25" customHeight="1" x14ac:dyDescent="0.2">
      <c r="A344" s="30">
        <v>6925</v>
      </c>
      <c r="B344" s="31" t="s">
        <v>326</v>
      </c>
      <c r="C344" s="32" t="s">
        <v>8</v>
      </c>
      <c r="D344" s="32" t="s">
        <v>24</v>
      </c>
      <c r="E344" s="20">
        <v>2.52</v>
      </c>
      <c r="F344" s="23">
        <f t="shared" si="5"/>
        <v>301.44240000000002</v>
      </c>
      <c r="G344" s="3"/>
      <c r="H344" s="4"/>
    </row>
    <row r="345" spans="1:8" ht="11.25" customHeight="1" x14ac:dyDescent="0.2">
      <c r="A345" s="30">
        <v>6926</v>
      </c>
      <c r="B345" s="31" t="s">
        <v>327</v>
      </c>
      <c r="C345" s="32" t="s">
        <v>8</v>
      </c>
      <c r="D345" s="32" t="s">
        <v>3</v>
      </c>
      <c r="E345" s="20">
        <v>5.88</v>
      </c>
      <c r="F345" s="23">
        <f t="shared" si="5"/>
        <v>703.36559999999997</v>
      </c>
      <c r="G345" s="3"/>
      <c r="H345" s="4"/>
    </row>
    <row r="346" spans="1:8" ht="11.25" customHeight="1" x14ac:dyDescent="0.2">
      <c r="A346" s="30">
        <v>6926</v>
      </c>
      <c r="B346" s="31" t="s">
        <v>327</v>
      </c>
      <c r="C346" s="32" t="s">
        <v>8</v>
      </c>
      <c r="D346" s="32" t="s">
        <v>24</v>
      </c>
      <c r="E346" s="20">
        <v>2.52</v>
      </c>
      <c r="F346" s="23">
        <f t="shared" si="5"/>
        <v>301.44240000000002</v>
      </c>
      <c r="G346" s="3"/>
      <c r="H346" s="4"/>
    </row>
    <row r="347" spans="1:8" ht="11.25" customHeight="1" x14ac:dyDescent="0.2">
      <c r="A347" s="30">
        <v>6933</v>
      </c>
      <c r="B347" s="31" t="s">
        <v>328</v>
      </c>
      <c r="C347" s="32" t="s">
        <v>8</v>
      </c>
      <c r="D347" s="32" t="s">
        <v>3</v>
      </c>
      <c r="E347" s="20">
        <v>7.36</v>
      </c>
      <c r="F347" s="23">
        <f t="shared" si="5"/>
        <v>880.40320000000008</v>
      </c>
      <c r="G347" s="3"/>
      <c r="H347" s="4"/>
    </row>
    <row r="348" spans="1:8" ht="11.25" customHeight="1" x14ac:dyDescent="0.2">
      <c r="A348" s="30">
        <v>6933</v>
      </c>
      <c r="B348" s="31" t="s">
        <v>328</v>
      </c>
      <c r="C348" s="32" t="s">
        <v>8</v>
      </c>
      <c r="D348" s="32" t="s">
        <v>24</v>
      </c>
      <c r="E348" s="20">
        <v>3.15</v>
      </c>
      <c r="F348" s="23">
        <f t="shared" si="5"/>
        <v>376.803</v>
      </c>
      <c r="G348" s="3"/>
      <c r="H348" s="4"/>
    </row>
    <row r="349" spans="1:8" ht="11.25" customHeight="1" x14ac:dyDescent="0.2">
      <c r="A349" s="30">
        <v>6519</v>
      </c>
      <c r="B349" s="31" t="s">
        <v>329</v>
      </c>
      <c r="C349" s="32" t="s">
        <v>8</v>
      </c>
      <c r="D349" s="32" t="s">
        <v>3</v>
      </c>
      <c r="E349" s="20">
        <v>0.48</v>
      </c>
      <c r="F349" s="23">
        <f t="shared" si="5"/>
        <v>57.4176</v>
      </c>
      <c r="G349" s="3"/>
      <c r="H349" s="4"/>
    </row>
    <row r="350" spans="1:8" ht="11.25" customHeight="1" x14ac:dyDescent="0.2">
      <c r="A350" s="30">
        <v>6519</v>
      </c>
      <c r="B350" s="31" t="s">
        <v>329</v>
      </c>
      <c r="C350" s="32" t="s">
        <v>8</v>
      </c>
      <c r="D350" s="32" t="s">
        <v>24</v>
      </c>
      <c r="E350" s="20">
        <v>0.21</v>
      </c>
      <c r="F350" s="23">
        <f t="shared" si="5"/>
        <v>25.120200000000001</v>
      </c>
      <c r="G350" s="3"/>
      <c r="H350" s="4"/>
    </row>
    <row r="351" spans="1:8" ht="11.25" customHeight="1" x14ac:dyDescent="0.2">
      <c r="A351" s="30">
        <v>6520</v>
      </c>
      <c r="B351" s="31" t="s">
        <v>330</v>
      </c>
      <c r="C351" s="32" t="s">
        <v>8</v>
      </c>
      <c r="D351" s="32" t="s">
        <v>3</v>
      </c>
      <c r="E351" s="20">
        <v>1.2</v>
      </c>
      <c r="F351" s="23">
        <f t="shared" si="5"/>
        <v>143.54400000000001</v>
      </c>
      <c r="G351" s="3"/>
      <c r="H351" s="4"/>
    </row>
    <row r="352" spans="1:8" ht="11.25" customHeight="1" x14ac:dyDescent="0.2">
      <c r="A352" s="30">
        <v>6520</v>
      </c>
      <c r="B352" s="31" t="s">
        <v>330</v>
      </c>
      <c r="C352" s="32" t="s">
        <v>8</v>
      </c>
      <c r="D352" s="32" t="s">
        <v>24</v>
      </c>
      <c r="E352" s="20">
        <v>0.52</v>
      </c>
      <c r="F352" s="23">
        <f t="shared" si="5"/>
        <v>62.202400000000004</v>
      </c>
      <c r="G352" s="3"/>
      <c r="H352" s="4"/>
    </row>
    <row r="353" spans="1:8" ht="11.25" customHeight="1" x14ac:dyDescent="0.2">
      <c r="A353" s="30">
        <v>7592</v>
      </c>
      <c r="B353" s="31" t="s">
        <v>331</v>
      </c>
      <c r="C353" s="32" t="s">
        <v>8</v>
      </c>
      <c r="D353" s="32" t="s">
        <v>3</v>
      </c>
      <c r="E353" s="20">
        <v>1.83</v>
      </c>
      <c r="F353" s="23">
        <f t="shared" si="5"/>
        <v>218.90460000000002</v>
      </c>
      <c r="G353" s="3"/>
      <c r="H353" s="4"/>
    </row>
    <row r="354" spans="1:8" ht="11.25" customHeight="1" x14ac:dyDescent="0.2">
      <c r="A354" s="30">
        <v>7592</v>
      </c>
      <c r="B354" s="31" t="s">
        <v>331</v>
      </c>
      <c r="C354" s="32" t="s">
        <v>8</v>
      </c>
      <c r="D354" s="32" t="s">
        <v>24</v>
      </c>
      <c r="E354" s="20">
        <v>0.79</v>
      </c>
      <c r="F354" s="23">
        <f t="shared" si="5"/>
        <v>94.499800000000008</v>
      </c>
      <c r="G354" s="3"/>
      <c r="H354" s="4"/>
    </row>
    <row r="355" spans="1:8" ht="11.25" customHeight="1" x14ac:dyDescent="0.2">
      <c r="A355" s="30">
        <v>6511</v>
      </c>
      <c r="B355" s="31" t="s">
        <v>332</v>
      </c>
      <c r="C355" s="32" t="s">
        <v>8</v>
      </c>
      <c r="D355" s="32" t="s">
        <v>3</v>
      </c>
      <c r="E355" s="20">
        <v>1.23</v>
      </c>
      <c r="F355" s="23">
        <f t="shared" si="5"/>
        <v>147.1326</v>
      </c>
      <c r="G355" s="3"/>
      <c r="H355" s="4"/>
    </row>
    <row r="356" spans="1:8" ht="11.25" customHeight="1" x14ac:dyDescent="0.2">
      <c r="A356" s="30">
        <v>6511</v>
      </c>
      <c r="B356" s="31" t="s">
        <v>332</v>
      </c>
      <c r="C356" s="32" t="s">
        <v>8</v>
      </c>
      <c r="D356" s="32" t="s">
        <v>24</v>
      </c>
      <c r="E356" s="20">
        <v>0.52</v>
      </c>
      <c r="F356" s="23">
        <f t="shared" si="5"/>
        <v>62.202400000000004</v>
      </c>
      <c r="G356" s="3"/>
      <c r="H356" s="4"/>
    </row>
    <row r="357" spans="1:8" ht="11.25" customHeight="1" x14ac:dyDescent="0.2">
      <c r="A357" s="30">
        <v>7582</v>
      </c>
      <c r="B357" s="31" t="s">
        <v>333</v>
      </c>
      <c r="C357" s="32" t="s">
        <v>8</v>
      </c>
      <c r="D357" s="32" t="s">
        <v>3</v>
      </c>
      <c r="E357" s="20">
        <v>4.59</v>
      </c>
      <c r="F357" s="23">
        <f t="shared" si="5"/>
        <v>549.05579999999998</v>
      </c>
      <c r="G357" s="3"/>
      <c r="H357" s="4"/>
    </row>
    <row r="358" spans="1:8" ht="11.25" customHeight="1" x14ac:dyDescent="0.2">
      <c r="A358" s="30">
        <v>7582</v>
      </c>
      <c r="B358" s="31" t="s">
        <v>333</v>
      </c>
      <c r="C358" s="32" t="s">
        <v>8</v>
      </c>
      <c r="D358" s="32" t="s">
        <v>24</v>
      </c>
      <c r="E358" s="20">
        <v>1.96</v>
      </c>
      <c r="F358" s="23">
        <f t="shared" si="5"/>
        <v>234.45519999999999</v>
      </c>
      <c r="G358" s="3"/>
      <c r="H358" s="4"/>
    </row>
    <row r="359" spans="1:8" ht="11.25" customHeight="1" x14ac:dyDescent="0.2">
      <c r="A359" s="30">
        <v>6513</v>
      </c>
      <c r="B359" s="31" t="s">
        <v>334</v>
      </c>
      <c r="C359" s="32" t="s">
        <v>8</v>
      </c>
      <c r="D359" s="32" t="s">
        <v>3</v>
      </c>
      <c r="E359" s="20">
        <v>3.07</v>
      </c>
      <c r="F359" s="23">
        <f t="shared" si="5"/>
        <v>367.23340000000002</v>
      </c>
      <c r="G359" s="3"/>
      <c r="H359" s="4"/>
    </row>
    <row r="360" spans="1:8" ht="11.25" customHeight="1" x14ac:dyDescent="0.2">
      <c r="A360" s="30">
        <v>6513</v>
      </c>
      <c r="B360" s="31" t="s">
        <v>334</v>
      </c>
      <c r="C360" s="32" t="s">
        <v>8</v>
      </c>
      <c r="D360" s="32" t="s">
        <v>24</v>
      </c>
      <c r="E360" s="20">
        <v>1.31</v>
      </c>
      <c r="F360" s="23">
        <f t="shared" si="5"/>
        <v>156.7022</v>
      </c>
      <c r="G360" s="3"/>
      <c r="H360" s="4"/>
    </row>
    <row r="361" spans="1:8" ht="11.25" customHeight="1" x14ac:dyDescent="0.2">
      <c r="A361" s="30">
        <v>6516</v>
      </c>
      <c r="B361" s="31" t="s">
        <v>335</v>
      </c>
      <c r="C361" s="32" t="s">
        <v>8</v>
      </c>
      <c r="D361" s="32" t="s">
        <v>3</v>
      </c>
      <c r="E361" s="20">
        <v>4.9000000000000004</v>
      </c>
      <c r="F361" s="23">
        <f t="shared" si="5"/>
        <v>586.13800000000003</v>
      </c>
      <c r="G361" s="3"/>
      <c r="H361" s="4"/>
    </row>
    <row r="362" spans="1:8" ht="11.25" customHeight="1" x14ac:dyDescent="0.2">
      <c r="A362" s="30">
        <v>6516</v>
      </c>
      <c r="B362" s="31" t="s">
        <v>335</v>
      </c>
      <c r="C362" s="32" t="s">
        <v>8</v>
      </c>
      <c r="D362" s="32" t="s">
        <v>24</v>
      </c>
      <c r="E362" s="20">
        <v>2.1</v>
      </c>
      <c r="F362" s="23">
        <f t="shared" si="5"/>
        <v>251.20200000000003</v>
      </c>
      <c r="G362" s="3"/>
      <c r="H362" s="4"/>
    </row>
    <row r="363" spans="1:8" ht="11.25" customHeight="1" x14ac:dyDescent="0.2">
      <c r="A363" s="30">
        <v>6517</v>
      </c>
      <c r="B363" s="31" t="s">
        <v>336</v>
      </c>
      <c r="C363" s="32" t="s">
        <v>8</v>
      </c>
      <c r="D363" s="32" t="s">
        <v>3</v>
      </c>
      <c r="E363" s="20">
        <v>1.41</v>
      </c>
      <c r="F363" s="23">
        <f t="shared" si="5"/>
        <v>168.66419999999999</v>
      </c>
      <c r="G363" s="3"/>
      <c r="H363" s="4"/>
    </row>
    <row r="364" spans="1:8" ht="11.25" customHeight="1" x14ac:dyDescent="0.2">
      <c r="A364" s="30">
        <v>6517</v>
      </c>
      <c r="B364" s="31" t="s">
        <v>336</v>
      </c>
      <c r="C364" s="32" t="s">
        <v>8</v>
      </c>
      <c r="D364" s="32" t="s">
        <v>24</v>
      </c>
      <c r="E364" s="20">
        <v>0.61</v>
      </c>
      <c r="F364" s="23">
        <f t="shared" si="5"/>
        <v>72.968199999999996</v>
      </c>
      <c r="G364" s="3"/>
      <c r="H364" s="4"/>
    </row>
    <row r="365" spans="1:8" ht="11.25" customHeight="1" x14ac:dyDescent="0.2">
      <c r="A365" s="30">
        <v>6521</v>
      </c>
      <c r="B365" s="31" t="s">
        <v>337</v>
      </c>
      <c r="C365" s="32" t="s">
        <v>8</v>
      </c>
      <c r="D365" s="32" t="s">
        <v>3</v>
      </c>
      <c r="E365" s="20">
        <v>3.53</v>
      </c>
      <c r="F365" s="23">
        <f t="shared" si="5"/>
        <v>422.2586</v>
      </c>
      <c r="G365" s="3"/>
      <c r="H365" s="4"/>
    </row>
    <row r="366" spans="1:8" ht="11.25" customHeight="1" x14ac:dyDescent="0.2">
      <c r="A366" s="30">
        <v>6521</v>
      </c>
      <c r="B366" s="31" t="s">
        <v>337</v>
      </c>
      <c r="C366" s="32" t="s">
        <v>8</v>
      </c>
      <c r="D366" s="32" t="s">
        <v>24</v>
      </c>
      <c r="E366" s="20">
        <v>1.51</v>
      </c>
      <c r="F366" s="23">
        <f t="shared" si="5"/>
        <v>180.62620000000001</v>
      </c>
      <c r="G366" s="3"/>
      <c r="H366" s="4"/>
    </row>
    <row r="367" spans="1:8" ht="11.25" customHeight="1" x14ac:dyDescent="0.2">
      <c r="A367" s="30">
        <v>6522</v>
      </c>
      <c r="B367" s="31" t="s">
        <v>338</v>
      </c>
      <c r="C367" s="32" t="s">
        <v>8</v>
      </c>
      <c r="D367" s="32" t="s">
        <v>3</v>
      </c>
      <c r="E367" s="20">
        <v>3.53</v>
      </c>
      <c r="F367" s="23">
        <f t="shared" si="5"/>
        <v>422.2586</v>
      </c>
      <c r="G367" s="3"/>
      <c r="H367" s="4"/>
    </row>
    <row r="368" spans="1:8" ht="11.25" customHeight="1" x14ac:dyDescent="0.2">
      <c r="A368" s="30">
        <v>6522</v>
      </c>
      <c r="B368" s="31" t="s">
        <v>338</v>
      </c>
      <c r="C368" s="32" t="s">
        <v>8</v>
      </c>
      <c r="D368" s="32" t="s">
        <v>24</v>
      </c>
      <c r="E368" s="20">
        <v>1.51</v>
      </c>
      <c r="F368" s="23">
        <f t="shared" si="5"/>
        <v>180.62620000000001</v>
      </c>
      <c r="G368" s="3"/>
      <c r="H368" s="4"/>
    </row>
    <row r="369" spans="1:8" ht="11.25" customHeight="1" x14ac:dyDescent="0.2">
      <c r="A369" s="30">
        <v>6938</v>
      </c>
      <c r="B369" s="31" t="s">
        <v>339</v>
      </c>
      <c r="C369" s="32" t="s">
        <v>8</v>
      </c>
      <c r="D369" s="32" t="s">
        <v>3</v>
      </c>
      <c r="E369" s="20">
        <v>0.74</v>
      </c>
      <c r="F369" s="23">
        <f t="shared" si="5"/>
        <v>88.518799999999999</v>
      </c>
      <c r="G369" s="3"/>
      <c r="H369" s="4"/>
    </row>
    <row r="370" spans="1:8" ht="11.25" customHeight="1" x14ac:dyDescent="0.2">
      <c r="A370" s="30">
        <v>6938</v>
      </c>
      <c r="B370" s="31" t="s">
        <v>339</v>
      </c>
      <c r="C370" s="32" t="s">
        <v>8</v>
      </c>
      <c r="D370" s="32" t="s">
        <v>24</v>
      </c>
      <c r="E370" s="20">
        <v>0.31</v>
      </c>
      <c r="F370" s="23">
        <f t="shared" si="5"/>
        <v>37.0822</v>
      </c>
      <c r="G370" s="3"/>
      <c r="H370" s="4"/>
    </row>
    <row r="371" spans="1:8" ht="11.25" customHeight="1" x14ac:dyDescent="0.2">
      <c r="A371" s="30">
        <v>7595</v>
      </c>
      <c r="B371" s="31" t="s">
        <v>340</v>
      </c>
      <c r="C371" s="32" t="s">
        <v>8</v>
      </c>
      <c r="D371" s="32" t="s">
        <v>3</v>
      </c>
      <c r="E371" s="20">
        <v>0.32</v>
      </c>
      <c r="F371" s="23">
        <f t="shared" si="5"/>
        <v>38.278400000000005</v>
      </c>
      <c r="G371" s="3"/>
      <c r="H371" s="4"/>
    </row>
    <row r="372" spans="1:8" ht="11.25" customHeight="1" x14ac:dyDescent="0.2">
      <c r="A372" s="30">
        <v>7595</v>
      </c>
      <c r="B372" s="31" t="s">
        <v>340</v>
      </c>
      <c r="C372" s="32" t="s">
        <v>8</v>
      </c>
      <c r="D372" s="32" t="s">
        <v>24</v>
      </c>
      <c r="E372" s="20">
        <v>0.14000000000000001</v>
      </c>
      <c r="F372" s="23">
        <f t="shared" si="5"/>
        <v>16.746800000000004</v>
      </c>
      <c r="G372" s="3"/>
      <c r="H372" s="4"/>
    </row>
    <row r="373" spans="1:8" ht="11.25" customHeight="1" x14ac:dyDescent="0.2">
      <c r="A373" s="30">
        <v>7524</v>
      </c>
      <c r="B373" s="31" t="s">
        <v>341</v>
      </c>
      <c r="C373" s="32" t="s">
        <v>8</v>
      </c>
      <c r="D373" s="32" t="s">
        <v>3</v>
      </c>
      <c r="E373" s="20">
        <v>1.83</v>
      </c>
      <c r="F373" s="23">
        <f t="shared" si="5"/>
        <v>218.90460000000002</v>
      </c>
      <c r="G373" s="3"/>
      <c r="H373" s="4"/>
    </row>
    <row r="374" spans="1:8" ht="11.25" customHeight="1" x14ac:dyDescent="0.2">
      <c r="A374" s="30">
        <v>7524</v>
      </c>
      <c r="B374" s="31" t="s">
        <v>341</v>
      </c>
      <c r="C374" s="32" t="s">
        <v>8</v>
      </c>
      <c r="D374" s="32" t="s">
        <v>24</v>
      </c>
      <c r="E374" s="20">
        <v>0.79</v>
      </c>
      <c r="F374" s="23">
        <f t="shared" si="5"/>
        <v>94.499800000000008</v>
      </c>
      <c r="G374" s="3"/>
      <c r="H374" s="4"/>
    </row>
    <row r="375" spans="1:8" ht="11.25" customHeight="1" x14ac:dyDescent="0.2">
      <c r="A375" s="30">
        <v>7531</v>
      </c>
      <c r="B375" s="31" t="s">
        <v>342</v>
      </c>
      <c r="C375" s="32" t="s">
        <v>8</v>
      </c>
      <c r="D375" s="32" t="s">
        <v>3</v>
      </c>
      <c r="E375" s="20">
        <v>4.59</v>
      </c>
      <c r="F375" s="23">
        <f t="shared" si="5"/>
        <v>549.05579999999998</v>
      </c>
      <c r="G375" s="3"/>
      <c r="H375" s="4"/>
    </row>
    <row r="376" spans="1:8" ht="11.25" customHeight="1" x14ac:dyDescent="0.2">
      <c r="A376" s="30">
        <v>7531</v>
      </c>
      <c r="B376" s="31" t="s">
        <v>342</v>
      </c>
      <c r="C376" s="32" t="s">
        <v>8</v>
      </c>
      <c r="D376" s="32" t="s">
        <v>24</v>
      </c>
      <c r="E376" s="20">
        <v>1.97</v>
      </c>
      <c r="F376" s="23">
        <f t="shared" si="5"/>
        <v>235.6514</v>
      </c>
      <c r="G376" s="3"/>
      <c r="H376" s="4"/>
    </row>
    <row r="377" spans="1:8" ht="11.25" customHeight="1" x14ac:dyDescent="0.2">
      <c r="A377" s="30">
        <v>6336</v>
      </c>
      <c r="B377" s="31" t="s">
        <v>343</v>
      </c>
      <c r="C377" s="32" t="s">
        <v>8</v>
      </c>
      <c r="D377" s="32" t="s">
        <v>3</v>
      </c>
      <c r="E377" s="20">
        <v>4.42</v>
      </c>
      <c r="F377" s="23">
        <f t="shared" si="5"/>
        <v>528.72040000000004</v>
      </c>
      <c r="G377" s="3"/>
      <c r="H377" s="4"/>
    </row>
    <row r="378" spans="1:8" ht="11.25" customHeight="1" x14ac:dyDescent="0.2">
      <c r="A378" s="30">
        <v>6336</v>
      </c>
      <c r="B378" s="31" t="s">
        <v>343</v>
      </c>
      <c r="C378" s="32" t="s">
        <v>8</v>
      </c>
      <c r="D378" s="32" t="s">
        <v>24</v>
      </c>
      <c r="E378" s="20">
        <v>1.89</v>
      </c>
      <c r="F378" s="23">
        <f t="shared" si="5"/>
        <v>226.08179999999999</v>
      </c>
      <c r="G378" s="3"/>
      <c r="H378" s="4"/>
    </row>
    <row r="379" spans="1:8" ht="11.25" customHeight="1" x14ac:dyDescent="0.2">
      <c r="A379" s="30">
        <v>6338</v>
      </c>
      <c r="B379" s="31" t="s">
        <v>344</v>
      </c>
      <c r="C379" s="32" t="s">
        <v>8</v>
      </c>
      <c r="D379" s="32" t="s">
        <v>3</v>
      </c>
      <c r="E379" s="20">
        <v>2.95</v>
      </c>
      <c r="F379" s="23">
        <f t="shared" si="5"/>
        <v>352.87900000000002</v>
      </c>
      <c r="G379" s="3"/>
      <c r="H379" s="4"/>
    </row>
    <row r="380" spans="1:8" ht="11.25" customHeight="1" x14ac:dyDescent="0.2">
      <c r="A380" s="30">
        <v>6338</v>
      </c>
      <c r="B380" s="31" t="s">
        <v>344</v>
      </c>
      <c r="C380" s="32" t="s">
        <v>8</v>
      </c>
      <c r="D380" s="32" t="s">
        <v>24</v>
      </c>
      <c r="E380" s="20">
        <v>1.26</v>
      </c>
      <c r="F380" s="23">
        <f t="shared" si="5"/>
        <v>150.72120000000001</v>
      </c>
      <c r="G380" s="3"/>
      <c r="H380" s="4"/>
    </row>
    <row r="381" spans="1:8" ht="11.25" customHeight="1" x14ac:dyDescent="0.2">
      <c r="A381" s="30">
        <v>6523</v>
      </c>
      <c r="B381" s="31" t="s">
        <v>345</v>
      </c>
      <c r="C381" s="32" t="s">
        <v>8</v>
      </c>
      <c r="D381" s="32" t="s">
        <v>3</v>
      </c>
      <c r="E381" s="20">
        <v>0.34</v>
      </c>
      <c r="F381" s="23">
        <f t="shared" si="5"/>
        <v>40.670800000000007</v>
      </c>
      <c r="G381" s="3"/>
      <c r="H381" s="4"/>
    </row>
    <row r="382" spans="1:8" ht="11.25" customHeight="1" x14ac:dyDescent="0.2">
      <c r="A382" s="30">
        <v>6523</v>
      </c>
      <c r="B382" s="31" t="s">
        <v>345</v>
      </c>
      <c r="C382" s="32" t="s">
        <v>8</v>
      </c>
      <c r="D382" s="32" t="s">
        <v>24</v>
      </c>
      <c r="E382" s="20">
        <v>0.15</v>
      </c>
      <c r="F382" s="23">
        <f t="shared" si="5"/>
        <v>17.943000000000001</v>
      </c>
      <c r="G382" s="3"/>
      <c r="H382" s="4"/>
    </row>
    <row r="383" spans="1:8" ht="11.25" customHeight="1" x14ac:dyDescent="0.2">
      <c r="A383" s="30">
        <v>6524</v>
      </c>
      <c r="B383" s="31" t="s">
        <v>346</v>
      </c>
      <c r="C383" s="32" t="s">
        <v>8</v>
      </c>
      <c r="D383" s="32" t="s">
        <v>3</v>
      </c>
      <c r="E383" s="20">
        <v>0.34</v>
      </c>
      <c r="F383" s="23">
        <f t="shared" si="5"/>
        <v>40.670800000000007</v>
      </c>
      <c r="G383" s="3"/>
      <c r="H383" s="4"/>
    </row>
    <row r="384" spans="1:8" ht="11.25" customHeight="1" x14ac:dyDescent="0.2">
      <c r="A384" s="30">
        <v>6524</v>
      </c>
      <c r="B384" s="31" t="s">
        <v>346</v>
      </c>
      <c r="C384" s="32" t="s">
        <v>8</v>
      </c>
      <c r="D384" s="32" t="s">
        <v>24</v>
      </c>
      <c r="E384" s="20">
        <v>0.15</v>
      </c>
      <c r="F384" s="23">
        <f t="shared" si="5"/>
        <v>17.943000000000001</v>
      </c>
      <c r="G384" s="3"/>
      <c r="H384" s="4"/>
    </row>
    <row r="385" spans="1:8" ht="11.25" customHeight="1" x14ac:dyDescent="0.2">
      <c r="A385" s="30">
        <v>6525</v>
      </c>
      <c r="B385" s="31" t="s">
        <v>347</v>
      </c>
      <c r="C385" s="32" t="s">
        <v>8</v>
      </c>
      <c r="D385" s="32" t="s">
        <v>3</v>
      </c>
      <c r="E385" s="20">
        <v>0.34</v>
      </c>
      <c r="F385" s="23">
        <f t="shared" si="5"/>
        <v>40.670800000000007</v>
      </c>
      <c r="G385" s="3"/>
      <c r="H385" s="4"/>
    </row>
    <row r="386" spans="1:8" ht="11.25" customHeight="1" x14ac:dyDescent="0.2">
      <c r="A386" s="30">
        <v>6525</v>
      </c>
      <c r="B386" s="31" t="s">
        <v>347</v>
      </c>
      <c r="C386" s="32" t="s">
        <v>8</v>
      </c>
      <c r="D386" s="32" t="s">
        <v>24</v>
      </c>
      <c r="E386" s="20">
        <v>0.15</v>
      </c>
      <c r="F386" s="23">
        <f t="shared" si="5"/>
        <v>17.943000000000001</v>
      </c>
      <c r="G386" s="3"/>
      <c r="H386" s="4"/>
    </row>
    <row r="387" spans="1:8" ht="11.25" customHeight="1" x14ac:dyDescent="0.2">
      <c r="A387" s="30">
        <v>6599</v>
      </c>
      <c r="B387" s="31" t="s">
        <v>348</v>
      </c>
      <c r="C387" s="32" t="s">
        <v>8</v>
      </c>
      <c r="D387" s="32" t="s">
        <v>3</v>
      </c>
      <c r="E387" s="20">
        <v>8.1</v>
      </c>
      <c r="F387" s="23">
        <f t="shared" si="5"/>
        <v>968.92200000000003</v>
      </c>
      <c r="G387" s="3"/>
      <c r="H387" s="4"/>
    </row>
    <row r="388" spans="1:8" ht="11.25" customHeight="1" x14ac:dyDescent="0.2">
      <c r="A388" s="30">
        <v>6599</v>
      </c>
      <c r="B388" s="31" t="s">
        <v>348</v>
      </c>
      <c r="C388" s="32" t="s">
        <v>8</v>
      </c>
      <c r="D388" s="32" t="s">
        <v>24</v>
      </c>
      <c r="E388" s="20">
        <v>3.47</v>
      </c>
      <c r="F388" s="23">
        <f t="shared" si="5"/>
        <v>415.08140000000003</v>
      </c>
      <c r="G388" s="3"/>
      <c r="H388" s="4"/>
    </row>
    <row r="389" spans="1:8" ht="11.25" customHeight="1" x14ac:dyDescent="0.2">
      <c r="A389" s="30">
        <v>6943</v>
      </c>
      <c r="B389" s="31" t="s">
        <v>349</v>
      </c>
      <c r="C389" s="32" t="s">
        <v>8</v>
      </c>
      <c r="D389" s="32" t="s">
        <v>3</v>
      </c>
      <c r="E389" s="20">
        <v>8.1</v>
      </c>
      <c r="F389" s="23">
        <f t="shared" si="5"/>
        <v>968.92200000000003</v>
      </c>
      <c r="G389" s="3"/>
      <c r="H389" s="4"/>
    </row>
    <row r="390" spans="1:8" ht="11.25" customHeight="1" x14ac:dyDescent="0.2">
      <c r="A390" s="30">
        <v>6943</v>
      </c>
      <c r="B390" s="31" t="s">
        <v>349</v>
      </c>
      <c r="C390" s="32" t="s">
        <v>8</v>
      </c>
      <c r="D390" s="32" t="s">
        <v>24</v>
      </c>
      <c r="E390" s="20">
        <v>3.47</v>
      </c>
      <c r="F390" s="23">
        <f t="shared" si="5"/>
        <v>415.08140000000003</v>
      </c>
      <c r="G390" s="3"/>
      <c r="H390" s="4"/>
    </row>
    <row r="391" spans="1:8" ht="11.25" customHeight="1" x14ac:dyDescent="0.2">
      <c r="A391" s="30">
        <v>6339</v>
      </c>
      <c r="B391" s="31" t="s">
        <v>350</v>
      </c>
      <c r="C391" s="32" t="s">
        <v>8</v>
      </c>
      <c r="D391" s="32" t="s">
        <v>3</v>
      </c>
      <c r="E391" s="20">
        <v>5</v>
      </c>
      <c r="F391" s="23">
        <f t="shared" si="5"/>
        <v>598.1</v>
      </c>
      <c r="G391" s="3"/>
      <c r="H391" s="4"/>
    </row>
    <row r="392" spans="1:8" ht="11.25" customHeight="1" x14ac:dyDescent="0.2">
      <c r="A392" s="30">
        <v>6339</v>
      </c>
      <c r="B392" s="31" t="s">
        <v>350</v>
      </c>
      <c r="C392" s="32" t="s">
        <v>8</v>
      </c>
      <c r="D392" s="32" t="s">
        <v>24</v>
      </c>
      <c r="E392" s="20">
        <v>2.14</v>
      </c>
      <c r="F392" s="23">
        <f t="shared" si="5"/>
        <v>255.98680000000002</v>
      </c>
      <c r="G392" s="3"/>
      <c r="H392" s="4"/>
    </row>
    <row r="393" spans="1:8" ht="11.25" customHeight="1" x14ac:dyDescent="0.2">
      <c r="A393" s="30">
        <v>6340</v>
      </c>
      <c r="B393" s="31" t="s">
        <v>351</v>
      </c>
      <c r="C393" s="32" t="s">
        <v>8</v>
      </c>
      <c r="D393" s="32" t="s">
        <v>3</v>
      </c>
      <c r="E393" s="20">
        <v>6.87</v>
      </c>
      <c r="F393" s="23">
        <f t="shared" ref="F393:F456" si="6">E393*F$5</f>
        <v>821.7894</v>
      </c>
      <c r="G393" s="3"/>
      <c r="H393" s="4"/>
    </row>
    <row r="394" spans="1:8" ht="11.25" customHeight="1" x14ac:dyDescent="0.2">
      <c r="A394" s="30">
        <v>6340</v>
      </c>
      <c r="B394" s="31" t="s">
        <v>351</v>
      </c>
      <c r="C394" s="32" t="s">
        <v>8</v>
      </c>
      <c r="D394" s="32" t="s">
        <v>24</v>
      </c>
      <c r="E394" s="20">
        <v>2.95</v>
      </c>
      <c r="F394" s="23">
        <f t="shared" si="6"/>
        <v>352.87900000000002</v>
      </c>
      <c r="G394" s="3"/>
      <c r="H394" s="4"/>
    </row>
    <row r="395" spans="1:8" ht="11.25" customHeight="1" x14ac:dyDescent="0.2">
      <c r="A395" s="30">
        <v>6486</v>
      </c>
      <c r="B395" s="31" t="s">
        <v>352</v>
      </c>
      <c r="C395" s="32" t="s">
        <v>8</v>
      </c>
      <c r="D395" s="32" t="s">
        <v>3</v>
      </c>
      <c r="E395" s="20">
        <v>1.1200000000000001</v>
      </c>
      <c r="F395" s="23">
        <f t="shared" si="6"/>
        <v>133.97440000000003</v>
      </c>
      <c r="G395" s="3"/>
      <c r="H395" s="4"/>
    </row>
    <row r="396" spans="1:8" ht="11.25" customHeight="1" x14ac:dyDescent="0.2">
      <c r="A396" s="30">
        <v>6486</v>
      </c>
      <c r="B396" s="31" t="s">
        <v>352</v>
      </c>
      <c r="C396" s="32" t="s">
        <v>8</v>
      </c>
      <c r="D396" s="32" t="s">
        <v>24</v>
      </c>
      <c r="E396" s="20">
        <v>0.48</v>
      </c>
      <c r="F396" s="23">
        <f t="shared" si="6"/>
        <v>57.4176</v>
      </c>
      <c r="G396" s="3"/>
      <c r="H396" s="4"/>
    </row>
    <row r="397" spans="1:8" ht="11.25" customHeight="1" x14ac:dyDescent="0.2">
      <c r="A397" s="30">
        <v>6477</v>
      </c>
      <c r="B397" s="31" t="s">
        <v>353</v>
      </c>
      <c r="C397" s="32" t="s">
        <v>8</v>
      </c>
      <c r="D397" s="32" t="s">
        <v>3</v>
      </c>
      <c r="E397" s="20">
        <v>1.1200000000000001</v>
      </c>
      <c r="F397" s="23">
        <f t="shared" si="6"/>
        <v>133.97440000000003</v>
      </c>
      <c r="G397" s="3"/>
      <c r="H397" s="4"/>
    </row>
    <row r="398" spans="1:8" ht="11.25" customHeight="1" x14ac:dyDescent="0.2">
      <c r="A398" s="30">
        <v>6477</v>
      </c>
      <c r="B398" s="31" t="s">
        <v>353</v>
      </c>
      <c r="C398" s="32" t="s">
        <v>8</v>
      </c>
      <c r="D398" s="32" t="s">
        <v>24</v>
      </c>
      <c r="E398" s="20">
        <v>0.48</v>
      </c>
      <c r="F398" s="23">
        <f t="shared" si="6"/>
        <v>57.4176</v>
      </c>
      <c r="G398" s="3"/>
      <c r="H398" s="4"/>
    </row>
    <row r="399" spans="1:8" ht="11.25" customHeight="1" x14ac:dyDescent="0.2">
      <c r="A399" s="30">
        <v>6478</v>
      </c>
      <c r="B399" s="31" t="s">
        <v>354</v>
      </c>
      <c r="C399" s="32" t="s">
        <v>8</v>
      </c>
      <c r="D399" s="32" t="s">
        <v>3</v>
      </c>
      <c r="E399" s="20">
        <v>0.78</v>
      </c>
      <c r="F399" s="23">
        <f t="shared" si="6"/>
        <v>93.303600000000003</v>
      </c>
      <c r="G399" s="3"/>
      <c r="H399" s="4"/>
    </row>
    <row r="400" spans="1:8" ht="11.25" customHeight="1" x14ac:dyDescent="0.2">
      <c r="A400" s="30">
        <v>6478</v>
      </c>
      <c r="B400" s="31" t="s">
        <v>354</v>
      </c>
      <c r="C400" s="32" t="s">
        <v>8</v>
      </c>
      <c r="D400" s="32" t="s">
        <v>24</v>
      </c>
      <c r="E400" s="20">
        <v>0.34</v>
      </c>
      <c r="F400" s="23">
        <f t="shared" si="6"/>
        <v>40.670800000000007</v>
      </c>
      <c r="G400" s="3"/>
      <c r="H400" s="4"/>
    </row>
    <row r="401" spans="1:8" ht="11.25" customHeight="1" x14ac:dyDescent="0.2">
      <c r="A401" s="30">
        <v>6245</v>
      </c>
      <c r="B401" s="31" t="s">
        <v>355</v>
      </c>
      <c r="C401" s="32" t="s">
        <v>8</v>
      </c>
      <c r="D401" s="32" t="s">
        <v>3</v>
      </c>
      <c r="E401" s="20">
        <v>4.2</v>
      </c>
      <c r="F401" s="23">
        <f t="shared" si="6"/>
        <v>502.40400000000005</v>
      </c>
      <c r="G401" s="3"/>
      <c r="H401" s="4"/>
    </row>
    <row r="402" spans="1:8" ht="11.25" customHeight="1" x14ac:dyDescent="0.2">
      <c r="A402" s="30">
        <v>6245</v>
      </c>
      <c r="B402" s="31" t="s">
        <v>355</v>
      </c>
      <c r="C402" s="32" t="s">
        <v>8</v>
      </c>
      <c r="D402" s="32" t="s">
        <v>24</v>
      </c>
      <c r="E402" s="20">
        <v>1.8</v>
      </c>
      <c r="F402" s="23">
        <f t="shared" si="6"/>
        <v>215.316</v>
      </c>
      <c r="G402" s="3"/>
      <c r="H402" s="4"/>
    </row>
    <row r="403" spans="1:8" ht="11.25" customHeight="1" x14ac:dyDescent="0.2">
      <c r="A403" s="30">
        <v>6941</v>
      </c>
      <c r="B403" s="31" t="s">
        <v>356</v>
      </c>
      <c r="C403" s="32" t="s">
        <v>8</v>
      </c>
      <c r="D403" s="32" t="s">
        <v>3</v>
      </c>
      <c r="E403" s="20">
        <v>4.2</v>
      </c>
      <c r="F403" s="23">
        <f t="shared" si="6"/>
        <v>502.40400000000005</v>
      </c>
      <c r="G403" s="3"/>
      <c r="H403" s="4"/>
    </row>
    <row r="404" spans="1:8" ht="11.25" customHeight="1" x14ac:dyDescent="0.2">
      <c r="A404" s="30">
        <v>6941</v>
      </c>
      <c r="B404" s="31" t="s">
        <v>356</v>
      </c>
      <c r="C404" s="32" t="s">
        <v>8</v>
      </c>
      <c r="D404" s="32" t="s">
        <v>24</v>
      </c>
      <c r="E404" s="20">
        <v>1.8</v>
      </c>
      <c r="F404" s="23">
        <f t="shared" si="6"/>
        <v>215.316</v>
      </c>
      <c r="G404" s="3"/>
      <c r="H404" s="4"/>
    </row>
    <row r="405" spans="1:8" ht="11.25" customHeight="1" x14ac:dyDescent="0.2">
      <c r="A405" s="30">
        <v>6498</v>
      </c>
      <c r="B405" s="31" t="s">
        <v>357</v>
      </c>
      <c r="C405" s="32" t="s">
        <v>8</v>
      </c>
      <c r="D405" s="32" t="s">
        <v>3</v>
      </c>
      <c r="E405" s="20">
        <v>0.35</v>
      </c>
      <c r="F405" s="23">
        <f t="shared" si="6"/>
        <v>41.866999999999997</v>
      </c>
      <c r="G405" s="3"/>
      <c r="H405" s="4"/>
    </row>
    <row r="406" spans="1:8" ht="11.25" customHeight="1" x14ac:dyDescent="0.2">
      <c r="A406" s="30">
        <v>6498</v>
      </c>
      <c r="B406" s="31" t="s">
        <v>357</v>
      </c>
      <c r="C406" s="32" t="s">
        <v>8</v>
      </c>
      <c r="D406" s="32" t="s">
        <v>24</v>
      </c>
      <c r="E406" s="20">
        <v>0.15</v>
      </c>
      <c r="F406" s="23">
        <f t="shared" si="6"/>
        <v>17.943000000000001</v>
      </c>
      <c r="G406" s="3"/>
      <c r="H406" s="4"/>
    </row>
    <row r="407" spans="1:8" ht="11.25" customHeight="1" x14ac:dyDescent="0.2">
      <c r="A407" s="30">
        <v>6469</v>
      </c>
      <c r="B407" s="31" t="s">
        <v>358</v>
      </c>
      <c r="C407" s="32" t="s">
        <v>8</v>
      </c>
      <c r="D407" s="32" t="s">
        <v>3</v>
      </c>
      <c r="E407" s="20">
        <v>2.1</v>
      </c>
      <c r="F407" s="23">
        <f t="shared" si="6"/>
        <v>251.20200000000003</v>
      </c>
      <c r="G407" s="3"/>
      <c r="H407" s="4"/>
    </row>
    <row r="408" spans="1:8" ht="11.25" customHeight="1" x14ac:dyDescent="0.2">
      <c r="A408" s="30">
        <v>6469</v>
      </c>
      <c r="B408" s="31" t="s">
        <v>358</v>
      </c>
      <c r="C408" s="32" t="s">
        <v>8</v>
      </c>
      <c r="D408" s="32" t="s">
        <v>24</v>
      </c>
      <c r="E408" s="20">
        <v>0.9</v>
      </c>
      <c r="F408" s="23">
        <f t="shared" si="6"/>
        <v>107.658</v>
      </c>
      <c r="G408" s="3"/>
      <c r="H408" s="4"/>
    </row>
    <row r="409" spans="1:8" ht="11.25" customHeight="1" x14ac:dyDescent="0.2">
      <c r="A409" s="30">
        <v>6433</v>
      </c>
      <c r="B409" s="31" t="s">
        <v>359</v>
      </c>
      <c r="C409" s="32" t="s">
        <v>8</v>
      </c>
      <c r="D409" s="32" t="s">
        <v>3</v>
      </c>
      <c r="E409" s="20">
        <v>9.8000000000000007</v>
      </c>
      <c r="F409" s="23">
        <f t="shared" si="6"/>
        <v>1172.2760000000001</v>
      </c>
      <c r="G409" s="3"/>
      <c r="H409" s="4"/>
    </row>
    <row r="410" spans="1:8" ht="11.25" customHeight="1" x14ac:dyDescent="0.2">
      <c r="A410" s="30">
        <v>6433</v>
      </c>
      <c r="B410" s="31" t="s">
        <v>359</v>
      </c>
      <c r="C410" s="32" t="s">
        <v>8</v>
      </c>
      <c r="D410" s="32" t="s">
        <v>24</v>
      </c>
      <c r="E410" s="20">
        <v>4.2</v>
      </c>
      <c r="F410" s="23">
        <f t="shared" si="6"/>
        <v>502.40400000000005</v>
      </c>
      <c r="G410" s="3"/>
      <c r="H410" s="4"/>
    </row>
    <row r="411" spans="1:8" ht="11.25" customHeight="1" x14ac:dyDescent="0.2">
      <c r="A411" s="30">
        <v>6434</v>
      </c>
      <c r="B411" s="31" t="s">
        <v>360</v>
      </c>
      <c r="C411" s="32" t="s">
        <v>8</v>
      </c>
      <c r="D411" s="32" t="s">
        <v>3</v>
      </c>
      <c r="E411" s="20">
        <v>9.8000000000000007</v>
      </c>
      <c r="F411" s="23">
        <f t="shared" si="6"/>
        <v>1172.2760000000001</v>
      </c>
      <c r="G411" s="3"/>
      <c r="H411" s="4"/>
    </row>
    <row r="412" spans="1:8" ht="11.25" customHeight="1" x14ac:dyDescent="0.2">
      <c r="A412" s="30">
        <v>6434</v>
      </c>
      <c r="B412" s="31" t="s">
        <v>360</v>
      </c>
      <c r="C412" s="32" t="s">
        <v>8</v>
      </c>
      <c r="D412" s="32" t="s">
        <v>24</v>
      </c>
      <c r="E412" s="20">
        <v>4.2</v>
      </c>
      <c r="F412" s="23">
        <f t="shared" si="6"/>
        <v>502.40400000000005</v>
      </c>
      <c r="G412" s="3"/>
      <c r="H412" s="4"/>
    </row>
    <row r="413" spans="1:8" ht="11.25" customHeight="1" x14ac:dyDescent="0.2">
      <c r="A413" s="30">
        <v>6611</v>
      </c>
      <c r="B413" s="31" t="s">
        <v>361</v>
      </c>
      <c r="C413" s="32" t="s">
        <v>8</v>
      </c>
      <c r="D413" s="32" t="s">
        <v>3</v>
      </c>
      <c r="E413" s="20">
        <v>7</v>
      </c>
      <c r="F413" s="23">
        <f t="shared" si="6"/>
        <v>837.34</v>
      </c>
      <c r="G413" s="3"/>
      <c r="H413" s="4"/>
    </row>
    <row r="414" spans="1:8" ht="11.25" customHeight="1" x14ac:dyDescent="0.2">
      <c r="A414" s="30">
        <v>6611</v>
      </c>
      <c r="B414" s="31" t="s">
        <v>361</v>
      </c>
      <c r="C414" s="32" t="s">
        <v>8</v>
      </c>
      <c r="D414" s="32" t="s">
        <v>24</v>
      </c>
      <c r="E414" s="20">
        <v>3</v>
      </c>
      <c r="F414" s="23">
        <f t="shared" si="6"/>
        <v>358.86</v>
      </c>
      <c r="G414" s="3"/>
      <c r="H414" s="4"/>
    </row>
    <row r="415" spans="1:8" ht="11.25" customHeight="1" x14ac:dyDescent="0.2">
      <c r="A415" s="30">
        <v>6610</v>
      </c>
      <c r="B415" s="31" t="s">
        <v>362</v>
      </c>
      <c r="C415" s="32" t="s">
        <v>8</v>
      </c>
      <c r="D415" s="32" t="s">
        <v>3</v>
      </c>
      <c r="E415" s="20">
        <v>9.8000000000000007</v>
      </c>
      <c r="F415" s="23">
        <f t="shared" si="6"/>
        <v>1172.2760000000001</v>
      </c>
      <c r="G415" s="3"/>
      <c r="H415" s="4"/>
    </row>
    <row r="416" spans="1:8" ht="11.25" customHeight="1" x14ac:dyDescent="0.2">
      <c r="A416" s="30">
        <v>6610</v>
      </c>
      <c r="B416" s="31" t="s">
        <v>362</v>
      </c>
      <c r="C416" s="32" t="s">
        <v>8</v>
      </c>
      <c r="D416" s="32" t="s">
        <v>24</v>
      </c>
      <c r="E416" s="20">
        <v>4.2</v>
      </c>
      <c r="F416" s="23">
        <f t="shared" si="6"/>
        <v>502.40400000000005</v>
      </c>
      <c r="G416" s="3"/>
      <c r="H416" s="4"/>
    </row>
    <row r="417" spans="1:8" ht="11.25" customHeight="1" x14ac:dyDescent="0.2">
      <c r="A417" s="30">
        <v>6461</v>
      </c>
      <c r="B417" s="31" t="s">
        <v>363</v>
      </c>
      <c r="C417" s="32" t="s">
        <v>8</v>
      </c>
      <c r="D417" s="32" t="s">
        <v>3</v>
      </c>
      <c r="E417" s="20">
        <v>2</v>
      </c>
      <c r="F417" s="23">
        <f t="shared" si="6"/>
        <v>239.24</v>
      </c>
      <c r="G417" s="3"/>
      <c r="H417" s="4"/>
    </row>
    <row r="418" spans="1:8" ht="11.25" customHeight="1" x14ac:dyDescent="0.2">
      <c r="A418" s="30">
        <v>6884</v>
      </c>
      <c r="B418" s="31" t="s">
        <v>364</v>
      </c>
      <c r="C418" s="32" t="s">
        <v>8</v>
      </c>
      <c r="D418" s="32" t="s">
        <v>3</v>
      </c>
      <c r="E418" s="20">
        <v>5</v>
      </c>
      <c r="F418" s="23">
        <f t="shared" si="6"/>
        <v>598.1</v>
      </c>
      <c r="G418" s="3"/>
      <c r="H418" s="4"/>
    </row>
    <row r="419" spans="1:8" ht="11.25" customHeight="1" x14ac:dyDescent="0.2">
      <c r="A419" s="30">
        <v>6435</v>
      </c>
      <c r="B419" s="31" t="s">
        <v>365</v>
      </c>
      <c r="C419" s="32" t="s">
        <v>8</v>
      </c>
      <c r="D419" s="32" t="s">
        <v>3</v>
      </c>
      <c r="E419" s="20">
        <v>0.2</v>
      </c>
      <c r="F419" s="23">
        <f t="shared" si="6"/>
        <v>23.924000000000003</v>
      </c>
      <c r="G419" s="3"/>
      <c r="H419" s="4"/>
    </row>
    <row r="420" spans="1:8" ht="11.25" customHeight="1" x14ac:dyDescent="0.2">
      <c r="A420" s="30">
        <v>6449</v>
      </c>
      <c r="B420" s="31" t="s">
        <v>366</v>
      </c>
      <c r="C420" s="32" t="s">
        <v>8</v>
      </c>
      <c r="D420" s="32" t="s">
        <v>3</v>
      </c>
      <c r="E420" s="20">
        <v>2</v>
      </c>
      <c r="F420" s="23">
        <f t="shared" si="6"/>
        <v>239.24</v>
      </c>
      <c r="G420" s="3"/>
      <c r="H420" s="4"/>
    </row>
    <row r="421" spans="1:8" ht="11.25" customHeight="1" x14ac:dyDescent="0.2">
      <c r="A421" s="30">
        <v>6450</v>
      </c>
      <c r="B421" s="31" t="s">
        <v>367</v>
      </c>
      <c r="C421" s="32" t="s">
        <v>8</v>
      </c>
      <c r="D421" s="32" t="s">
        <v>3</v>
      </c>
      <c r="E421" s="20">
        <v>6</v>
      </c>
      <c r="F421" s="23">
        <f t="shared" si="6"/>
        <v>717.72</v>
      </c>
      <c r="G421" s="3"/>
      <c r="H421" s="4"/>
    </row>
    <row r="422" spans="1:8" ht="11.25" customHeight="1" x14ac:dyDescent="0.2">
      <c r="A422" s="30">
        <v>6451</v>
      </c>
      <c r="B422" s="31" t="s">
        <v>368</v>
      </c>
      <c r="C422" s="32" t="s">
        <v>8</v>
      </c>
      <c r="D422" s="32" t="s">
        <v>3</v>
      </c>
      <c r="E422" s="20">
        <v>0.94</v>
      </c>
      <c r="F422" s="23">
        <f t="shared" si="6"/>
        <v>112.44279999999999</v>
      </c>
      <c r="G422" s="3"/>
      <c r="H422" s="4"/>
    </row>
    <row r="423" spans="1:8" ht="11.25" customHeight="1" x14ac:dyDescent="0.2">
      <c r="A423" s="30">
        <v>7635</v>
      </c>
      <c r="B423" s="31" t="s">
        <v>369</v>
      </c>
      <c r="C423" s="32" t="s">
        <v>8</v>
      </c>
      <c r="D423" s="32" t="s">
        <v>24</v>
      </c>
      <c r="E423" s="20">
        <v>0.7</v>
      </c>
      <c r="F423" s="23">
        <f t="shared" si="6"/>
        <v>83.733999999999995</v>
      </c>
      <c r="G423" s="3"/>
      <c r="H423" s="4"/>
    </row>
    <row r="424" spans="1:8" ht="11.25" customHeight="1" x14ac:dyDescent="0.2">
      <c r="A424" s="30">
        <v>6889</v>
      </c>
      <c r="B424" s="31" t="s">
        <v>370</v>
      </c>
      <c r="C424" s="32" t="s">
        <v>8</v>
      </c>
      <c r="D424" s="32" t="s">
        <v>24</v>
      </c>
      <c r="E424" s="20">
        <v>0.38</v>
      </c>
      <c r="F424" s="23">
        <f t="shared" si="6"/>
        <v>45.455600000000004</v>
      </c>
      <c r="G424" s="3"/>
      <c r="H424" s="4"/>
    </row>
    <row r="425" spans="1:8" ht="11.25" customHeight="1" x14ac:dyDescent="0.2">
      <c r="A425" s="30">
        <v>7640</v>
      </c>
      <c r="B425" s="31" t="s">
        <v>371</v>
      </c>
      <c r="C425" s="32" t="s">
        <v>8</v>
      </c>
      <c r="D425" s="32" t="s">
        <v>24</v>
      </c>
      <c r="E425" s="20">
        <v>0.2</v>
      </c>
      <c r="F425" s="23">
        <f t="shared" si="6"/>
        <v>23.924000000000003</v>
      </c>
      <c r="G425" s="3"/>
      <c r="H425" s="4"/>
    </row>
    <row r="426" spans="1:8" ht="11.25" customHeight="1" x14ac:dyDescent="0.2">
      <c r="A426" s="30">
        <v>7174</v>
      </c>
      <c r="B426" s="31" t="s">
        <v>372</v>
      </c>
      <c r="C426" s="32" t="s">
        <v>8</v>
      </c>
      <c r="D426" s="32" t="s">
        <v>24</v>
      </c>
      <c r="E426" s="20">
        <v>1</v>
      </c>
      <c r="F426" s="23">
        <f t="shared" si="6"/>
        <v>119.62</v>
      </c>
      <c r="G426" s="3"/>
      <c r="H426" s="4"/>
    </row>
    <row r="427" spans="1:8" ht="11.25" customHeight="1" x14ac:dyDescent="0.2">
      <c r="A427" s="30">
        <v>6288</v>
      </c>
      <c r="B427" s="31" t="s">
        <v>373</v>
      </c>
      <c r="C427" s="32" t="s">
        <v>154</v>
      </c>
      <c r="D427" s="32" t="s">
        <v>24</v>
      </c>
      <c r="E427" s="20">
        <v>0.3</v>
      </c>
      <c r="F427" s="23">
        <f t="shared" si="6"/>
        <v>35.886000000000003</v>
      </c>
      <c r="G427" s="3"/>
      <c r="H427" s="4"/>
    </row>
    <row r="428" spans="1:8" ht="11.25" customHeight="1" x14ac:dyDescent="0.2">
      <c r="A428" s="30">
        <v>6484</v>
      </c>
      <c r="B428" s="31" t="s">
        <v>374</v>
      </c>
      <c r="C428" s="32" t="s">
        <v>8</v>
      </c>
      <c r="D428" s="32" t="s">
        <v>24</v>
      </c>
      <c r="E428" s="20">
        <v>0.5</v>
      </c>
      <c r="F428" s="23">
        <f t="shared" si="6"/>
        <v>59.81</v>
      </c>
      <c r="G428" s="3"/>
      <c r="H428" s="4"/>
    </row>
    <row r="429" spans="1:8" ht="11.25" customHeight="1" x14ac:dyDescent="0.2">
      <c r="A429" s="30">
        <v>6452</v>
      </c>
      <c r="B429" s="31" t="s">
        <v>375</v>
      </c>
      <c r="C429" s="32" t="s">
        <v>8</v>
      </c>
      <c r="D429" s="32" t="s">
        <v>3</v>
      </c>
      <c r="E429" s="20">
        <v>0.1</v>
      </c>
      <c r="F429" s="23">
        <f t="shared" si="6"/>
        <v>11.962000000000002</v>
      </c>
      <c r="G429" s="3"/>
      <c r="H429" s="4"/>
    </row>
    <row r="430" spans="1:8" ht="11.25" customHeight="1" x14ac:dyDescent="0.2">
      <c r="A430" s="30">
        <v>10521</v>
      </c>
      <c r="B430" s="31" t="s">
        <v>376</v>
      </c>
      <c r="C430" s="32" t="s">
        <v>139</v>
      </c>
      <c r="D430" s="32" t="s">
        <v>3</v>
      </c>
      <c r="E430" s="20">
        <v>0.34</v>
      </c>
      <c r="F430" s="23">
        <f t="shared" si="6"/>
        <v>40.670800000000007</v>
      </c>
      <c r="G430" s="3"/>
      <c r="H430" s="4"/>
    </row>
    <row r="431" spans="1:8" ht="11.25" customHeight="1" x14ac:dyDescent="0.2">
      <c r="A431" s="30">
        <v>6367</v>
      </c>
      <c r="B431" s="31" t="s">
        <v>377</v>
      </c>
      <c r="C431" s="32" t="s">
        <v>8</v>
      </c>
      <c r="D431" s="32" t="s">
        <v>24</v>
      </c>
      <c r="E431" s="20">
        <v>1</v>
      </c>
      <c r="F431" s="23">
        <f t="shared" si="6"/>
        <v>119.62</v>
      </c>
      <c r="G431" s="3"/>
      <c r="H431" s="4"/>
    </row>
    <row r="432" spans="1:8" ht="11.25" customHeight="1" x14ac:dyDescent="0.2">
      <c r="A432" s="30">
        <v>6410</v>
      </c>
      <c r="B432" s="31" t="s">
        <v>378</v>
      </c>
      <c r="C432" s="32" t="s">
        <v>8</v>
      </c>
      <c r="D432" s="32" t="s">
        <v>3</v>
      </c>
      <c r="E432" s="20">
        <v>2</v>
      </c>
      <c r="F432" s="23">
        <f t="shared" si="6"/>
        <v>239.24</v>
      </c>
      <c r="G432" s="3"/>
      <c r="H432" s="4"/>
    </row>
    <row r="433" spans="1:8" ht="11.25" customHeight="1" x14ac:dyDescent="0.2">
      <c r="A433" s="30">
        <v>6615</v>
      </c>
      <c r="B433" s="31" t="s">
        <v>379</v>
      </c>
      <c r="C433" s="32" t="s">
        <v>8</v>
      </c>
      <c r="D433" s="32" t="s">
        <v>3</v>
      </c>
      <c r="E433" s="20">
        <v>0.91</v>
      </c>
      <c r="F433" s="23">
        <f t="shared" si="6"/>
        <v>108.85420000000001</v>
      </c>
      <c r="G433" s="3"/>
      <c r="H433" s="4"/>
    </row>
    <row r="434" spans="1:8" ht="11.25" customHeight="1" x14ac:dyDescent="0.2">
      <c r="A434" s="30">
        <v>6615</v>
      </c>
      <c r="B434" s="31" t="s">
        <v>379</v>
      </c>
      <c r="C434" s="32" t="s">
        <v>8</v>
      </c>
      <c r="D434" s="32" t="s">
        <v>24</v>
      </c>
      <c r="E434" s="20">
        <v>0.39</v>
      </c>
      <c r="F434" s="23">
        <f t="shared" si="6"/>
        <v>46.651800000000001</v>
      </c>
      <c r="G434" s="3"/>
      <c r="H434" s="4"/>
    </row>
    <row r="435" spans="1:8" ht="11.25" customHeight="1" x14ac:dyDescent="0.2">
      <c r="A435" s="30">
        <v>6893</v>
      </c>
      <c r="B435" s="31" t="s">
        <v>380</v>
      </c>
      <c r="C435" s="32" t="s">
        <v>8</v>
      </c>
      <c r="D435" s="32" t="s">
        <v>3</v>
      </c>
      <c r="E435" s="20">
        <v>1.38</v>
      </c>
      <c r="F435" s="23">
        <f t="shared" si="6"/>
        <v>165.07559999999998</v>
      </c>
      <c r="G435" s="3"/>
      <c r="H435" s="4"/>
    </row>
    <row r="436" spans="1:8" ht="11.25" customHeight="1" x14ac:dyDescent="0.2">
      <c r="A436" s="30">
        <v>6893</v>
      </c>
      <c r="B436" s="31" t="s">
        <v>380</v>
      </c>
      <c r="C436" s="32" t="s">
        <v>8</v>
      </c>
      <c r="D436" s="32" t="s">
        <v>24</v>
      </c>
      <c r="E436" s="20">
        <v>0.59</v>
      </c>
      <c r="F436" s="23">
        <f t="shared" si="6"/>
        <v>70.575800000000001</v>
      </c>
      <c r="G436" s="3"/>
      <c r="H436" s="4"/>
    </row>
    <row r="437" spans="1:8" ht="11.25" customHeight="1" x14ac:dyDescent="0.2">
      <c r="A437" s="30">
        <v>6501</v>
      </c>
      <c r="B437" s="31" t="s">
        <v>381</v>
      </c>
      <c r="C437" s="32" t="s">
        <v>8</v>
      </c>
      <c r="D437" s="32" t="s">
        <v>3</v>
      </c>
      <c r="E437" s="20">
        <v>0.35</v>
      </c>
      <c r="F437" s="23">
        <f t="shared" si="6"/>
        <v>41.866999999999997</v>
      </c>
      <c r="G437" s="3"/>
      <c r="H437" s="4"/>
    </row>
    <row r="438" spans="1:8" ht="11.25" customHeight="1" x14ac:dyDescent="0.2">
      <c r="A438" s="30">
        <v>6501</v>
      </c>
      <c r="B438" s="31" t="s">
        <v>381</v>
      </c>
      <c r="C438" s="32" t="s">
        <v>8</v>
      </c>
      <c r="D438" s="32" t="s">
        <v>24</v>
      </c>
      <c r="E438" s="20">
        <v>0.15</v>
      </c>
      <c r="F438" s="23">
        <f t="shared" si="6"/>
        <v>17.943000000000001</v>
      </c>
      <c r="G438" s="3"/>
      <c r="H438" s="4"/>
    </row>
    <row r="439" spans="1:8" ht="11.25" customHeight="1" x14ac:dyDescent="0.2">
      <c r="A439" s="30">
        <v>6653</v>
      </c>
      <c r="B439" s="31" t="s">
        <v>382</v>
      </c>
      <c r="C439" s="32" t="s">
        <v>8</v>
      </c>
      <c r="D439" s="32" t="s">
        <v>3</v>
      </c>
      <c r="E439" s="20">
        <v>1.05</v>
      </c>
      <c r="F439" s="23">
        <f t="shared" si="6"/>
        <v>125.60100000000001</v>
      </c>
      <c r="G439" s="3"/>
      <c r="H439" s="4"/>
    </row>
    <row r="440" spans="1:8" ht="11.25" customHeight="1" x14ac:dyDescent="0.2">
      <c r="A440" s="30">
        <v>6653</v>
      </c>
      <c r="B440" s="31" t="s">
        <v>382</v>
      </c>
      <c r="C440" s="32" t="s">
        <v>8</v>
      </c>
      <c r="D440" s="32" t="s">
        <v>24</v>
      </c>
      <c r="E440" s="20">
        <v>0.45</v>
      </c>
      <c r="F440" s="23">
        <f t="shared" si="6"/>
        <v>53.829000000000001</v>
      </c>
      <c r="G440" s="3"/>
      <c r="H440" s="4"/>
    </row>
    <row r="441" spans="1:8" ht="11.25" customHeight="1" x14ac:dyDescent="0.2">
      <c r="A441" s="30">
        <v>6502</v>
      </c>
      <c r="B441" s="31" t="s">
        <v>383</v>
      </c>
      <c r="C441" s="32" t="s">
        <v>8</v>
      </c>
      <c r="D441" s="32" t="s">
        <v>3</v>
      </c>
      <c r="E441" s="20">
        <v>0.28000000000000003</v>
      </c>
      <c r="F441" s="23">
        <f t="shared" si="6"/>
        <v>33.493600000000008</v>
      </c>
      <c r="G441" s="3"/>
      <c r="H441" s="4"/>
    </row>
    <row r="442" spans="1:8" ht="11.25" customHeight="1" x14ac:dyDescent="0.2">
      <c r="A442" s="30">
        <v>6502</v>
      </c>
      <c r="B442" s="31" t="s">
        <v>383</v>
      </c>
      <c r="C442" s="32" t="s">
        <v>8</v>
      </c>
      <c r="D442" s="32" t="s">
        <v>24</v>
      </c>
      <c r="E442" s="20">
        <v>0.12</v>
      </c>
      <c r="F442" s="23">
        <f t="shared" si="6"/>
        <v>14.3544</v>
      </c>
      <c r="G442" s="3"/>
      <c r="H442" s="4"/>
    </row>
    <row r="443" spans="1:8" ht="11.25" customHeight="1" x14ac:dyDescent="0.2">
      <c r="A443" s="30">
        <v>6506</v>
      </c>
      <c r="B443" s="31" t="s">
        <v>384</v>
      </c>
      <c r="C443" s="32" t="s">
        <v>8</v>
      </c>
      <c r="D443" s="32" t="s">
        <v>3</v>
      </c>
      <c r="E443" s="20">
        <v>0.35</v>
      </c>
      <c r="F443" s="23">
        <f t="shared" si="6"/>
        <v>41.866999999999997</v>
      </c>
      <c r="G443" s="3"/>
      <c r="H443" s="4"/>
    </row>
    <row r="444" spans="1:8" ht="11.25" customHeight="1" x14ac:dyDescent="0.2">
      <c r="A444" s="30">
        <v>6506</v>
      </c>
      <c r="B444" s="31" t="s">
        <v>384</v>
      </c>
      <c r="C444" s="32" t="s">
        <v>8</v>
      </c>
      <c r="D444" s="32" t="s">
        <v>24</v>
      </c>
      <c r="E444" s="20">
        <v>0.15</v>
      </c>
      <c r="F444" s="23">
        <f t="shared" si="6"/>
        <v>17.943000000000001</v>
      </c>
      <c r="G444" s="3"/>
      <c r="H444" s="4"/>
    </row>
    <row r="445" spans="1:8" ht="11.25" customHeight="1" x14ac:dyDescent="0.2">
      <c r="A445" s="30">
        <v>6503</v>
      </c>
      <c r="B445" s="31" t="s">
        <v>385</v>
      </c>
      <c r="C445" s="32" t="s">
        <v>8</v>
      </c>
      <c r="D445" s="32" t="s">
        <v>3</v>
      </c>
      <c r="E445" s="20">
        <v>0.35</v>
      </c>
      <c r="F445" s="23">
        <f t="shared" si="6"/>
        <v>41.866999999999997</v>
      </c>
      <c r="G445" s="3"/>
      <c r="H445" s="4"/>
    </row>
    <row r="446" spans="1:8" ht="11.25" customHeight="1" x14ac:dyDescent="0.2">
      <c r="A446" s="30">
        <v>6503</v>
      </c>
      <c r="B446" s="31" t="s">
        <v>385</v>
      </c>
      <c r="C446" s="32" t="s">
        <v>8</v>
      </c>
      <c r="D446" s="32" t="s">
        <v>24</v>
      </c>
      <c r="E446" s="20">
        <v>0.15</v>
      </c>
      <c r="F446" s="23">
        <f t="shared" si="6"/>
        <v>17.943000000000001</v>
      </c>
      <c r="G446" s="3"/>
      <c r="H446" s="4"/>
    </row>
    <row r="447" spans="1:8" ht="11.25" customHeight="1" x14ac:dyDescent="0.2">
      <c r="A447" s="30">
        <v>6545</v>
      </c>
      <c r="B447" s="31" t="s">
        <v>386</v>
      </c>
      <c r="C447" s="32" t="s">
        <v>8</v>
      </c>
      <c r="D447" s="32" t="s">
        <v>3</v>
      </c>
      <c r="E447" s="20">
        <v>0.14000000000000001</v>
      </c>
      <c r="F447" s="23">
        <f t="shared" si="6"/>
        <v>16.746800000000004</v>
      </c>
      <c r="G447" s="3"/>
      <c r="H447" s="4"/>
    </row>
    <row r="448" spans="1:8" ht="11.25" customHeight="1" x14ac:dyDescent="0.2">
      <c r="A448" s="30">
        <v>6545</v>
      </c>
      <c r="B448" s="31" t="s">
        <v>386</v>
      </c>
      <c r="C448" s="32" t="s">
        <v>8</v>
      </c>
      <c r="D448" s="32" t="s">
        <v>24</v>
      </c>
      <c r="E448" s="20">
        <v>0.06</v>
      </c>
      <c r="F448" s="23">
        <f t="shared" si="6"/>
        <v>7.1772</v>
      </c>
      <c r="G448" s="3"/>
      <c r="H448" s="4"/>
    </row>
    <row r="449" spans="1:8" ht="11.25" customHeight="1" x14ac:dyDescent="0.2">
      <c r="A449" s="30">
        <v>6609</v>
      </c>
      <c r="B449" s="31" t="s">
        <v>387</v>
      </c>
      <c r="C449" s="32" t="s">
        <v>8</v>
      </c>
      <c r="D449" s="32" t="s">
        <v>3</v>
      </c>
      <c r="E449" s="20">
        <v>0.14000000000000001</v>
      </c>
      <c r="F449" s="23">
        <f t="shared" si="6"/>
        <v>16.746800000000004</v>
      </c>
      <c r="G449" s="3"/>
      <c r="H449" s="4"/>
    </row>
    <row r="450" spans="1:8" ht="11.25" customHeight="1" x14ac:dyDescent="0.2">
      <c r="A450" s="30">
        <v>6609</v>
      </c>
      <c r="B450" s="31" t="s">
        <v>387</v>
      </c>
      <c r="C450" s="32" t="s">
        <v>8</v>
      </c>
      <c r="D450" s="32" t="s">
        <v>24</v>
      </c>
      <c r="E450" s="20">
        <v>0.06</v>
      </c>
      <c r="F450" s="23">
        <f t="shared" si="6"/>
        <v>7.1772</v>
      </c>
      <c r="G450" s="3"/>
      <c r="H450" s="4"/>
    </row>
    <row r="451" spans="1:8" ht="11.25" customHeight="1" x14ac:dyDescent="0.2">
      <c r="A451" s="30">
        <v>6481</v>
      </c>
      <c r="B451" s="31" t="s">
        <v>388</v>
      </c>
      <c r="C451" s="32" t="s">
        <v>389</v>
      </c>
      <c r="D451" s="32" t="s">
        <v>3</v>
      </c>
      <c r="E451" s="20">
        <v>2</v>
      </c>
      <c r="F451" s="23">
        <f t="shared" si="6"/>
        <v>239.24</v>
      </c>
      <c r="G451" s="3"/>
      <c r="H451" s="4"/>
    </row>
    <row r="452" spans="1:8" ht="11.25" customHeight="1" x14ac:dyDescent="0.2">
      <c r="A452" s="30">
        <v>6527</v>
      </c>
      <c r="B452" s="31" t="s">
        <v>390</v>
      </c>
      <c r="C452" s="32" t="s">
        <v>389</v>
      </c>
      <c r="D452" s="32" t="s">
        <v>3</v>
      </c>
      <c r="E452" s="20">
        <v>5.5</v>
      </c>
      <c r="F452" s="23">
        <f t="shared" si="6"/>
        <v>657.91000000000008</v>
      </c>
      <c r="G452" s="3"/>
      <c r="H452" s="4"/>
    </row>
    <row r="453" spans="1:8" ht="11.25" customHeight="1" x14ac:dyDescent="0.2">
      <c r="A453" s="30">
        <v>6482</v>
      </c>
      <c r="B453" s="31" t="s">
        <v>391</v>
      </c>
      <c r="C453" s="32" t="s">
        <v>389</v>
      </c>
      <c r="D453" s="32" t="s">
        <v>3</v>
      </c>
      <c r="E453" s="20">
        <v>0.5</v>
      </c>
      <c r="F453" s="23">
        <f t="shared" si="6"/>
        <v>59.81</v>
      </c>
      <c r="G453" s="3"/>
      <c r="H453" s="4"/>
    </row>
    <row r="454" spans="1:8" ht="11.25" customHeight="1" x14ac:dyDescent="0.2">
      <c r="A454" s="30">
        <v>6483</v>
      </c>
      <c r="B454" s="31" t="s">
        <v>392</v>
      </c>
      <c r="C454" s="32" t="s">
        <v>389</v>
      </c>
      <c r="D454" s="32" t="s">
        <v>3</v>
      </c>
      <c r="E454" s="20">
        <v>4</v>
      </c>
      <c r="F454" s="23">
        <f t="shared" si="6"/>
        <v>478.48</v>
      </c>
      <c r="G454" s="3"/>
      <c r="H454" s="4"/>
    </row>
    <row r="455" spans="1:8" ht="11.25" customHeight="1" x14ac:dyDescent="0.2">
      <c r="A455" s="30">
        <v>91023</v>
      </c>
      <c r="B455" s="31" t="s">
        <v>393</v>
      </c>
      <c r="C455" s="32" t="s">
        <v>19</v>
      </c>
      <c r="D455" s="32" t="s">
        <v>3</v>
      </c>
      <c r="E455" s="20">
        <v>0.11</v>
      </c>
      <c r="F455" s="23">
        <f t="shared" si="6"/>
        <v>13.158200000000001</v>
      </c>
      <c r="G455" s="3"/>
      <c r="H455" s="4"/>
    </row>
    <row r="456" spans="1:8" ht="11.25" customHeight="1" x14ac:dyDescent="0.2">
      <c r="A456" s="30">
        <v>91024</v>
      </c>
      <c r="B456" s="31" t="s">
        <v>394</v>
      </c>
      <c r="C456" s="32" t="s">
        <v>19</v>
      </c>
      <c r="D456" s="32" t="s">
        <v>3</v>
      </c>
      <c r="E456" s="20">
        <v>0.13</v>
      </c>
      <c r="F456" s="23">
        <f t="shared" si="6"/>
        <v>15.550600000000001</v>
      </c>
      <c r="G456" s="3"/>
      <c r="H456" s="4"/>
    </row>
    <row r="457" spans="1:8" ht="11.25" customHeight="1" x14ac:dyDescent="0.2">
      <c r="A457" s="30">
        <v>6453</v>
      </c>
      <c r="B457" s="31" t="s">
        <v>395</v>
      </c>
      <c r="C457" s="32" t="s">
        <v>8</v>
      </c>
      <c r="D457" s="32" t="s">
        <v>3</v>
      </c>
      <c r="E457" s="20">
        <v>1</v>
      </c>
      <c r="F457" s="23">
        <f t="shared" ref="F457:F462" si="7">E457*F$5</f>
        <v>119.62</v>
      </c>
      <c r="G457" s="3"/>
      <c r="H457" s="4"/>
    </row>
    <row r="458" spans="1:8" ht="11.25" customHeight="1" x14ac:dyDescent="0.2">
      <c r="A458" s="30">
        <v>6454</v>
      </c>
      <c r="B458" s="31" t="s">
        <v>396</v>
      </c>
      <c r="C458" s="32" t="s">
        <v>389</v>
      </c>
      <c r="D458" s="32" t="s">
        <v>3</v>
      </c>
      <c r="E458" s="20">
        <v>0.75</v>
      </c>
      <c r="F458" s="23">
        <f t="shared" si="7"/>
        <v>89.715000000000003</v>
      </c>
      <c r="G458" s="3"/>
      <c r="H458" s="4"/>
    </row>
    <row r="459" spans="1:8" ht="11.25" customHeight="1" x14ac:dyDescent="0.2">
      <c r="A459" s="30">
        <v>6644</v>
      </c>
      <c r="B459" s="31" t="s">
        <v>397</v>
      </c>
      <c r="C459" s="32" t="s">
        <v>8</v>
      </c>
      <c r="D459" s="32" t="s">
        <v>3</v>
      </c>
      <c r="E459" s="20">
        <v>2.73</v>
      </c>
      <c r="F459" s="23">
        <f t="shared" si="7"/>
        <v>326.56260000000003</v>
      </c>
      <c r="G459" s="3"/>
      <c r="H459" s="4"/>
    </row>
    <row r="460" spans="1:8" ht="11.25" customHeight="1" x14ac:dyDescent="0.2">
      <c r="A460" s="30">
        <v>6645</v>
      </c>
      <c r="B460" s="31" t="s">
        <v>398</v>
      </c>
      <c r="C460" s="32" t="s">
        <v>8</v>
      </c>
      <c r="D460" s="32" t="s">
        <v>3</v>
      </c>
      <c r="E460" s="20">
        <v>2.27</v>
      </c>
      <c r="F460" s="23">
        <f t="shared" si="7"/>
        <v>271.53739999999999</v>
      </c>
      <c r="G460" s="3"/>
      <c r="H460" s="4"/>
    </row>
    <row r="461" spans="1:8" ht="11.25" customHeight="1" x14ac:dyDescent="0.2">
      <c r="A461" s="21">
        <v>6151</v>
      </c>
      <c r="B461" s="17" t="s">
        <v>639</v>
      </c>
      <c r="C461" s="24" t="s">
        <v>640</v>
      </c>
      <c r="D461" s="18" t="s">
        <v>459</v>
      </c>
      <c r="E461" s="20">
        <v>0.06</v>
      </c>
      <c r="F461" s="23">
        <f t="shared" si="7"/>
        <v>7.1772</v>
      </c>
      <c r="G461" s="3"/>
      <c r="H461" s="3"/>
    </row>
    <row r="462" spans="1:8" ht="11.25" customHeight="1" x14ac:dyDescent="0.2">
      <c r="A462" s="21">
        <v>67000</v>
      </c>
      <c r="B462" s="17" t="s">
        <v>641</v>
      </c>
      <c r="C462" s="18" t="s">
        <v>604</v>
      </c>
      <c r="D462" s="18" t="s">
        <v>459</v>
      </c>
      <c r="E462" s="20">
        <v>6</v>
      </c>
      <c r="F462" s="23">
        <f t="shared" si="7"/>
        <v>717.72</v>
      </c>
      <c r="G462" s="3"/>
      <c r="H462" s="3"/>
    </row>
    <row r="463" spans="1:8" s="27" customFormat="1" ht="32.25" customHeight="1" x14ac:dyDescent="0.2">
      <c r="A463" s="35">
        <v>4595</v>
      </c>
      <c r="B463" s="36" t="s">
        <v>399</v>
      </c>
      <c r="C463" s="37" t="s">
        <v>400</v>
      </c>
      <c r="D463" s="37" t="s">
        <v>3</v>
      </c>
      <c r="E463" s="37"/>
      <c r="F463" s="33">
        <v>1</v>
      </c>
    </row>
    <row r="464" spans="1:8" ht="11.25" customHeight="1" x14ac:dyDescent="0.2">
      <c r="A464" s="30">
        <v>26376</v>
      </c>
      <c r="B464" s="31" t="s">
        <v>401</v>
      </c>
      <c r="C464" s="32" t="s">
        <v>400</v>
      </c>
      <c r="D464" s="32" t="s">
        <v>3</v>
      </c>
      <c r="E464" s="32"/>
      <c r="F464" s="23">
        <v>1</v>
      </c>
    </row>
    <row r="465" spans="1:6" ht="11.25" customHeight="1" x14ac:dyDescent="0.2">
      <c r="A465" s="30">
        <v>60163</v>
      </c>
      <c r="B465" s="31" t="s">
        <v>402</v>
      </c>
      <c r="C465" s="32" t="s">
        <v>400</v>
      </c>
      <c r="D465" s="32" t="s">
        <v>3</v>
      </c>
      <c r="E465" s="32"/>
      <c r="F465" s="23">
        <v>1</v>
      </c>
    </row>
    <row r="466" spans="1:6" ht="11.25" customHeight="1" x14ac:dyDescent="0.2">
      <c r="A466" s="30">
        <v>92525</v>
      </c>
      <c r="B466" s="31" t="s">
        <v>403</v>
      </c>
      <c r="C466" s="32" t="s">
        <v>400</v>
      </c>
      <c r="D466" s="32" t="s">
        <v>3</v>
      </c>
      <c r="E466" s="32"/>
      <c r="F466" s="23">
        <v>1</v>
      </c>
    </row>
    <row r="467" spans="1:6" ht="8.1" customHeight="1" x14ac:dyDescent="0.2">
      <c r="A467" s="9"/>
      <c r="B467" s="1"/>
      <c r="C467" s="2"/>
      <c r="D467" s="2"/>
      <c r="E467" s="2"/>
      <c r="F467" s="13"/>
    </row>
    <row r="468" spans="1:6" ht="8.1" customHeight="1" x14ac:dyDescent="0.2">
      <c r="A468" s="9"/>
      <c r="B468" s="1"/>
      <c r="C468" s="2"/>
      <c r="D468" s="2"/>
      <c r="E468" s="2"/>
      <c r="F468" s="13"/>
    </row>
    <row r="469" spans="1:6" ht="9.9499999999999993" customHeight="1" x14ac:dyDescent="0.2"/>
    <row r="470" spans="1:6" ht="9.9499999999999993" customHeight="1" x14ac:dyDescent="0.2"/>
    <row r="471" spans="1:6" ht="9.9499999999999993" customHeight="1" x14ac:dyDescent="0.2"/>
    <row r="472" spans="1:6" ht="9.9499999999999993" customHeight="1" x14ac:dyDescent="0.2"/>
    <row r="473" spans="1:6" ht="14.1" customHeight="1" x14ac:dyDescent="0.2"/>
    <row r="474" spans="1:6" ht="14.1" customHeight="1" x14ac:dyDescent="0.2"/>
    <row r="475" spans="1:6" ht="8.1" customHeight="1" x14ac:dyDescent="0.2"/>
    <row r="476" spans="1:6" ht="9" customHeight="1" x14ac:dyDescent="0.2"/>
    <row r="477" spans="1:6" ht="9" customHeight="1" x14ac:dyDescent="0.2"/>
    <row r="478" spans="1:6" ht="9" customHeight="1" x14ac:dyDescent="0.2"/>
    <row r="479" spans="1:6" ht="9" customHeight="1" x14ac:dyDescent="0.2"/>
    <row r="480" spans="1:6" ht="9" customHeight="1" x14ac:dyDescent="0.2"/>
    <row r="481" ht="9" customHeight="1" x14ac:dyDescent="0.2"/>
    <row r="482" ht="9" customHeight="1" x14ac:dyDescent="0.2"/>
    <row r="483" ht="9" customHeight="1" x14ac:dyDescent="0.2"/>
    <row r="484" ht="9" customHeight="1" x14ac:dyDescent="0.2"/>
    <row r="485" ht="9" customHeight="1" x14ac:dyDescent="0.2"/>
    <row r="486" ht="9" customHeight="1" x14ac:dyDescent="0.2"/>
    <row r="487" ht="9" customHeight="1" x14ac:dyDescent="0.2"/>
    <row r="488" ht="9" customHeight="1" x14ac:dyDescent="0.2"/>
    <row r="489" ht="9" customHeight="1" x14ac:dyDescent="0.2"/>
    <row r="490" ht="9" customHeight="1" x14ac:dyDescent="0.2"/>
    <row r="491" ht="9" customHeight="1" x14ac:dyDescent="0.2"/>
    <row r="492" ht="9" customHeight="1" x14ac:dyDescent="0.2"/>
    <row r="493" ht="9" customHeight="1" x14ac:dyDescent="0.2"/>
    <row r="494" ht="9" customHeight="1" x14ac:dyDescent="0.2"/>
    <row r="495" ht="9" customHeight="1" x14ac:dyDescent="0.2"/>
    <row r="496" ht="9" customHeight="1" x14ac:dyDescent="0.2"/>
    <row r="497" ht="9" customHeight="1" x14ac:dyDescent="0.2"/>
    <row r="498" ht="9" customHeight="1" x14ac:dyDescent="0.2"/>
    <row r="499" ht="9" customHeight="1" x14ac:dyDescent="0.2"/>
    <row r="500" ht="9" customHeight="1" x14ac:dyDescent="0.2"/>
    <row r="501" ht="9" customHeight="1" x14ac:dyDescent="0.2"/>
    <row r="502" ht="9" customHeight="1" x14ac:dyDescent="0.2"/>
    <row r="503" ht="9" customHeight="1" x14ac:dyDescent="0.2"/>
    <row r="504" ht="9" customHeight="1" x14ac:dyDescent="0.2"/>
    <row r="505" ht="9" customHeight="1" x14ac:dyDescent="0.2"/>
    <row r="506" ht="9" customHeight="1" x14ac:dyDescent="0.2"/>
    <row r="507" ht="9" customHeight="1" x14ac:dyDescent="0.2"/>
    <row r="508" ht="9" customHeight="1" x14ac:dyDescent="0.2"/>
    <row r="509" ht="9" customHeight="1" x14ac:dyDescent="0.2"/>
    <row r="510" ht="9" customHeight="1" x14ac:dyDescent="0.2"/>
    <row r="511" ht="9" customHeight="1" x14ac:dyDescent="0.2"/>
    <row r="512" ht="9" customHeight="1" x14ac:dyDescent="0.2"/>
    <row r="513" ht="9" customHeight="1" x14ac:dyDescent="0.2"/>
    <row r="514" ht="9" customHeight="1" x14ac:dyDescent="0.2"/>
    <row r="515" ht="9" customHeight="1" x14ac:dyDescent="0.2"/>
    <row r="516" ht="9" customHeight="1" x14ac:dyDescent="0.2"/>
    <row r="517" ht="9" customHeight="1" x14ac:dyDescent="0.2"/>
    <row r="518" ht="9" customHeight="1" x14ac:dyDescent="0.2"/>
    <row r="519" ht="9" customHeight="1" x14ac:dyDescent="0.2"/>
    <row r="520" ht="9" customHeight="1" x14ac:dyDescent="0.2"/>
    <row r="521" ht="9" customHeight="1" x14ac:dyDescent="0.2"/>
    <row r="522" ht="9" customHeight="1" x14ac:dyDescent="0.2"/>
    <row r="523" ht="9" customHeight="1" x14ac:dyDescent="0.2"/>
    <row r="524" ht="9" customHeight="1" x14ac:dyDescent="0.2"/>
    <row r="525" ht="9" customHeight="1" x14ac:dyDescent="0.2"/>
    <row r="526" ht="9" customHeight="1" x14ac:dyDescent="0.2"/>
    <row r="527" ht="9" customHeight="1" x14ac:dyDescent="0.2"/>
    <row r="528" ht="9" customHeight="1" x14ac:dyDescent="0.2"/>
    <row r="529" ht="9" customHeight="1" x14ac:dyDescent="0.2"/>
    <row r="530" ht="9" customHeight="1" x14ac:dyDescent="0.2"/>
    <row r="531" ht="9" customHeight="1" x14ac:dyDescent="0.2"/>
    <row r="532" ht="9" customHeight="1" x14ac:dyDescent="0.2"/>
    <row r="533" ht="9" customHeight="1" x14ac:dyDescent="0.2"/>
    <row r="534" ht="9" customHeight="1" x14ac:dyDescent="0.2"/>
    <row r="535" ht="9" customHeight="1" x14ac:dyDescent="0.2"/>
    <row r="536" ht="9" customHeight="1" x14ac:dyDescent="0.2"/>
    <row r="537" ht="9" customHeight="1" x14ac:dyDescent="0.2"/>
    <row r="538" ht="9" customHeight="1" x14ac:dyDescent="0.2"/>
    <row r="539" ht="9" customHeight="1" x14ac:dyDescent="0.2"/>
    <row r="540" ht="9" customHeight="1" x14ac:dyDescent="0.2"/>
    <row r="541" ht="9" customHeight="1" x14ac:dyDescent="0.2"/>
    <row r="542" ht="9" customHeight="1" x14ac:dyDescent="0.2"/>
    <row r="543" ht="9" customHeight="1" x14ac:dyDescent="0.2"/>
    <row r="544" ht="9" customHeight="1" x14ac:dyDescent="0.2"/>
    <row r="545" ht="9" customHeight="1" x14ac:dyDescent="0.2"/>
    <row r="546" ht="9" customHeight="1" x14ac:dyDescent="0.2"/>
    <row r="547" ht="9" customHeight="1" x14ac:dyDescent="0.2"/>
    <row r="548" ht="9" customHeight="1" x14ac:dyDescent="0.2"/>
    <row r="549" ht="9" customHeight="1" x14ac:dyDescent="0.2"/>
    <row r="550" ht="9" customHeight="1" x14ac:dyDescent="0.2"/>
    <row r="551" ht="9" customHeight="1" x14ac:dyDescent="0.2"/>
    <row r="552" ht="9" customHeight="1" x14ac:dyDescent="0.2"/>
    <row r="553" ht="9" customHeight="1" x14ac:dyDescent="0.2"/>
    <row r="554" ht="9" customHeight="1" x14ac:dyDescent="0.2"/>
    <row r="555" ht="9" customHeight="1" x14ac:dyDescent="0.2"/>
    <row r="556" ht="9" customHeight="1" x14ac:dyDescent="0.2"/>
    <row r="557" ht="9" customHeight="1" x14ac:dyDescent="0.2"/>
    <row r="558" ht="9" customHeight="1" x14ac:dyDescent="0.2"/>
    <row r="559" ht="9" customHeight="1" x14ac:dyDescent="0.2"/>
    <row r="560" ht="9" customHeight="1" x14ac:dyDescent="0.2"/>
    <row r="561" ht="9" customHeight="1" x14ac:dyDescent="0.2"/>
    <row r="562" ht="9" customHeight="1" x14ac:dyDescent="0.2"/>
    <row r="563" ht="9" customHeight="1" x14ac:dyDescent="0.2"/>
    <row r="564" ht="9" customHeight="1" x14ac:dyDescent="0.2"/>
    <row r="565" ht="9" customHeight="1" x14ac:dyDescent="0.2"/>
    <row r="566" ht="9" customHeight="1" x14ac:dyDescent="0.2"/>
    <row r="567" ht="9" customHeight="1" x14ac:dyDescent="0.2"/>
    <row r="568" ht="9" customHeight="1" x14ac:dyDescent="0.2"/>
    <row r="569" ht="9" customHeight="1" x14ac:dyDescent="0.2"/>
    <row r="570" ht="9" customHeight="1" x14ac:dyDescent="0.2"/>
    <row r="571" ht="9" customHeight="1" x14ac:dyDescent="0.2"/>
    <row r="572" ht="9" customHeight="1" x14ac:dyDescent="0.2"/>
    <row r="573" ht="9" customHeight="1" x14ac:dyDescent="0.2"/>
    <row r="574" ht="9" customHeight="1" x14ac:dyDescent="0.2"/>
    <row r="575" ht="9" customHeight="1" x14ac:dyDescent="0.2"/>
    <row r="576" ht="9" customHeight="1" x14ac:dyDescent="0.2"/>
    <row r="577" ht="9" customHeight="1" x14ac:dyDescent="0.2"/>
    <row r="578" ht="9" customHeight="1" x14ac:dyDescent="0.2"/>
    <row r="579" ht="9" customHeight="1" x14ac:dyDescent="0.2"/>
    <row r="580" ht="9" customHeight="1" x14ac:dyDescent="0.2"/>
    <row r="581" ht="9" customHeight="1" x14ac:dyDescent="0.2"/>
    <row r="582" ht="9" customHeight="1" x14ac:dyDescent="0.2"/>
    <row r="583" ht="9" customHeight="1" x14ac:dyDescent="0.2"/>
    <row r="584" ht="9" customHeight="1" x14ac:dyDescent="0.2"/>
    <row r="585" ht="9" customHeight="1" x14ac:dyDescent="0.2"/>
    <row r="586" ht="9" customHeight="1" x14ac:dyDescent="0.2"/>
    <row r="587" ht="9" customHeight="1" x14ac:dyDescent="0.2"/>
    <row r="588" ht="9" customHeight="1" x14ac:dyDescent="0.2"/>
    <row r="589" ht="9" customHeight="1" x14ac:dyDescent="0.2"/>
    <row r="590" ht="9" customHeight="1" x14ac:dyDescent="0.2"/>
    <row r="591" ht="9" customHeight="1" x14ac:dyDescent="0.2"/>
    <row r="592" ht="9" customHeight="1" x14ac:dyDescent="0.2"/>
    <row r="593" ht="9" customHeight="1" x14ac:dyDescent="0.2"/>
    <row r="594" ht="9" customHeight="1" x14ac:dyDescent="0.2"/>
    <row r="595" ht="9" customHeight="1" x14ac:dyDescent="0.2"/>
    <row r="596" ht="9" customHeight="1" x14ac:dyDescent="0.2"/>
    <row r="597" ht="9" customHeight="1" x14ac:dyDescent="0.2"/>
    <row r="598" ht="9" customHeight="1" x14ac:dyDescent="0.2"/>
    <row r="599" ht="9" customHeight="1" x14ac:dyDescent="0.2"/>
    <row r="600" ht="9" customHeight="1" x14ac:dyDescent="0.2"/>
    <row r="601" ht="9" customHeight="1" x14ac:dyDescent="0.2"/>
    <row r="602" ht="9" customHeight="1" x14ac:dyDescent="0.2"/>
    <row r="603" ht="9" customHeight="1" x14ac:dyDescent="0.2"/>
    <row r="604" ht="9" customHeight="1" x14ac:dyDescent="0.2"/>
    <row r="605" ht="9" customHeight="1" x14ac:dyDescent="0.2"/>
    <row r="606" ht="9" customHeight="1" x14ac:dyDescent="0.2"/>
    <row r="607" ht="9" customHeight="1" x14ac:dyDescent="0.2"/>
    <row r="608" ht="9" customHeight="1" x14ac:dyDescent="0.2"/>
    <row r="609" ht="9" customHeight="1" x14ac:dyDescent="0.2"/>
    <row r="610" ht="9" customHeight="1" x14ac:dyDescent="0.2"/>
    <row r="611" ht="9" customHeight="1" x14ac:dyDescent="0.2"/>
    <row r="612" ht="9" customHeight="1" x14ac:dyDescent="0.2"/>
    <row r="613" ht="9" customHeight="1" x14ac:dyDescent="0.2"/>
    <row r="614" ht="9" customHeight="1" x14ac:dyDescent="0.2"/>
    <row r="615" ht="9" customHeight="1" x14ac:dyDescent="0.2"/>
    <row r="616" ht="9" customHeight="1" x14ac:dyDescent="0.2"/>
    <row r="617" ht="9" customHeight="1" x14ac:dyDescent="0.2"/>
    <row r="618" ht="9" customHeight="1" x14ac:dyDescent="0.2"/>
    <row r="619" ht="9" customHeight="1" x14ac:dyDescent="0.2"/>
    <row r="620" ht="9" customHeight="1" x14ac:dyDescent="0.2"/>
    <row r="621" ht="9" customHeight="1" x14ac:dyDescent="0.2"/>
    <row r="622" ht="9" customHeight="1" x14ac:dyDescent="0.2"/>
    <row r="623" ht="9" customHeight="1" x14ac:dyDescent="0.2"/>
    <row r="624" ht="9" customHeight="1" x14ac:dyDescent="0.2"/>
    <row r="625" ht="9" customHeight="1" x14ac:dyDescent="0.2"/>
    <row r="626" ht="9" customHeight="1" x14ac:dyDescent="0.2"/>
    <row r="627" ht="9" customHeight="1" x14ac:dyDescent="0.2"/>
    <row r="628" ht="9" customHeight="1" x14ac:dyDescent="0.2"/>
    <row r="629" ht="9" customHeight="1" x14ac:dyDescent="0.2"/>
    <row r="630" ht="9" customHeight="1" x14ac:dyDescent="0.2"/>
    <row r="631" ht="9" customHeight="1" x14ac:dyDescent="0.2"/>
    <row r="632" ht="9" customHeight="1" x14ac:dyDescent="0.2"/>
    <row r="633" ht="9" customHeight="1" x14ac:dyDescent="0.2"/>
    <row r="634" ht="9" customHeight="1" x14ac:dyDescent="0.2"/>
    <row r="635" ht="9" customHeight="1" x14ac:dyDescent="0.2"/>
    <row r="636" ht="9" customHeight="1" x14ac:dyDescent="0.2"/>
    <row r="637" ht="9" customHeight="1" x14ac:dyDescent="0.2"/>
    <row r="638" ht="9" customHeight="1" x14ac:dyDescent="0.2"/>
    <row r="639" ht="9" customHeight="1" x14ac:dyDescent="0.2"/>
    <row r="640" ht="9" customHeight="1" x14ac:dyDescent="0.2"/>
    <row r="641" ht="9" customHeight="1" x14ac:dyDescent="0.2"/>
    <row r="642" ht="9" customHeight="1" x14ac:dyDescent="0.2"/>
    <row r="643" ht="9" customHeight="1" x14ac:dyDescent="0.2"/>
    <row r="644" ht="9" customHeight="1" x14ac:dyDescent="0.2"/>
    <row r="645" ht="9" customHeight="1" x14ac:dyDescent="0.2"/>
    <row r="646" ht="9" customHeight="1" x14ac:dyDescent="0.2"/>
    <row r="647" ht="9" customHeight="1" x14ac:dyDescent="0.2"/>
    <row r="648" ht="9" customHeight="1" x14ac:dyDescent="0.2"/>
    <row r="649" ht="9" customHeight="1" x14ac:dyDescent="0.2"/>
    <row r="650" ht="9" customHeight="1" x14ac:dyDescent="0.2"/>
    <row r="651" ht="9" customHeight="1" x14ac:dyDescent="0.2"/>
    <row r="652" ht="9" customHeight="1" x14ac:dyDescent="0.2"/>
    <row r="653" ht="9" customHeight="1" x14ac:dyDescent="0.2"/>
    <row r="654" ht="9" customHeight="1" x14ac:dyDescent="0.2"/>
    <row r="655" ht="9" customHeight="1" x14ac:dyDescent="0.2"/>
    <row r="656" ht="9" customHeight="1" x14ac:dyDescent="0.2"/>
    <row r="657" ht="9" customHeight="1" x14ac:dyDescent="0.2"/>
    <row r="658" ht="9" customHeight="1" x14ac:dyDescent="0.2"/>
    <row r="659" ht="9" customHeight="1" x14ac:dyDescent="0.2"/>
    <row r="660" ht="9" customHeight="1" x14ac:dyDescent="0.2"/>
    <row r="661" ht="9" customHeight="1" x14ac:dyDescent="0.2"/>
    <row r="662" ht="9" customHeight="1" x14ac:dyDescent="0.2"/>
    <row r="663" ht="9" customHeight="1" x14ac:dyDescent="0.2"/>
    <row r="664" ht="9" customHeight="1" x14ac:dyDescent="0.2"/>
    <row r="665" ht="9" customHeight="1" x14ac:dyDescent="0.2"/>
    <row r="666" ht="9" customHeight="1" x14ac:dyDescent="0.2"/>
    <row r="667" ht="9" customHeight="1" x14ac:dyDescent="0.2"/>
    <row r="668" ht="9" customHeight="1" x14ac:dyDescent="0.2"/>
    <row r="669" ht="9" customHeight="1" x14ac:dyDescent="0.2"/>
    <row r="670" ht="9" customHeight="1" x14ac:dyDescent="0.2"/>
    <row r="671" ht="9" customHeight="1" x14ac:dyDescent="0.2"/>
    <row r="672" ht="9" customHeight="1" x14ac:dyDescent="0.2"/>
    <row r="673" ht="9" customHeight="1" x14ac:dyDescent="0.2"/>
    <row r="674" ht="9" customHeight="1" x14ac:dyDescent="0.2"/>
    <row r="675" ht="9" customHeight="1" x14ac:dyDescent="0.2"/>
    <row r="676" ht="9" customHeight="1" x14ac:dyDescent="0.2"/>
    <row r="677" ht="9" customHeight="1" x14ac:dyDescent="0.2"/>
    <row r="678" ht="9" customHeight="1" x14ac:dyDescent="0.2"/>
    <row r="679" ht="9" customHeight="1" x14ac:dyDescent="0.2"/>
    <row r="680" ht="9" customHeight="1" x14ac:dyDescent="0.2"/>
    <row r="681" ht="9" customHeight="1" x14ac:dyDescent="0.2"/>
    <row r="682" ht="9" customHeight="1" x14ac:dyDescent="0.2"/>
    <row r="683" ht="9" customHeight="1" x14ac:dyDescent="0.2"/>
    <row r="684" ht="9" customHeight="1" x14ac:dyDescent="0.2"/>
    <row r="685" ht="9" customHeight="1" x14ac:dyDescent="0.2"/>
    <row r="686" ht="9" customHeight="1" x14ac:dyDescent="0.2"/>
    <row r="687" ht="9" customHeight="1" x14ac:dyDescent="0.2"/>
    <row r="688" ht="9" customHeight="1" x14ac:dyDescent="0.2"/>
    <row r="689" ht="9" customHeight="1" x14ac:dyDescent="0.2"/>
    <row r="690" ht="9" customHeight="1" x14ac:dyDescent="0.2"/>
    <row r="691" ht="9" customHeight="1" x14ac:dyDescent="0.2"/>
    <row r="692" ht="9" customHeight="1" x14ac:dyDescent="0.2"/>
    <row r="693" ht="9" customHeight="1" x14ac:dyDescent="0.2"/>
    <row r="694" ht="9" customHeight="1" x14ac:dyDescent="0.2"/>
    <row r="695" ht="9" customHeight="1" x14ac:dyDescent="0.2"/>
    <row r="696" ht="9" customHeight="1" x14ac:dyDescent="0.2"/>
    <row r="697" ht="9" customHeight="1" x14ac:dyDescent="0.2"/>
    <row r="698" ht="9" customHeight="1" x14ac:dyDescent="0.2"/>
    <row r="699" ht="9" customHeight="1" x14ac:dyDescent="0.2"/>
    <row r="700" ht="9" customHeight="1" x14ac:dyDescent="0.2"/>
    <row r="701" ht="9" customHeight="1" x14ac:dyDescent="0.2"/>
    <row r="702" ht="9" customHeight="1" x14ac:dyDescent="0.2"/>
    <row r="703" ht="9" customHeight="1" x14ac:dyDescent="0.2"/>
    <row r="704" ht="9" customHeight="1" x14ac:dyDescent="0.2"/>
    <row r="705" ht="9" customHeight="1" x14ac:dyDescent="0.2"/>
    <row r="706" ht="9" customHeight="1" x14ac:dyDescent="0.2"/>
    <row r="707" ht="9" customHeight="1" x14ac:dyDescent="0.2"/>
    <row r="708" ht="9" customHeight="1" x14ac:dyDescent="0.2"/>
    <row r="709" ht="9" customHeight="1" x14ac:dyDescent="0.2"/>
    <row r="710" ht="9" customHeight="1" x14ac:dyDescent="0.2"/>
    <row r="711" ht="9" customHeight="1" x14ac:dyDescent="0.2"/>
    <row r="712" ht="9" customHeight="1" x14ac:dyDescent="0.2"/>
    <row r="713" ht="9" customHeight="1" x14ac:dyDescent="0.2"/>
    <row r="714" ht="9" customHeight="1" x14ac:dyDescent="0.2"/>
    <row r="715" ht="9" customHeight="1" x14ac:dyDescent="0.2"/>
    <row r="716" ht="9" customHeight="1" x14ac:dyDescent="0.2"/>
    <row r="717" ht="9" customHeight="1" x14ac:dyDescent="0.2"/>
    <row r="718" ht="9" customHeight="1" x14ac:dyDescent="0.2"/>
    <row r="719" ht="9" customHeight="1" x14ac:dyDescent="0.2"/>
    <row r="720" ht="9" customHeight="1" x14ac:dyDescent="0.2"/>
    <row r="721" spans="1:1" ht="9" customHeight="1" x14ac:dyDescent="0.2"/>
    <row r="722" spans="1:1" ht="9" customHeight="1" x14ac:dyDescent="0.2"/>
    <row r="723" spans="1:1" ht="9" customHeight="1" x14ac:dyDescent="0.2"/>
    <row r="724" spans="1:1" ht="9" customHeight="1" x14ac:dyDescent="0.2"/>
    <row r="725" spans="1:1" ht="9" customHeight="1" x14ac:dyDescent="0.2"/>
    <row r="726" spans="1:1" ht="9" customHeight="1" x14ac:dyDescent="0.2"/>
    <row r="727" spans="1:1" ht="9" customHeight="1" x14ac:dyDescent="0.2"/>
    <row r="728" spans="1:1" ht="9" customHeight="1" x14ac:dyDescent="0.2"/>
    <row r="729" spans="1:1" ht="24.75" customHeight="1" x14ac:dyDescent="0.2"/>
    <row r="730" spans="1:1" ht="9" customHeight="1" x14ac:dyDescent="0.2"/>
    <row r="731" spans="1:1" ht="9" customHeight="1" x14ac:dyDescent="0.2"/>
    <row r="732" spans="1:1" ht="9" customHeight="1" x14ac:dyDescent="0.2"/>
    <row r="733" spans="1:1" ht="371.1" customHeight="1" x14ac:dyDescent="0.2"/>
    <row r="734" spans="1:1" ht="9.9499999999999993" customHeight="1" x14ac:dyDescent="0.2">
      <c r="A734" s="8" t="s">
        <v>608</v>
      </c>
    </row>
    <row r="735" spans="1:1" ht="9.9499999999999993" customHeight="1" x14ac:dyDescent="0.2">
      <c r="A735" s="8" t="s">
        <v>609</v>
      </c>
    </row>
    <row r="736" spans="1:1" ht="45.95" customHeight="1" x14ac:dyDescent="0.2"/>
    <row r="737" spans="1:1" ht="21.95" customHeight="1" x14ac:dyDescent="0.2">
      <c r="A737" s="10" t="s">
        <v>610</v>
      </c>
    </row>
    <row r="738" spans="1:1" ht="15" customHeight="1" x14ac:dyDescent="0.2">
      <c r="A738" s="11" t="s">
        <v>611</v>
      </c>
    </row>
    <row r="739" spans="1:1" ht="21.95" customHeight="1" x14ac:dyDescent="0.2">
      <c r="A739" s="10" t="s">
        <v>612</v>
      </c>
    </row>
    <row r="740" spans="1:1" ht="26.1" customHeight="1" x14ac:dyDescent="0.2"/>
    <row r="741" spans="1:1" ht="17.100000000000001" customHeight="1" x14ac:dyDescent="0.2">
      <c r="A741" s="5" t="s">
        <v>613</v>
      </c>
    </row>
    <row r="742" spans="1:1" ht="17.100000000000001" customHeight="1" x14ac:dyDescent="0.2">
      <c r="A742" s="6" t="s">
        <v>614</v>
      </c>
    </row>
    <row r="743" spans="1:1" ht="15" customHeight="1" x14ac:dyDescent="0.2">
      <c r="A743" s="11" t="s">
        <v>615</v>
      </c>
    </row>
    <row r="744" spans="1:1" ht="8.1" customHeight="1" x14ac:dyDescent="0.2"/>
    <row r="745" spans="1:1" ht="17.100000000000001" customHeight="1" x14ac:dyDescent="0.2">
      <c r="A745" s="6" t="s">
        <v>616</v>
      </c>
    </row>
    <row r="746" spans="1:1" ht="17.100000000000001" customHeight="1" x14ac:dyDescent="0.2">
      <c r="A746" s="7" t="s">
        <v>617</v>
      </c>
    </row>
    <row r="747" spans="1:1" ht="8.1" customHeight="1" x14ac:dyDescent="0.2"/>
    <row r="748" spans="1:1" ht="17.100000000000001" customHeight="1" x14ac:dyDescent="0.2">
      <c r="A748" s="6" t="s">
        <v>618</v>
      </c>
    </row>
    <row r="749" spans="1:1" ht="17.100000000000001" customHeight="1" x14ac:dyDescent="0.2">
      <c r="A749" s="7" t="s">
        <v>617</v>
      </c>
    </row>
    <row r="750" spans="1:1" ht="8.1" customHeight="1" x14ac:dyDescent="0.2"/>
    <row r="751" spans="1:1" ht="17.100000000000001" customHeight="1" x14ac:dyDescent="0.2">
      <c r="A751" s="6" t="s">
        <v>619</v>
      </c>
    </row>
    <row r="752" spans="1:1" ht="17.100000000000001" customHeight="1" x14ac:dyDescent="0.2">
      <c r="A752" s="7" t="s">
        <v>620</v>
      </c>
    </row>
    <row r="753" spans="1:1" ht="17.100000000000001" customHeight="1" x14ac:dyDescent="0.2">
      <c r="A753" s="7" t="s">
        <v>621</v>
      </c>
    </row>
    <row r="754" spans="1:1" ht="17.100000000000001" customHeight="1" x14ac:dyDescent="0.2">
      <c r="A754" s="5" t="s">
        <v>622</v>
      </c>
    </row>
    <row r="755" spans="1:1" ht="17.100000000000001" customHeight="1" x14ac:dyDescent="0.2">
      <c r="A755" s="7" t="s">
        <v>623</v>
      </c>
    </row>
    <row r="756" spans="1:1" ht="17.100000000000001" customHeight="1" x14ac:dyDescent="0.2">
      <c r="A756" s="7" t="s">
        <v>624</v>
      </c>
    </row>
    <row r="757" spans="1:1" ht="17.100000000000001" customHeight="1" x14ac:dyDescent="0.2">
      <c r="A757" s="7" t="s">
        <v>625</v>
      </c>
    </row>
    <row r="758" spans="1:1" ht="17.100000000000001" customHeight="1" x14ac:dyDescent="0.2">
      <c r="A758" s="5" t="s">
        <v>626</v>
      </c>
    </row>
    <row r="759" spans="1:1" ht="14.1" customHeight="1" x14ac:dyDescent="0.2">
      <c r="A759" s="12" t="s">
        <v>627</v>
      </c>
    </row>
    <row r="760" spans="1:1" ht="8.1" customHeight="1" x14ac:dyDescent="0.2"/>
    <row r="761" spans="1:1" ht="17.100000000000001" customHeight="1" x14ac:dyDescent="0.2">
      <c r="A761" s="6" t="s">
        <v>628</v>
      </c>
    </row>
    <row r="762" spans="1:1" ht="17.100000000000001" customHeight="1" x14ac:dyDescent="0.2">
      <c r="A762" s="7" t="s">
        <v>617</v>
      </c>
    </row>
    <row r="763" spans="1:1" ht="8.1" customHeight="1" x14ac:dyDescent="0.2"/>
    <row r="764" spans="1:1" ht="17.100000000000001" customHeight="1" x14ac:dyDescent="0.2">
      <c r="A764" s="6" t="s">
        <v>629</v>
      </c>
    </row>
    <row r="765" spans="1:1" ht="17.100000000000001" customHeight="1" x14ac:dyDescent="0.2">
      <c r="A765" s="7" t="s">
        <v>617</v>
      </c>
    </row>
    <row r="766" spans="1:1" ht="8.1" customHeight="1" x14ac:dyDescent="0.2"/>
    <row r="767" spans="1:1" ht="17.100000000000001" customHeight="1" x14ac:dyDescent="0.2">
      <c r="A767" s="6" t="s">
        <v>630</v>
      </c>
    </row>
    <row r="768" spans="1:1" ht="17.100000000000001" customHeight="1" x14ac:dyDescent="0.2">
      <c r="A768" s="7" t="s">
        <v>617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1159-97EF-4CAA-AE1E-83FAE64925BF}">
  <dimension ref="A1:F265"/>
  <sheetViews>
    <sheetView zoomScaleNormal="100" workbookViewId="0">
      <selection sqref="A1:F1"/>
    </sheetView>
  </sheetViews>
  <sheetFormatPr defaultRowHeight="12.75" x14ac:dyDescent="0.2"/>
  <cols>
    <col min="1" max="1" width="14.1640625" style="7" bestFit="1" customWidth="1"/>
    <col min="2" max="2" width="70.33203125" customWidth="1"/>
    <col min="4" max="4" width="11.1640625" bestFit="1" customWidth="1"/>
    <col min="6" max="6" width="19" style="7" bestFit="1" customWidth="1"/>
  </cols>
  <sheetData>
    <row r="1" spans="1:6" ht="33" x14ac:dyDescent="0.2">
      <c r="A1" s="14" t="s">
        <v>638</v>
      </c>
      <c r="B1" s="14"/>
      <c r="C1" s="14"/>
      <c r="D1" s="14"/>
      <c r="E1" s="14"/>
      <c r="F1" s="14"/>
    </row>
    <row r="2" spans="1:6" x14ac:dyDescent="0.2">
      <c r="D2" s="7"/>
      <c r="E2" s="7"/>
      <c r="F2" s="8" t="s">
        <v>404</v>
      </c>
    </row>
    <row r="3" spans="1:6" x14ac:dyDescent="0.2">
      <c r="D3" s="7"/>
      <c r="E3" s="7"/>
      <c r="F3" s="8" t="s">
        <v>405</v>
      </c>
    </row>
    <row r="4" spans="1:6" x14ac:dyDescent="0.2">
      <c r="D4" s="7"/>
      <c r="E4" s="7"/>
      <c r="F4" s="15">
        <v>357.78</v>
      </c>
    </row>
    <row r="5" spans="1:6" x14ac:dyDescent="0.2">
      <c r="A5" s="16" t="s">
        <v>637</v>
      </c>
      <c r="B5" s="16" t="s">
        <v>632</v>
      </c>
      <c r="C5" s="16" t="s">
        <v>633</v>
      </c>
      <c r="D5" s="16" t="s">
        <v>634</v>
      </c>
      <c r="E5" s="16" t="s">
        <v>635</v>
      </c>
      <c r="F5" s="16" t="s">
        <v>636</v>
      </c>
    </row>
    <row r="6" spans="1:6" x14ac:dyDescent="0.2">
      <c r="A6" s="21">
        <v>6770</v>
      </c>
      <c r="B6" s="17" t="s">
        <v>406</v>
      </c>
      <c r="C6" s="18" t="s">
        <v>407</v>
      </c>
      <c r="D6" s="19" t="s">
        <v>408</v>
      </c>
      <c r="E6" s="20">
        <v>0.02</v>
      </c>
      <c r="F6" s="23">
        <f>E6*F$4</f>
        <v>7.1555999999999997</v>
      </c>
    </row>
    <row r="7" spans="1:6" x14ac:dyDescent="0.2">
      <c r="A7" s="21">
        <v>6771</v>
      </c>
      <c r="B7" s="17" t="s">
        <v>409</v>
      </c>
      <c r="C7" s="18" t="s">
        <v>407</v>
      </c>
      <c r="D7" s="19" t="s">
        <v>408</v>
      </c>
      <c r="E7" s="20">
        <v>0.01</v>
      </c>
      <c r="F7" s="23">
        <f>E7*F$4</f>
        <v>3.5777999999999999</v>
      </c>
    </row>
    <row r="8" spans="1:6" x14ac:dyDescent="0.2">
      <c r="A8" s="21">
        <v>6768</v>
      </c>
      <c r="B8" s="17" t="s">
        <v>410</v>
      </c>
      <c r="C8" s="18" t="s">
        <v>407</v>
      </c>
      <c r="D8" s="19" t="s">
        <v>408</v>
      </c>
      <c r="E8" s="20">
        <v>0.02</v>
      </c>
      <c r="F8" s="23">
        <f>E8*F$4</f>
        <v>7.1555999999999997</v>
      </c>
    </row>
    <row r="9" spans="1:6" x14ac:dyDescent="0.2">
      <c r="A9" s="21">
        <v>6769</v>
      </c>
      <c r="B9" s="17" t="s">
        <v>411</v>
      </c>
      <c r="C9" s="18" t="s">
        <v>407</v>
      </c>
      <c r="D9" s="19" t="s">
        <v>408</v>
      </c>
      <c r="E9" s="20">
        <v>0.01</v>
      </c>
      <c r="F9" s="23">
        <f t="shared" ref="F9:F72" si="0">E9*F$4</f>
        <v>3.5777999999999999</v>
      </c>
    </row>
    <row r="10" spans="1:6" x14ac:dyDescent="0.2">
      <c r="A10" s="21">
        <v>6763</v>
      </c>
      <c r="B10" s="17" t="s">
        <v>412</v>
      </c>
      <c r="C10" s="18" t="s">
        <v>413</v>
      </c>
      <c r="D10" s="19" t="s">
        <v>408</v>
      </c>
      <c r="E10" s="20">
        <v>0.37</v>
      </c>
      <c r="F10" s="23">
        <f t="shared" si="0"/>
        <v>132.37859999999998</v>
      </c>
    </row>
    <row r="11" spans="1:6" x14ac:dyDescent="0.2">
      <c r="A11" s="21">
        <v>6765</v>
      </c>
      <c r="B11" s="17" t="s">
        <v>414</v>
      </c>
      <c r="C11" s="18" t="s">
        <v>413</v>
      </c>
      <c r="D11" s="19" t="s">
        <v>408</v>
      </c>
      <c r="E11" s="20">
        <v>0.42</v>
      </c>
      <c r="F11" s="23">
        <f t="shared" si="0"/>
        <v>150.26759999999999</v>
      </c>
    </row>
    <row r="12" spans="1:6" x14ac:dyDescent="0.2">
      <c r="A12" s="21">
        <v>6859</v>
      </c>
      <c r="B12" s="17" t="s">
        <v>415</v>
      </c>
      <c r="C12" s="18" t="s">
        <v>413</v>
      </c>
      <c r="D12" s="19" t="s">
        <v>408</v>
      </c>
      <c r="E12" s="20">
        <v>0.42</v>
      </c>
      <c r="F12" s="23">
        <f t="shared" si="0"/>
        <v>150.26759999999999</v>
      </c>
    </row>
    <row r="13" spans="1:6" x14ac:dyDescent="0.2">
      <c r="A13" s="21">
        <v>8771</v>
      </c>
      <c r="B13" s="17" t="s">
        <v>416</v>
      </c>
      <c r="C13" s="18" t="s">
        <v>413</v>
      </c>
      <c r="D13" s="19" t="s">
        <v>408</v>
      </c>
      <c r="E13" s="20">
        <v>1.19</v>
      </c>
      <c r="F13" s="23">
        <f t="shared" si="0"/>
        <v>425.75819999999993</v>
      </c>
    </row>
    <row r="14" spans="1:6" x14ac:dyDescent="0.2">
      <c r="A14" s="21">
        <v>6766</v>
      </c>
      <c r="B14" s="17" t="s">
        <v>417</v>
      </c>
      <c r="C14" s="18" t="s">
        <v>413</v>
      </c>
      <c r="D14" s="19" t="s">
        <v>408</v>
      </c>
      <c r="E14" s="20">
        <v>0.36</v>
      </c>
      <c r="F14" s="23">
        <f t="shared" si="0"/>
        <v>128.80079999999998</v>
      </c>
    </row>
    <row r="15" spans="1:6" x14ac:dyDescent="0.2">
      <c r="A15" s="21">
        <v>7896</v>
      </c>
      <c r="B15" s="17" t="s">
        <v>418</v>
      </c>
      <c r="C15" s="18" t="s">
        <v>413</v>
      </c>
      <c r="D15" s="19" t="s">
        <v>408</v>
      </c>
      <c r="E15" s="20">
        <v>0.43</v>
      </c>
      <c r="F15" s="23">
        <f t="shared" si="0"/>
        <v>153.84539999999998</v>
      </c>
    </row>
    <row r="16" spans="1:6" x14ac:dyDescent="0.2">
      <c r="A16" s="21">
        <v>6772</v>
      </c>
      <c r="B16" s="17" t="s">
        <v>419</v>
      </c>
      <c r="C16" s="18" t="s">
        <v>413</v>
      </c>
      <c r="D16" s="19" t="s">
        <v>408</v>
      </c>
      <c r="E16" s="20">
        <v>1</v>
      </c>
      <c r="F16" s="23">
        <f t="shared" si="0"/>
        <v>357.78</v>
      </c>
    </row>
    <row r="17" spans="1:6" x14ac:dyDescent="0.2">
      <c r="A17" s="21">
        <v>6773</v>
      </c>
      <c r="B17" s="17" t="s">
        <v>420</v>
      </c>
      <c r="C17" s="18" t="s">
        <v>413</v>
      </c>
      <c r="D17" s="19" t="s">
        <v>408</v>
      </c>
      <c r="E17" s="20">
        <v>0.35</v>
      </c>
      <c r="F17" s="23">
        <f t="shared" si="0"/>
        <v>125.22299999999998</v>
      </c>
    </row>
    <row r="18" spans="1:6" x14ac:dyDescent="0.2">
      <c r="A18" s="21">
        <v>6356</v>
      </c>
      <c r="B18" s="17" t="s">
        <v>421</v>
      </c>
      <c r="C18" s="18" t="s">
        <v>413</v>
      </c>
      <c r="D18" s="19" t="s">
        <v>408</v>
      </c>
      <c r="E18" s="20">
        <v>0.06</v>
      </c>
      <c r="F18" s="23">
        <f t="shared" si="0"/>
        <v>21.466799999999999</v>
      </c>
    </row>
    <row r="19" spans="1:6" x14ac:dyDescent="0.2">
      <c r="A19" s="21">
        <v>6775</v>
      </c>
      <c r="B19" s="17" t="s">
        <v>422</v>
      </c>
      <c r="C19" s="18" t="s">
        <v>413</v>
      </c>
      <c r="D19" s="19" t="s">
        <v>408</v>
      </c>
      <c r="E19" s="20">
        <v>0.5</v>
      </c>
      <c r="F19" s="23">
        <f t="shared" si="0"/>
        <v>178.89</v>
      </c>
    </row>
    <row r="20" spans="1:6" x14ac:dyDescent="0.2">
      <c r="A20" s="21">
        <v>6776</v>
      </c>
      <c r="B20" s="17" t="s">
        <v>423</v>
      </c>
      <c r="C20" s="18" t="s">
        <v>413</v>
      </c>
      <c r="D20" s="19" t="s">
        <v>408</v>
      </c>
      <c r="E20" s="20">
        <v>0.5</v>
      </c>
      <c r="F20" s="23">
        <f t="shared" si="0"/>
        <v>178.89</v>
      </c>
    </row>
    <row r="21" spans="1:6" x14ac:dyDescent="0.2">
      <c r="A21" s="21">
        <v>6778</v>
      </c>
      <c r="B21" s="17" t="s">
        <v>424</v>
      </c>
      <c r="C21" s="18" t="s">
        <v>413</v>
      </c>
      <c r="D21" s="19" t="s">
        <v>408</v>
      </c>
      <c r="E21" s="20">
        <v>2</v>
      </c>
      <c r="F21" s="23">
        <f t="shared" si="0"/>
        <v>715.56</v>
      </c>
    </row>
    <row r="22" spans="1:6" x14ac:dyDescent="0.2">
      <c r="A22" s="21">
        <v>6793</v>
      </c>
      <c r="B22" s="17" t="s">
        <v>425</v>
      </c>
      <c r="C22" s="18" t="s">
        <v>413</v>
      </c>
      <c r="D22" s="19" t="s">
        <v>408</v>
      </c>
      <c r="E22" s="20">
        <v>0.79</v>
      </c>
      <c r="F22" s="23">
        <f t="shared" si="0"/>
        <v>282.64619999999996</v>
      </c>
    </row>
    <row r="23" spans="1:6" x14ac:dyDescent="0.2">
      <c r="A23" s="21">
        <v>6792</v>
      </c>
      <c r="B23" s="17" t="s">
        <v>426</v>
      </c>
      <c r="C23" s="18" t="s">
        <v>413</v>
      </c>
      <c r="D23" s="19" t="s">
        <v>408</v>
      </c>
      <c r="E23" s="20">
        <v>1.04</v>
      </c>
      <c r="F23" s="23">
        <f t="shared" si="0"/>
        <v>372.09119999999996</v>
      </c>
    </row>
    <row r="24" spans="1:6" x14ac:dyDescent="0.2">
      <c r="A24" s="21">
        <v>6788</v>
      </c>
      <c r="B24" s="17" t="s">
        <v>427</v>
      </c>
      <c r="C24" s="18" t="s">
        <v>413</v>
      </c>
      <c r="D24" s="19" t="s">
        <v>408</v>
      </c>
      <c r="E24" s="20">
        <v>0.93</v>
      </c>
      <c r="F24" s="23">
        <f t="shared" si="0"/>
        <v>332.73539999999997</v>
      </c>
    </row>
    <row r="25" spans="1:6" x14ac:dyDescent="0.2">
      <c r="A25" s="21">
        <v>6789</v>
      </c>
      <c r="B25" s="17" t="s">
        <v>428</v>
      </c>
      <c r="C25" s="18" t="s">
        <v>413</v>
      </c>
      <c r="D25" s="19" t="s">
        <v>408</v>
      </c>
      <c r="E25" s="20">
        <v>1.04</v>
      </c>
      <c r="F25" s="23">
        <f t="shared" si="0"/>
        <v>372.09119999999996</v>
      </c>
    </row>
    <row r="26" spans="1:6" x14ac:dyDescent="0.2">
      <c r="A26" s="21">
        <v>6777</v>
      </c>
      <c r="B26" s="17" t="s">
        <v>429</v>
      </c>
      <c r="C26" s="18" t="s">
        <v>413</v>
      </c>
      <c r="D26" s="19" t="s">
        <v>408</v>
      </c>
      <c r="E26" s="20">
        <v>0.5</v>
      </c>
      <c r="F26" s="23">
        <f t="shared" si="0"/>
        <v>178.89</v>
      </c>
    </row>
    <row r="27" spans="1:6" x14ac:dyDescent="0.2">
      <c r="A27" s="21">
        <v>6779</v>
      </c>
      <c r="B27" s="17" t="s">
        <v>430</v>
      </c>
      <c r="C27" s="18" t="s">
        <v>413</v>
      </c>
      <c r="D27" s="19" t="s">
        <v>408</v>
      </c>
      <c r="E27" s="20">
        <v>2</v>
      </c>
      <c r="F27" s="23">
        <f t="shared" si="0"/>
        <v>715.56</v>
      </c>
    </row>
    <row r="28" spans="1:6" x14ac:dyDescent="0.2">
      <c r="A28" s="21">
        <v>6780</v>
      </c>
      <c r="B28" s="17" t="s">
        <v>431</v>
      </c>
      <c r="C28" s="18" t="s">
        <v>413</v>
      </c>
      <c r="D28" s="19" t="s">
        <v>408</v>
      </c>
      <c r="E28" s="20">
        <v>2</v>
      </c>
      <c r="F28" s="23">
        <f t="shared" si="0"/>
        <v>715.56</v>
      </c>
    </row>
    <row r="29" spans="1:6" x14ac:dyDescent="0.2">
      <c r="A29" s="21">
        <v>6791</v>
      </c>
      <c r="B29" s="17" t="s">
        <v>432</v>
      </c>
      <c r="C29" s="18" t="s">
        <v>413</v>
      </c>
      <c r="D29" s="19" t="s">
        <v>408</v>
      </c>
      <c r="E29" s="20">
        <v>1.1399999999999999</v>
      </c>
      <c r="F29" s="23">
        <f t="shared" si="0"/>
        <v>407.86919999999992</v>
      </c>
    </row>
    <row r="30" spans="1:6" x14ac:dyDescent="0.2">
      <c r="A30" s="21">
        <v>6785</v>
      </c>
      <c r="B30" s="17" t="s">
        <v>433</v>
      </c>
      <c r="C30" s="18" t="s">
        <v>413</v>
      </c>
      <c r="D30" s="19" t="s">
        <v>408</v>
      </c>
      <c r="E30" s="20">
        <v>1.5</v>
      </c>
      <c r="F30" s="23">
        <f t="shared" si="0"/>
        <v>536.66999999999996</v>
      </c>
    </row>
    <row r="31" spans="1:6" x14ac:dyDescent="0.2">
      <c r="A31" s="21">
        <v>6786</v>
      </c>
      <c r="B31" s="17" t="s">
        <v>434</v>
      </c>
      <c r="C31" s="18" t="s">
        <v>413</v>
      </c>
      <c r="D31" s="19" t="s">
        <v>408</v>
      </c>
      <c r="E31" s="20">
        <v>0.53</v>
      </c>
      <c r="F31" s="23">
        <f t="shared" si="0"/>
        <v>189.6234</v>
      </c>
    </row>
    <row r="32" spans="1:6" x14ac:dyDescent="0.2">
      <c r="A32" s="21">
        <v>6787</v>
      </c>
      <c r="B32" s="17" t="s">
        <v>435</v>
      </c>
      <c r="C32" s="18" t="s">
        <v>413</v>
      </c>
      <c r="D32" s="19" t="s">
        <v>408</v>
      </c>
      <c r="E32" s="20">
        <v>0.93</v>
      </c>
      <c r="F32" s="23">
        <f t="shared" si="0"/>
        <v>332.73539999999997</v>
      </c>
    </row>
    <row r="33" spans="1:6" x14ac:dyDescent="0.2">
      <c r="A33" s="21">
        <v>6783</v>
      </c>
      <c r="B33" s="17" t="s">
        <v>436</v>
      </c>
      <c r="C33" s="18" t="s">
        <v>413</v>
      </c>
      <c r="D33" s="19" t="s">
        <v>408</v>
      </c>
      <c r="E33" s="20">
        <v>0.3</v>
      </c>
      <c r="F33" s="23">
        <f t="shared" si="0"/>
        <v>107.33399999999999</v>
      </c>
    </row>
    <row r="34" spans="1:6" x14ac:dyDescent="0.2">
      <c r="A34" s="21">
        <v>6784</v>
      </c>
      <c r="B34" s="17" t="s">
        <v>437</v>
      </c>
      <c r="C34" s="18" t="s">
        <v>413</v>
      </c>
      <c r="D34" s="19" t="s">
        <v>408</v>
      </c>
      <c r="E34" s="20">
        <v>0.3</v>
      </c>
      <c r="F34" s="23">
        <f t="shared" si="0"/>
        <v>107.33399999999999</v>
      </c>
    </row>
    <row r="35" spans="1:6" x14ac:dyDescent="0.2">
      <c r="A35" s="21">
        <v>6781</v>
      </c>
      <c r="B35" s="17" t="s">
        <v>438</v>
      </c>
      <c r="C35" s="18" t="s">
        <v>413</v>
      </c>
      <c r="D35" s="19" t="s">
        <v>408</v>
      </c>
      <c r="E35" s="20">
        <v>1</v>
      </c>
      <c r="F35" s="23">
        <f t="shared" si="0"/>
        <v>357.78</v>
      </c>
    </row>
    <row r="36" spans="1:6" x14ac:dyDescent="0.2">
      <c r="A36" s="21">
        <v>6782</v>
      </c>
      <c r="B36" s="17" t="s">
        <v>439</v>
      </c>
      <c r="C36" s="18" t="s">
        <v>413</v>
      </c>
      <c r="D36" s="19" t="s">
        <v>408</v>
      </c>
      <c r="E36" s="20">
        <v>1</v>
      </c>
      <c r="F36" s="23">
        <f t="shared" si="0"/>
        <v>357.78</v>
      </c>
    </row>
    <row r="37" spans="1:6" x14ac:dyDescent="0.2">
      <c r="A37" s="21">
        <v>6847</v>
      </c>
      <c r="B37" s="17" t="s">
        <v>440</v>
      </c>
      <c r="C37" s="18" t="s">
        <v>413</v>
      </c>
      <c r="D37" s="19" t="s">
        <v>408</v>
      </c>
      <c r="E37" s="20">
        <v>0.5</v>
      </c>
      <c r="F37" s="23">
        <f t="shared" si="0"/>
        <v>178.89</v>
      </c>
    </row>
    <row r="38" spans="1:6" x14ac:dyDescent="0.2">
      <c r="A38" s="21">
        <v>6796</v>
      </c>
      <c r="B38" s="17" t="s">
        <v>441</v>
      </c>
      <c r="C38" s="18" t="s">
        <v>413</v>
      </c>
      <c r="D38" s="19" t="s">
        <v>408</v>
      </c>
      <c r="E38" s="20">
        <v>0.28999999999999998</v>
      </c>
      <c r="F38" s="23">
        <f t="shared" si="0"/>
        <v>103.75619999999998</v>
      </c>
    </row>
    <row r="39" spans="1:6" x14ac:dyDescent="0.2">
      <c r="A39" s="21">
        <v>6794</v>
      </c>
      <c r="B39" s="17" t="s">
        <v>442</v>
      </c>
      <c r="C39" s="18" t="s">
        <v>413</v>
      </c>
      <c r="D39" s="19" t="s">
        <v>408</v>
      </c>
      <c r="E39" s="20">
        <v>0.32</v>
      </c>
      <c r="F39" s="23">
        <f t="shared" si="0"/>
        <v>114.4896</v>
      </c>
    </row>
    <row r="40" spans="1:6" x14ac:dyDescent="0.2">
      <c r="A40" s="21">
        <v>6795</v>
      </c>
      <c r="B40" s="17" t="s">
        <v>443</v>
      </c>
      <c r="C40" s="18" t="s">
        <v>413</v>
      </c>
      <c r="D40" s="19" t="s">
        <v>408</v>
      </c>
      <c r="E40" s="20">
        <v>0.28999999999999998</v>
      </c>
      <c r="F40" s="23">
        <f t="shared" si="0"/>
        <v>103.75619999999998</v>
      </c>
    </row>
    <row r="41" spans="1:6" x14ac:dyDescent="0.2">
      <c r="A41" s="21">
        <v>6799</v>
      </c>
      <c r="B41" s="17" t="s">
        <v>444</v>
      </c>
      <c r="C41" s="18" t="s">
        <v>413</v>
      </c>
      <c r="D41" s="19" t="s">
        <v>408</v>
      </c>
      <c r="E41" s="20">
        <v>0.32</v>
      </c>
      <c r="F41" s="23">
        <f t="shared" si="0"/>
        <v>114.4896</v>
      </c>
    </row>
    <row r="42" spans="1:6" x14ac:dyDescent="0.2">
      <c r="A42" s="21">
        <v>6801</v>
      </c>
      <c r="B42" s="17" t="s">
        <v>445</v>
      </c>
      <c r="C42" s="18" t="s">
        <v>413</v>
      </c>
      <c r="D42" s="19" t="s">
        <v>408</v>
      </c>
      <c r="E42" s="20">
        <v>4.5</v>
      </c>
      <c r="F42" s="23">
        <f t="shared" si="0"/>
        <v>1610.0099999999998</v>
      </c>
    </row>
    <row r="43" spans="1:6" x14ac:dyDescent="0.2">
      <c r="A43" s="21">
        <v>6800</v>
      </c>
      <c r="B43" s="17" t="s">
        <v>446</v>
      </c>
      <c r="C43" s="18" t="s">
        <v>413</v>
      </c>
      <c r="D43" s="19" t="s">
        <v>408</v>
      </c>
      <c r="E43" s="20">
        <v>1.7</v>
      </c>
      <c r="F43" s="23">
        <f t="shared" si="0"/>
        <v>608.22599999999989</v>
      </c>
    </row>
    <row r="44" spans="1:6" x14ac:dyDescent="0.2">
      <c r="A44" s="21">
        <v>6802</v>
      </c>
      <c r="B44" s="17" t="s">
        <v>447</v>
      </c>
      <c r="C44" s="18" t="s">
        <v>413</v>
      </c>
      <c r="D44" s="19" t="s">
        <v>408</v>
      </c>
      <c r="E44" s="20">
        <v>1.51</v>
      </c>
      <c r="F44" s="23">
        <f t="shared" si="0"/>
        <v>540.24779999999998</v>
      </c>
    </row>
    <row r="45" spans="1:6" x14ac:dyDescent="0.2">
      <c r="A45" s="21">
        <v>6803</v>
      </c>
      <c r="B45" s="17" t="s">
        <v>448</v>
      </c>
      <c r="C45" s="18" t="s">
        <v>413</v>
      </c>
      <c r="D45" s="19" t="s">
        <v>408</v>
      </c>
      <c r="E45" s="20">
        <v>1.19</v>
      </c>
      <c r="F45" s="23">
        <f t="shared" si="0"/>
        <v>425.75819999999993</v>
      </c>
    </row>
    <row r="46" spans="1:6" x14ac:dyDescent="0.2">
      <c r="A46" s="21">
        <v>6858</v>
      </c>
      <c r="B46" s="17" t="s">
        <v>449</v>
      </c>
      <c r="C46" s="18" t="s">
        <v>413</v>
      </c>
      <c r="D46" s="19" t="s">
        <v>408</v>
      </c>
      <c r="E46" s="20">
        <v>0.11</v>
      </c>
      <c r="F46" s="23">
        <f t="shared" si="0"/>
        <v>39.355799999999995</v>
      </c>
    </row>
    <row r="47" spans="1:6" x14ac:dyDescent="0.2">
      <c r="A47" s="21">
        <v>6774</v>
      </c>
      <c r="B47" s="17" t="s">
        <v>450</v>
      </c>
      <c r="C47" s="18" t="s">
        <v>413</v>
      </c>
      <c r="D47" s="19" t="s">
        <v>408</v>
      </c>
      <c r="E47" s="20">
        <v>0.35</v>
      </c>
      <c r="F47" s="23">
        <f t="shared" si="0"/>
        <v>125.22299999999998</v>
      </c>
    </row>
    <row r="48" spans="1:6" x14ac:dyDescent="0.2">
      <c r="A48" s="21">
        <v>6804</v>
      </c>
      <c r="B48" s="17" t="s">
        <v>451</v>
      </c>
      <c r="C48" s="18" t="s">
        <v>413</v>
      </c>
      <c r="D48" s="19" t="s">
        <v>408</v>
      </c>
      <c r="E48" s="20">
        <v>2</v>
      </c>
      <c r="F48" s="23">
        <f t="shared" si="0"/>
        <v>715.56</v>
      </c>
    </row>
    <row r="49" spans="1:6" x14ac:dyDescent="0.2">
      <c r="A49" s="21">
        <v>6761</v>
      </c>
      <c r="B49" s="17" t="s">
        <v>452</v>
      </c>
      <c r="C49" s="18" t="s">
        <v>453</v>
      </c>
      <c r="D49" s="19" t="s">
        <v>408</v>
      </c>
      <c r="E49" s="20">
        <v>1.91</v>
      </c>
      <c r="F49" s="23">
        <f t="shared" si="0"/>
        <v>683.35979999999995</v>
      </c>
    </row>
    <row r="50" spans="1:6" x14ac:dyDescent="0.2">
      <c r="A50" s="21">
        <v>6762</v>
      </c>
      <c r="B50" s="17" t="s">
        <v>454</v>
      </c>
      <c r="C50" s="18" t="s">
        <v>453</v>
      </c>
      <c r="D50" s="19" t="s">
        <v>408</v>
      </c>
      <c r="E50" s="20">
        <v>3</v>
      </c>
      <c r="F50" s="23">
        <f t="shared" si="0"/>
        <v>1073.3399999999999</v>
      </c>
    </row>
    <row r="51" spans="1:6" x14ac:dyDescent="0.2">
      <c r="A51" s="21">
        <v>6790</v>
      </c>
      <c r="B51" s="17" t="s">
        <v>455</v>
      </c>
      <c r="C51" s="18" t="s">
        <v>413</v>
      </c>
      <c r="D51" s="19" t="s">
        <v>408</v>
      </c>
      <c r="E51" s="20">
        <v>0.79</v>
      </c>
      <c r="F51" s="23">
        <f t="shared" si="0"/>
        <v>282.64619999999996</v>
      </c>
    </row>
    <row r="52" spans="1:6" x14ac:dyDescent="0.2">
      <c r="A52" s="21">
        <v>6797</v>
      </c>
      <c r="B52" s="17" t="s">
        <v>456</v>
      </c>
      <c r="C52" s="18" t="s">
        <v>413</v>
      </c>
      <c r="D52" s="19" t="s">
        <v>408</v>
      </c>
      <c r="E52" s="20">
        <v>0.2</v>
      </c>
      <c r="F52" s="23">
        <f t="shared" si="0"/>
        <v>71.555999999999997</v>
      </c>
    </row>
    <row r="53" spans="1:6" x14ac:dyDescent="0.2">
      <c r="A53" s="21">
        <v>92323</v>
      </c>
      <c r="B53" s="17" t="s">
        <v>457</v>
      </c>
      <c r="C53" s="18" t="s">
        <v>458</v>
      </c>
      <c r="D53" s="19" t="s">
        <v>459</v>
      </c>
      <c r="E53" s="20">
        <v>0.86</v>
      </c>
      <c r="F53" s="23">
        <f t="shared" si="0"/>
        <v>307.69079999999997</v>
      </c>
    </row>
    <row r="54" spans="1:6" x14ac:dyDescent="0.2">
      <c r="A54" s="21">
        <v>6677</v>
      </c>
      <c r="B54" s="17" t="s">
        <v>460</v>
      </c>
      <c r="C54" s="18" t="s">
        <v>413</v>
      </c>
      <c r="D54" s="19" t="s">
        <v>459</v>
      </c>
      <c r="E54" s="20">
        <v>0.6</v>
      </c>
      <c r="F54" s="23">
        <f t="shared" si="0"/>
        <v>214.66799999999998</v>
      </c>
    </row>
    <row r="55" spans="1:6" x14ac:dyDescent="0.2">
      <c r="A55" s="21">
        <v>92321</v>
      </c>
      <c r="B55" s="17" t="s">
        <v>461</v>
      </c>
      <c r="C55" s="18" t="s">
        <v>458</v>
      </c>
      <c r="D55" s="19" t="s">
        <v>459</v>
      </c>
      <c r="E55" s="20">
        <v>0.62</v>
      </c>
      <c r="F55" s="23">
        <f t="shared" si="0"/>
        <v>221.82359999999997</v>
      </c>
    </row>
    <row r="56" spans="1:6" x14ac:dyDescent="0.2">
      <c r="A56" s="21">
        <v>6834</v>
      </c>
      <c r="B56" s="17" t="s">
        <v>462</v>
      </c>
      <c r="C56" s="18" t="s">
        <v>458</v>
      </c>
      <c r="D56" s="19" t="s">
        <v>459</v>
      </c>
      <c r="E56" s="20">
        <v>0.28000000000000003</v>
      </c>
      <c r="F56" s="23">
        <f t="shared" si="0"/>
        <v>100.1784</v>
      </c>
    </row>
    <row r="57" spans="1:6" x14ac:dyDescent="0.2">
      <c r="A57" s="21">
        <v>6681</v>
      </c>
      <c r="B57" s="17" t="s">
        <v>463</v>
      </c>
      <c r="C57" s="18" t="s">
        <v>413</v>
      </c>
      <c r="D57" s="19" t="s">
        <v>459</v>
      </c>
      <c r="E57" s="20">
        <v>2.68</v>
      </c>
      <c r="F57" s="23">
        <f t="shared" si="0"/>
        <v>958.85040000000004</v>
      </c>
    </row>
    <row r="58" spans="1:6" x14ac:dyDescent="0.2">
      <c r="A58" s="21">
        <v>6682</v>
      </c>
      <c r="B58" s="17" t="s">
        <v>464</v>
      </c>
      <c r="C58" s="18" t="s">
        <v>413</v>
      </c>
      <c r="D58" s="19" t="s">
        <v>459</v>
      </c>
      <c r="E58" s="20">
        <v>0.48</v>
      </c>
      <c r="F58" s="23">
        <f t="shared" si="0"/>
        <v>171.73439999999999</v>
      </c>
    </row>
    <row r="59" spans="1:6" x14ac:dyDescent="0.2">
      <c r="A59" s="21">
        <v>6683</v>
      </c>
      <c r="B59" s="17" t="s">
        <v>465</v>
      </c>
      <c r="C59" s="18" t="s">
        <v>413</v>
      </c>
      <c r="D59" s="19" t="s">
        <v>459</v>
      </c>
      <c r="E59" s="20">
        <v>0.48</v>
      </c>
      <c r="F59" s="23">
        <f t="shared" si="0"/>
        <v>171.73439999999999</v>
      </c>
    </row>
    <row r="60" spans="1:6" x14ac:dyDescent="0.2">
      <c r="A60" s="21">
        <v>92331</v>
      </c>
      <c r="B60" s="17" t="s">
        <v>466</v>
      </c>
      <c r="C60" s="18" t="s">
        <v>413</v>
      </c>
      <c r="D60" s="19" t="s">
        <v>459</v>
      </c>
      <c r="E60" s="20">
        <v>0.55000000000000004</v>
      </c>
      <c r="F60" s="23">
        <f t="shared" si="0"/>
        <v>196.779</v>
      </c>
    </row>
    <row r="61" spans="1:6" x14ac:dyDescent="0.2">
      <c r="A61" s="21">
        <v>92330</v>
      </c>
      <c r="B61" s="17" t="s">
        <v>467</v>
      </c>
      <c r="C61" s="18" t="s">
        <v>413</v>
      </c>
      <c r="D61" s="19" t="s">
        <v>459</v>
      </c>
      <c r="E61" s="20">
        <v>1.3</v>
      </c>
      <c r="F61" s="23">
        <f t="shared" si="0"/>
        <v>465.11399999999998</v>
      </c>
    </row>
    <row r="62" spans="1:6" x14ac:dyDescent="0.2">
      <c r="A62" s="21">
        <v>92329</v>
      </c>
      <c r="B62" s="17" t="s">
        <v>468</v>
      </c>
      <c r="C62" s="18" t="s">
        <v>413</v>
      </c>
      <c r="D62" s="19" t="s">
        <v>459</v>
      </c>
      <c r="E62" s="20">
        <v>1.3</v>
      </c>
      <c r="F62" s="23">
        <f t="shared" si="0"/>
        <v>465.11399999999998</v>
      </c>
    </row>
    <row r="63" spans="1:6" x14ac:dyDescent="0.2">
      <c r="A63" s="21">
        <v>6691</v>
      </c>
      <c r="B63" s="17" t="s">
        <v>469</v>
      </c>
      <c r="C63" s="18" t="s">
        <v>413</v>
      </c>
      <c r="D63" s="19" t="s">
        <v>459</v>
      </c>
      <c r="E63" s="20">
        <v>0.1</v>
      </c>
      <c r="F63" s="23">
        <f t="shared" si="0"/>
        <v>35.777999999999999</v>
      </c>
    </row>
    <row r="64" spans="1:6" x14ac:dyDescent="0.2">
      <c r="A64" s="21">
        <v>6690</v>
      </c>
      <c r="B64" s="17" t="s">
        <v>470</v>
      </c>
      <c r="C64" s="18" t="s">
        <v>413</v>
      </c>
      <c r="D64" s="19" t="s">
        <v>459</v>
      </c>
      <c r="E64" s="20">
        <v>0.4</v>
      </c>
      <c r="F64" s="23">
        <f t="shared" si="0"/>
        <v>143.11199999999999</v>
      </c>
    </row>
    <row r="65" spans="1:6" x14ac:dyDescent="0.2">
      <c r="A65" s="21">
        <v>6692</v>
      </c>
      <c r="B65" s="17" t="s">
        <v>471</v>
      </c>
      <c r="C65" s="18" t="s">
        <v>413</v>
      </c>
      <c r="D65" s="19" t="s">
        <v>459</v>
      </c>
      <c r="E65" s="20">
        <v>2</v>
      </c>
      <c r="F65" s="23">
        <f t="shared" si="0"/>
        <v>715.56</v>
      </c>
    </row>
    <row r="66" spans="1:6" x14ac:dyDescent="0.2">
      <c r="A66" s="21">
        <v>6419</v>
      </c>
      <c r="B66" s="17" t="s">
        <v>472</v>
      </c>
      <c r="C66" s="18" t="s">
        <v>413</v>
      </c>
      <c r="D66" s="19" t="s">
        <v>459</v>
      </c>
      <c r="E66" s="20">
        <v>0.2</v>
      </c>
      <c r="F66" s="23">
        <f t="shared" si="0"/>
        <v>71.555999999999997</v>
      </c>
    </row>
    <row r="67" spans="1:6" x14ac:dyDescent="0.2">
      <c r="A67" s="21">
        <v>6693</v>
      </c>
      <c r="B67" s="17" t="s">
        <v>473</v>
      </c>
      <c r="C67" s="18" t="s">
        <v>413</v>
      </c>
      <c r="D67" s="19" t="s">
        <v>459</v>
      </c>
      <c r="E67" s="20">
        <v>0.35</v>
      </c>
      <c r="F67" s="23">
        <f t="shared" si="0"/>
        <v>125.22299999999998</v>
      </c>
    </row>
    <row r="68" spans="1:6" x14ac:dyDescent="0.2">
      <c r="A68" s="21">
        <v>6712</v>
      </c>
      <c r="B68" s="17" t="s">
        <v>474</v>
      </c>
      <c r="C68" s="18" t="s">
        <v>413</v>
      </c>
      <c r="D68" s="19" t="s">
        <v>459</v>
      </c>
      <c r="E68" s="20">
        <v>2.12</v>
      </c>
      <c r="F68" s="23">
        <f t="shared" si="0"/>
        <v>758.49360000000001</v>
      </c>
    </row>
    <row r="69" spans="1:6" x14ac:dyDescent="0.2">
      <c r="A69" s="21">
        <v>6714</v>
      </c>
      <c r="B69" s="17" t="s">
        <v>475</v>
      </c>
      <c r="C69" s="18" t="s">
        <v>413</v>
      </c>
      <c r="D69" s="19" t="s">
        <v>459</v>
      </c>
      <c r="E69" s="20">
        <v>0.56999999999999995</v>
      </c>
      <c r="F69" s="23">
        <f t="shared" si="0"/>
        <v>203.93459999999996</v>
      </c>
    </row>
    <row r="70" spans="1:6" x14ac:dyDescent="0.2">
      <c r="A70" s="21">
        <v>6695</v>
      </c>
      <c r="B70" s="17" t="s">
        <v>476</v>
      </c>
      <c r="C70" s="18" t="s">
        <v>413</v>
      </c>
      <c r="D70" s="19" t="s">
        <v>459</v>
      </c>
      <c r="E70" s="20">
        <v>2.5</v>
      </c>
      <c r="F70" s="23">
        <f t="shared" si="0"/>
        <v>894.44999999999993</v>
      </c>
    </row>
    <row r="71" spans="1:6" x14ac:dyDescent="0.2">
      <c r="A71" s="21">
        <v>6697</v>
      </c>
      <c r="B71" s="17" t="s">
        <v>477</v>
      </c>
      <c r="C71" s="18" t="s">
        <v>413</v>
      </c>
      <c r="D71" s="19" t="s">
        <v>459</v>
      </c>
      <c r="E71" s="20">
        <v>1.1299999999999999</v>
      </c>
      <c r="F71" s="23">
        <f t="shared" si="0"/>
        <v>404.29139999999995</v>
      </c>
    </row>
    <row r="72" spans="1:6" x14ac:dyDescent="0.2">
      <c r="A72" s="21">
        <v>6698</v>
      </c>
      <c r="B72" s="17" t="s">
        <v>478</v>
      </c>
      <c r="C72" s="18" t="s">
        <v>413</v>
      </c>
      <c r="D72" s="19" t="s">
        <v>459</v>
      </c>
      <c r="E72" s="20">
        <v>1.1299999999999999</v>
      </c>
      <c r="F72" s="23">
        <f t="shared" si="0"/>
        <v>404.29139999999995</v>
      </c>
    </row>
    <row r="73" spans="1:6" x14ac:dyDescent="0.2">
      <c r="A73" s="21">
        <v>6699</v>
      </c>
      <c r="B73" s="17" t="s">
        <v>479</v>
      </c>
      <c r="C73" s="18" t="s">
        <v>413</v>
      </c>
      <c r="D73" s="19" t="s">
        <v>459</v>
      </c>
      <c r="E73" s="20">
        <v>1.1299999999999999</v>
      </c>
      <c r="F73" s="23">
        <f t="shared" ref="F73:F136" si="1">E73*F$4</f>
        <v>404.29139999999995</v>
      </c>
    </row>
    <row r="74" spans="1:6" x14ac:dyDescent="0.2">
      <c r="A74" s="21">
        <v>6711</v>
      </c>
      <c r="B74" s="17" t="s">
        <v>480</v>
      </c>
      <c r="C74" s="18" t="s">
        <v>413</v>
      </c>
      <c r="D74" s="19" t="s">
        <v>459</v>
      </c>
      <c r="E74" s="20">
        <v>1.28</v>
      </c>
      <c r="F74" s="23">
        <f t="shared" si="1"/>
        <v>457.95839999999998</v>
      </c>
    </row>
    <row r="75" spans="1:6" x14ac:dyDescent="0.2">
      <c r="A75" s="21">
        <v>6713</v>
      </c>
      <c r="B75" s="17" t="s">
        <v>481</v>
      </c>
      <c r="C75" s="18" t="s">
        <v>413</v>
      </c>
      <c r="D75" s="19" t="s">
        <v>459</v>
      </c>
      <c r="E75" s="20">
        <v>1.46</v>
      </c>
      <c r="F75" s="23">
        <f t="shared" si="1"/>
        <v>522.35879999999997</v>
      </c>
    </row>
    <row r="76" spans="1:6" x14ac:dyDescent="0.2">
      <c r="A76" s="21">
        <v>6700</v>
      </c>
      <c r="B76" s="17" t="s">
        <v>482</v>
      </c>
      <c r="C76" s="18" t="s">
        <v>413</v>
      </c>
      <c r="D76" s="19" t="s">
        <v>459</v>
      </c>
      <c r="E76" s="20">
        <v>2.84</v>
      </c>
      <c r="F76" s="23">
        <f t="shared" si="1"/>
        <v>1016.0951999999999</v>
      </c>
    </row>
    <row r="77" spans="1:6" x14ac:dyDescent="0.2">
      <c r="A77" s="21">
        <v>6701</v>
      </c>
      <c r="B77" s="17" t="s">
        <v>483</v>
      </c>
      <c r="C77" s="18" t="s">
        <v>413</v>
      </c>
      <c r="D77" s="19" t="s">
        <v>459</v>
      </c>
      <c r="E77" s="20">
        <v>2.84</v>
      </c>
      <c r="F77" s="23">
        <f t="shared" si="1"/>
        <v>1016.0951999999999</v>
      </c>
    </row>
    <row r="78" spans="1:6" x14ac:dyDescent="0.2">
      <c r="A78" s="21">
        <v>6706</v>
      </c>
      <c r="B78" s="17" t="s">
        <v>484</v>
      </c>
      <c r="C78" s="18" t="s">
        <v>413</v>
      </c>
      <c r="D78" s="19" t="s">
        <v>459</v>
      </c>
      <c r="E78" s="20">
        <v>2.11</v>
      </c>
      <c r="F78" s="23">
        <f t="shared" si="1"/>
        <v>754.91579999999988</v>
      </c>
    </row>
    <row r="79" spans="1:6" x14ac:dyDescent="0.2">
      <c r="A79" s="21">
        <v>6707</v>
      </c>
      <c r="B79" s="17" t="s">
        <v>485</v>
      </c>
      <c r="C79" s="18" t="s">
        <v>413</v>
      </c>
      <c r="D79" s="19" t="s">
        <v>459</v>
      </c>
      <c r="E79" s="20">
        <v>0.7</v>
      </c>
      <c r="F79" s="23">
        <f t="shared" si="1"/>
        <v>250.44599999999997</v>
      </c>
    </row>
    <row r="80" spans="1:6" x14ac:dyDescent="0.2">
      <c r="A80" s="21">
        <v>6709</v>
      </c>
      <c r="B80" s="17" t="s">
        <v>486</v>
      </c>
      <c r="C80" s="18" t="s">
        <v>413</v>
      </c>
      <c r="D80" s="19" t="s">
        <v>459</v>
      </c>
      <c r="E80" s="20">
        <v>1.28</v>
      </c>
      <c r="F80" s="23">
        <f t="shared" si="1"/>
        <v>457.95839999999998</v>
      </c>
    </row>
    <row r="81" spans="1:6" x14ac:dyDescent="0.2">
      <c r="A81" s="21">
        <v>6702</v>
      </c>
      <c r="B81" s="17" t="s">
        <v>487</v>
      </c>
      <c r="C81" s="18" t="s">
        <v>413</v>
      </c>
      <c r="D81" s="19" t="s">
        <v>459</v>
      </c>
      <c r="E81" s="20">
        <v>0.8</v>
      </c>
      <c r="F81" s="23">
        <f t="shared" si="1"/>
        <v>286.22399999999999</v>
      </c>
    </row>
    <row r="82" spans="1:6" x14ac:dyDescent="0.2">
      <c r="A82" s="21">
        <v>6703</v>
      </c>
      <c r="B82" s="17" t="s">
        <v>488</v>
      </c>
      <c r="C82" s="18" t="s">
        <v>413</v>
      </c>
      <c r="D82" s="19" t="s">
        <v>459</v>
      </c>
      <c r="E82" s="20">
        <v>0.8</v>
      </c>
      <c r="F82" s="23">
        <f t="shared" si="1"/>
        <v>286.22399999999999</v>
      </c>
    </row>
    <row r="83" spans="1:6" x14ac:dyDescent="0.2">
      <c r="A83" s="21">
        <v>6704</v>
      </c>
      <c r="B83" s="17" t="s">
        <v>489</v>
      </c>
      <c r="C83" s="18" t="s">
        <v>413</v>
      </c>
      <c r="D83" s="19" t="s">
        <v>459</v>
      </c>
      <c r="E83" s="20">
        <v>2</v>
      </c>
      <c r="F83" s="23">
        <f t="shared" si="1"/>
        <v>715.56</v>
      </c>
    </row>
    <row r="84" spans="1:6" x14ac:dyDescent="0.2">
      <c r="A84" s="21">
        <v>6705</v>
      </c>
      <c r="B84" s="17" t="s">
        <v>490</v>
      </c>
      <c r="C84" s="18" t="s">
        <v>413</v>
      </c>
      <c r="D84" s="19" t="s">
        <v>459</v>
      </c>
      <c r="E84" s="20">
        <v>2</v>
      </c>
      <c r="F84" s="23">
        <f t="shared" si="1"/>
        <v>715.56</v>
      </c>
    </row>
    <row r="85" spans="1:6" x14ac:dyDescent="0.2">
      <c r="A85" s="21">
        <v>6715</v>
      </c>
      <c r="B85" s="17" t="s">
        <v>491</v>
      </c>
      <c r="C85" s="18" t="s">
        <v>413</v>
      </c>
      <c r="D85" s="19" t="s">
        <v>459</v>
      </c>
      <c r="E85" s="20">
        <v>0.4</v>
      </c>
      <c r="F85" s="23">
        <f t="shared" si="1"/>
        <v>143.11199999999999</v>
      </c>
    </row>
    <row r="86" spans="1:6" x14ac:dyDescent="0.2">
      <c r="A86" s="21">
        <v>6718</v>
      </c>
      <c r="B86" s="17" t="s">
        <v>492</v>
      </c>
      <c r="C86" s="18" t="s">
        <v>413</v>
      </c>
      <c r="D86" s="19" t="s">
        <v>459</v>
      </c>
      <c r="E86" s="20">
        <v>0.36</v>
      </c>
      <c r="F86" s="23">
        <f t="shared" si="1"/>
        <v>128.80079999999998</v>
      </c>
    </row>
    <row r="87" spans="1:6" x14ac:dyDescent="0.2">
      <c r="A87" s="21">
        <v>6716</v>
      </c>
      <c r="B87" s="17" t="s">
        <v>493</v>
      </c>
      <c r="C87" s="18" t="s">
        <v>413</v>
      </c>
      <c r="D87" s="19" t="s">
        <v>459</v>
      </c>
      <c r="E87" s="20">
        <v>0.4</v>
      </c>
      <c r="F87" s="23">
        <f t="shared" si="1"/>
        <v>143.11199999999999</v>
      </c>
    </row>
    <row r="88" spans="1:6" x14ac:dyDescent="0.2">
      <c r="A88" s="21">
        <v>6717</v>
      </c>
      <c r="B88" s="17" t="s">
        <v>494</v>
      </c>
      <c r="C88" s="18" t="s">
        <v>413</v>
      </c>
      <c r="D88" s="19" t="s">
        <v>459</v>
      </c>
      <c r="E88" s="20">
        <v>0.36</v>
      </c>
      <c r="F88" s="23">
        <f t="shared" si="1"/>
        <v>128.80079999999998</v>
      </c>
    </row>
    <row r="89" spans="1:6" x14ac:dyDescent="0.2">
      <c r="A89" s="21">
        <v>6720</v>
      </c>
      <c r="B89" s="17" t="s">
        <v>495</v>
      </c>
      <c r="C89" s="18" t="s">
        <v>453</v>
      </c>
      <c r="D89" s="19" t="s">
        <v>459</v>
      </c>
      <c r="E89" s="20">
        <v>0.96</v>
      </c>
      <c r="F89" s="23">
        <f t="shared" si="1"/>
        <v>343.46879999999999</v>
      </c>
    </row>
    <row r="90" spans="1:6" x14ac:dyDescent="0.2">
      <c r="A90" s="21">
        <v>6721</v>
      </c>
      <c r="B90" s="17" t="s">
        <v>496</v>
      </c>
      <c r="C90" s="18" t="s">
        <v>413</v>
      </c>
      <c r="D90" s="19" t="s">
        <v>459</v>
      </c>
      <c r="E90" s="20">
        <v>0.28000000000000003</v>
      </c>
      <c r="F90" s="23">
        <f t="shared" si="1"/>
        <v>100.1784</v>
      </c>
    </row>
    <row r="91" spans="1:6" x14ac:dyDescent="0.2">
      <c r="A91" s="21">
        <v>6722</v>
      </c>
      <c r="B91" s="17" t="s">
        <v>497</v>
      </c>
      <c r="C91" s="18" t="s">
        <v>413</v>
      </c>
      <c r="D91" s="19" t="s">
        <v>459</v>
      </c>
      <c r="E91" s="20">
        <v>0.36</v>
      </c>
      <c r="F91" s="23">
        <f t="shared" si="1"/>
        <v>128.80079999999998</v>
      </c>
    </row>
    <row r="92" spans="1:6" x14ac:dyDescent="0.2">
      <c r="A92" s="21">
        <v>6724</v>
      </c>
      <c r="B92" s="17" t="s">
        <v>498</v>
      </c>
      <c r="C92" s="18" t="s">
        <v>413</v>
      </c>
      <c r="D92" s="19" t="s">
        <v>459</v>
      </c>
      <c r="E92" s="20">
        <v>4.5</v>
      </c>
      <c r="F92" s="23">
        <f t="shared" si="1"/>
        <v>1610.0099999999998</v>
      </c>
    </row>
    <row r="93" spans="1:6" x14ac:dyDescent="0.2">
      <c r="A93" s="21">
        <v>6723</v>
      </c>
      <c r="B93" s="17" t="s">
        <v>499</v>
      </c>
      <c r="C93" s="18" t="s">
        <v>413</v>
      </c>
      <c r="D93" s="19" t="s">
        <v>459</v>
      </c>
      <c r="E93" s="20">
        <v>1.7</v>
      </c>
      <c r="F93" s="23">
        <f t="shared" si="1"/>
        <v>608.22599999999989</v>
      </c>
    </row>
    <row r="94" spans="1:6" x14ac:dyDescent="0.2">
      <c r="A94" s="21">
        <v>6726</v>
      </c>
      <c r="B94" s="17" t="s">
        <v>500</v>
      </c>
      <c r="C94" s="18" t="s">
        <v>413</v>
      </c>
      <c r="D94" s="19" t="s">
        <v>459</v>
      </c>
      <c r="E94" s="20">
        <v>2.11</v>
      </c>
      <c r="F94" s="23">
        <f t="shared" si="1"/>
        <v>754.91579999999988</v>
      </c>
    </row>
    <row r="95" spans="1:6" x14ac:dyDescent="0.2">
      <c r="A95" s="21">
        <v>6725</v>
      </c>
      <c r="B95" s="17" t="s">
        <v>501</v>
      </c>
      <c r="C95" s="18" t="s">
        <v>413</v>
      </c>
      <c r="D95" s="19" t="s">
        <v>459</v>
      </c>
      <c r="E95" s="20">
        <v>2.9</v>
      </c>
      <c r="F95" s="23">
        <f t="shared" si="1"/>
        <v>1037.5619999999999</v>
      </c>
    </row>
    <row r="96" spans="1:6" x14ac:dyDescent="0.2">
      <c r="A96" s="21">
        <v>6694</v>
      </c>
      <c r="B96" s="17" t="s">
        <v>502</v>
      </c>
      <c r="C96" s="18" t="s">
        <v>413</v>
      </c>
      <c r="D96" s="19" t="s">
        <v>459</v>
      </c>
      <c r="E96" s="20">
        <v>0.35</v>
      </c>
      <c r="F96" s="23">
        <f t="shared" si="1"/>
        <v>125.22299999999998</v>
      </c>
    </row>
    <row r="97" spans="1:6" x14ac:dyDescent="0.2">
      <c r="A97" s="21">
        <v>6727</v>
      </c>
      <c r="B97" s="17" t="s">
        <v>503</v>
      </c>
      <c r="C97" s="18" t="s">
        <v>413</v>
      </c>
      <c r="D97" s="19" t="s">
        <v>459</v>
      </c>
      <c r="E97" s="20">
        <v>8</v>
      </c>
      <c r="F97" s="23">
        <f t="shared" si="1"/>
        <v>2862.24</v>
      </c>
    </row>
    <row r="98" spans="1:6" x14ac:dyDescent="0.2">
      <c r="A98" s="21">
        <v>6728</v>
      </c>
      <c r="B98" s="17" t="s">
        <v>504</v>
      </c>
      <c r="C98" s="18" t="s">
        <v>413</v>
      </c>
      <c r="D98" s="19" t="s">
        <v>459</v>
      </c>
      <c r="E98" s="20">
        <v>11</v>
      </c>
      <c r="F98" s="23">
        <f t="shared" si="1"/>
        <v>3935.58</v>
      </c>
    </row>
    <row r="99" spans="1:6" x14ac:dyDescent="0.2">
      <c r="A99" s="21">
        <v>6710</v>
      </c>
      <c r="B99" s="17" t="s">
        <v>505</v>
      </c>
      <c r="C99" s="18" t="s">
        <v>413</v>
      </c>
      <c r="D99" s="19" t="s">
        <v>459</v>
      </c>
      <c r="E99" s="20">
        <v>1.46</v>
      </c>
      <c r="F99" s="23">
        <f t="shared" si="1"/>
        <v>522.35879999999997</v>
      </c>
    </row>
    <row r="100" spans="1:6" x14ac:dyDescent="0.2">
      <c r="A100" s="21">
        <v>6696</v>
      </c>
      <c r="B100" s="17" t="s">
        <v>506</v>
      </c>
      <c r="C100" s="18" t="s">
        <v>413</v>
      </c>
      <c r="D100" s="19" t="s">
        <v>459</v>
      </c>
      <c r="E100" s="20">
        <v>0.2</v>
      </c>
      <c r="F100" s="23">
        <f t="shared" si="1"/>
        <v>71.555999999999997</v>
      </c>
    </row>
    <row r="101" spans="1:6" x14ac:dyDescent="0.2">
      <c r="A101" s="21">
        <v>6708</v>
      </c>
      <c r="B101" s="17" t="s">
        <v>507</v>
      </c>
      <c r="C101" s="18" t="s">
        <v>413</v>
      </c>
      <c r="D101" s="19" t="s">
        <v>459</v>
      </c>
      <c r="E101" s="20">
        <v>1.34</v>
      </c>
      <c r="F101" s="23">
        <f t="shared" si="1"/>
        <v>479.42520000000002</v>
      </c>
    </row>
    <row r="102" spans="1:6" x14ac:dyDescent="0.2">
      <c r="A102" s="21">
        <v>7953</v>
      </c>
      <c r="B102" s="17" t="s">
        <v>508</v>
      </c>
      <c r="C102" s="18" t="s">
        <v>413</v>
      </c>
      <c r="D102" s="19" t="s">
        <v>459</v>
      </c>
      <c r="E102" s="20">
        <v>0.48</v>
      </c>
      <c r="F102" s="23">
        <f t="shared" si="1"/>
        <v>171.73439999999999</v>
      </c>
    </row>
    <row r="103" spans="1:6" x14ac:dyDescent="0.2">
      <c r="A103" s="21">
        <v>7954</v>
      </c>
      <c r="B103" s="17" t="s">
        <v>509</v>
      </c>
      <c r="C103" s="18" t="s">
        <v>413</v>
      </c>
      <c r="D103" s="19" t="s">
        <v>459</v>
      </c>
      <c r="E103" s="20">
        <v>0.48</v>
      </c>
      <c r="F103" s="23">
        <f t="shared" si="1"/>
        <v>171.73439999999999</v>
      </c>
    </row>
    <row r="104" spans="1:6" ht="13.5" customHeight="1" x14ac:dyDescent="0.2">
      <c r="A104" s="21">
        <v>92322</v>
      </c>
      <c r="B104" s="17" t="s">
        <v>510</v>
      </c>
      <c r="C104" s="18" t="s">
        <v>511</v>
      </c>
      <c r="D104" s="19" t="s">
        <v>459</v>
      </c>
      <c r="E104" s="20">
        <v>0.01</v>
      </c>
      <c r="F104" s="23">
        <f t="shared" si="1"/>
        <v>3.5777999999999999</v>
      </c>
    </row>
    <row r="105" spans="1:6" x14ac:dyDescent="0.2">
      <c r="A105" s="21">
        <v>6612</v>
      </c>
      <c r="B105" s="17" t="s">
        <v>512</v>
      </c>
      <c r="C105" s="18" t="s">
        <v>458</v>
      </c>
      <c r="D105" s="19" t="s">
        <v>459</v>
      </c>
      <c r="E105" s="20">
        <v>0.5</v>
      </c>
      <c r="F105" s="23">
        <f t="shared" si="1"/>
        <v>178.89</v>
      </c>
    </row>
    <row r="106" spans="1:6" x14ac:dyDescent="0.2">
      <c r="A106" s="21">
        <v>6733</v>
      </c>
      <c r="B106" s="17" t="s">
        <v>513</v>
      </c>
      <c r="C106" s="18" t="s">
        <v>413</v>
      </c>
      <c r="D106" s="19" t="s">
        <v>459</v>
      </c>
      <c r="E106" s="20">
        <v>0.45</v>
      </c>
      <c r="F106" s="23">
        <f t="shared" si="1"/>
        <v>161.001</v>
      </c>
    </row>
    <row r="107" spans="1:6" x14ac:dyDescent="0.2">
      <c r="A107" s="21">
        <v>6734</v>
      </c>
      <c r="B107" s="17" t="s">
        <v>514</v>
      </c>
      <c r="C107" s="18" t="s">
        <v>413</v>
      </c>
      <c r="D107" s="19" t="s">
        <v>459</v>
      </c>
      <c r="E107" s="20">
        <v>0.1</v>
      </c>
      <c r="F107" s="23">
        <f t="shared" si="1"/>
        <v>35.777999999999999</v>
      </c>
    </row>
    <row r="108" spans="1:6" x14ac:dyDescent="0.2">
      <c r="A108" s="21">
        <v>6843</v>
      </c>
      <c r="B108" s="17" t="s">
        <v>515</v>
      </c>
      <c r="C108" s="18" t="s">
        <v>413</v>
      </c>
      <c r="D108" s="19" t="s">
        <v>459</v>
      </c>
      <c r="E108" s="20">
        <v>1.1200000000000001</v>
      </c>
      <c r="F108" s="23">
        <f t="shared" si="1"/>
        <v>400.71359999999999</v>
      </c>
    </row>
    <row r="109" spans="1:6" x14ac:dyDescent="0.2">
      <c r="A109" s="21">
        <v>6843</v>
      </c>
      <c r="B109" s="17" t="s">
        <v>515</v>
      </c>
      <c r="C109" s="18" t="s">
        <v>413</v>
      </c>
      <c r="D109" s="19" t="s">
        <v>408</v>
      </c>
      <c r="E109" s="20">
        <v>0.48</v>
      </c>
      <c r="F109" s="23">
        <f t="shared" si="1"/>
        <v>171.73439999999999</v>
      </c>
    </row>
    <row r="110" spans="1:6" x14ac:dyDescent="0.2">
      <c r="A110" s="21">
        <v>6845</v>
      </c>
      <c r="B110" s="17" t="s">
        <v>516</v>
      </c>
      <c r="C110" s="18" t="s">
        <v>413</v>
      </c>
      <c r="D110" s="19" t="s">
        <v>459</v>
      </c>
      <c r="E110" s="20">
        <v>1.19</v>
      </c>
      <c r="F110" s="23">
        <f t="shared" si="1"/>
        <v>425.75819999999993</v>
      </c>
    </row>
    <row r="111" spans="1:6" x14ac:dyDescent="0.2">
      <c r="A111" s="21">
        <v>6845</v>
      </c>
      <c r="B111" s="17" t="s">
        <v>516</v>
      </c>
      <c r="C111" s="18" t="s">
        <v>413</v>
      </c>
      <c r="D111" s="19" t="s">
        <v>408</v>
      </c>
      <c r="E111" s="20">
        <v>0.51</v>
      </c>
      <c r="F111" s="23">
        <f t="shared" si="1"/>
        <v>182.46779999999998</v>
      </c>
    </row>
    <row r="112" spans="1:6" x14ac:dyDescent="0.2">
      <c r="A112" s="21">
        <v>6855</v>
      </c>
      <c r="B112" s="17" t="s">
        <v>517</v>
      </c>
      <c r="C112" s="18" t="s">
        <v>413</v>
      </c>
      <c r="D112" s="19" t="s">
        <v>459</v>
      </c>
      <c r="E112" s="20">
        <v>1.19</v>
      </c>
      <c r="F112" s="23">
        <f t="shared" si="1"/>
        <v>425.75819999999993</v>
      </c>
    </row>
    <row r="113" spans="1:6" x14ac:dyDescent="0.2">
      <c r="A113" s="21">
        <v>6855</v>
      </c>
      <c r="B113" s="17" t="s">
        <v>517</v>
      </c>
      <c r="C113" s="18" t="s">
        <v>413</v>
      </c>
      <c r="D113" s="19" t="s">
        <v>408</v>
      </c>
      <c r="E113" s="20">
        <v>0.51</v>
      </c>
      <c r="F113" s="23">
        <f t="shared" si="1"/>
        <v>182.46779999999998</v>
      </c>
    </row>
    <row r="114" spans="1:6" x14ac:dyDescent="0.2">
      <c r="A114" s="21">
        <v>6846</v>
      </c>
      <c r="B114" s="17" t="s">
        <v>518</v>
      </c>
      <c r="C114" s="18" t="s">
        <v>413</v>
      </c>
      <c r="D114" s="19" t="s">
        <v>459</v>
      </c>
      <c r="E114" s="20">
        <v>10.5</v>
      </c>
      <c r="F114" s="23">
        <f t="shared" si="1"/>
        <v>3756.6899999999996</v>
      </c>
    </row>
    <row r="115" spans="1:6" x14ac:dyDescent="0.2">
      <c r="A115" s="21">
        <v>6846</v>
      </c>
      <c r="B115" s="17" t="s">
        <v>518</v>
      </c>
      <c r="C115" s="18" t="s">
        <v>413</v>
      </c>
      <c r="D115" s="19" t="s">
        <v>408</v>
      </c>
      <c r="E115" s="20">
        <v>4.5</v>
      </c>
      <c r="F115" s="23">
        <f t="shared" si="1"/>
        <v>1610.0099999999998</v>
      </c>
    </row>
    <row r="116" spans="1:6" x14ac:dyDescent="0.2">
      <c r="A116" s="21">
        <v>6844</v>
      </c>
      <c r="B116" s="17" t="s">
        <v>519</v>
      </c>
      <c r="C116" s="18" t="s">
        <v>413</v>
      </c>
      <c r="D116" s="19" t="s">
        <v>459</v>
      </c>
      <c r="E116" s="20">
        <v>0.91</v>
      </c>
      <c r="F116" s="23">
        <f t="shared" si="1"/>
        <v>325.57979999999998</v>
      </c>
    </row>
    <row r="117" spans="1:6" x14ac:dyDescent="0.2">
      <c r="A117" s="21">
        <v>6844</v>
      </c>
      <c r="B117" s="17" t="s">
        <v>519</v>
      </c>
      <c r="C117" s="18" t="s">
        <v>413</v>
      </c>
      <c r="D117" s="19" t="s">
        <v>408</v>
      </c>
      <c r="E117" s="20">
        <v>0.39</v>
      </c>
      <c r="F117" s="23">
        <f t="shared" si="1"/>
        <v>139.5342</v>
      </c>
    </row>
    <row r="118" spans="1:6" x14ac:dyDescent="0.2">
      <c r="A118" s="21">
        <v>6854</v>
      </c>
      <c r="B118" s="17" t="s">
        <v>520</v>
      </c>
      <c r="C118" s="18" t="s">
        <v>413</v>
      </c>
      <c r="D118" s="19" t="s">
        <v>459</v>
      </c>
      <c r="E118" s="20">
        <v>0.91</v>
      </c>
      <c r="F118" s="23">
        <f t="shared" si="1"/>
        <v>325.57979999999998</v>
      </c>
    </row>
    <row r="119" spans="1:6" x14ac:dyDescent="0.2">
      <c r="A119" s="21">
        <v>6854</v>
      </c>
      <c r="B119" s="17" t="s">
        <v>520</v>
      </c>
      <c r="C119" s="18" t="s">
        <v>413</v>
      </c>
      <c r="D119" s="19" t="s">
        <v>408</v>
      </c>
      <c r="E119" s="20">
        <v>0.39</v>
      </c>
      <c r="F119" s="23">
        <f t="shared" si="1"/>
        <v>139.5342</v>
      </c>
    </row>
    <row r="120" spans="1:6" x14ac:dyDescent="0.2">
      <c r="A120" s="21">
        <v>6853</v>
      </c>
      <c r="B120" s="17" t="s">
        <v>521</v>
      </c>
      <c r="C120" s="18" t="s">
        <v>413</v>
      </c>
      <c r="D120" s="19" t="s">
        <v>459</v>
      </c>
      <c r="E120" s="20">
        <v>0.91</v>
      </c>
      <c r="F120" s="23">
        <f t="shared" si="1"/>
        <v>325.57979999999998</v>
      </c>
    </row>
    <row r="121" spans="1:6" x14ac:dyDescent="0.2">
      <c r="A121" s="21">
        <v>6853</v>
      </c>
      <c r="B121" s="17" t="s">
        <v>521</v>
      </c>
      <c r="C121" s="18" t="s">
        <v>413</v>
      </c>
      <c r="D121" s="19" t="s">
        <v>408</v>
      </c>
      <c r="E121" s="20">
        <v>0.39</v>
      </c>
      <c r="F121" s="23">
        <f t="shared" si="1"/>
        <v>139.5342</v>
      </c>
    </row>
    <row r="122" spans="1:6" x14ac:dyDescent="0.2">
      <c r="A122" s="21">
        <v>6679</v>
      </c>
      <c r="B122" s="17" t="s">
        <v>522</v>
      </c>
      <c r="C122" s="18" t="s">
        <v>413</v>
      </c>
      <c r="D122" s="19" t="s">
        <v>459</v>
      </c>
      <c r="E122" s="20">
        <v>0.14000000000000001</v>
      </c>
      <c r="F122" s="23">
        <f t="shared" si="1"/>
        <v>50.089199999999998</v>
      </c>
    </row>
    <row r="123" spans="1:6" x14ac:dyDescent="0.2">
      <c r="A123" s="21">
        <v>6679</v>
      </c>
      <c r="B123" s="17" t="s">
        <v>522</v>
      </c>
      <c r="C123" s="18" t="s">
        <v>413</v>
      </c>
      <c r="D123" s="19" t="s">
        <v>408</v>
      </c>
      <c r="E123" s="20">
        <v>0.06</v>
      </c>
      <c r="F123" s="23">
        <f t="shared" si="1"/>
        <v>21.466799999999999</v>
      </c>
    </row>
    <row r="124" spans="1:6" x14ac:dyDescent="0.2">
      <c r="A124" s="21">
        <v>6678</v>
      </c>
      <c r="B124" s="17" t="s">
        <v>523</v>
      </c>
      <c r="C124" s="18" t="s">
        <v>413</v>
      </c>
      <c r="D124" s="19" t="s">
        <v>459</v>
      </c>
      <c r="E124" s="20">
        <v>0.28000000000000003</v>
      </c>
      <c r="F124" s="23">
        <f t="shared" si="1"/>
        <v>100.1784</v>
      </c>
    </row>
    <row r="125" spans="1:6" x14ac:dyDescent="0.2">
      <c r="A125" s="21">
        <v>6678</v>
      </c>
      <c r="B125" s="17" t="s">
        <v>523</v>
      </c>
      <c r="C125" s="18" t="s">
        <v>413</v>
      </c>
      <c r="D125" s="19" t="s">
        <v>408</v>
      </c>
      <c r="E125" s="20">
        <v>0.12</v>
      </c>
      <c r="F125" s="23">
        <f t="shared" si="1"/>
        <v>42.933599999999998</v>
      </c>
    </row>
    <row r="126" spans="1:6" x14ac:dyDescent="0.2">
      <c r="A126" s="21">
        <v>6848</v>
      </c>
      <c r="B126" s="17" t="s">
        <v>524</v>
      </c>
      <c r="C126" s="18" t="s">
        <v>413</v>
      </c>
      <c r="D126" s="19" t="s">
        <v>459</v>
      </c>
      <c r="E126" s="20">
        <v>0.91</v>
      </c>
      <c r="F126" s="23">
        <f t="shared" si="1"/>
        <v>325.57979999999998</v>
      </c>
    </row>
    <row r="127" spans="1:6" x14ac:dyDescent="0.2">
      <c r="A127" s="21">
        <v>6848</v>
      </c>
      <c r="B127" s="17" t="s">
        <v>524</v>
      </c>
      <c r="C127" s="18" t="s">
        <v>413</v>
      </c>
      <c r="D127" s="19" t="s">
        <v>408</v>
      </c>
      <c r="E127" s="20">
        <v>0.39</v>
      </c>
      <c r="F127" s="23">
        <f t="shared" si="1"/>
        <v>139.5342</v>
      </c>
    </row>
    <row r="128" spans="1:6" x14ac:dyDescent="0.2">
      <c r="A128" s="21">
        <v>6849</v>
      </c>
      <c r="B128" s="17" t="s">
        <v>525</v>
      </c>
      <c r="C128" s="18" t="s">
        <v>413</v>
      </c>
      <c r="D128" s="19" t="s">
        <v>459</v>
      </c>
      <c r="E128" s="20">
        <v>4.2</v>
      </c>
      <c r="F128" s="23">
        <f t="shared" si="1"/>
        <v>1502.6759999999999</v>
      </c>
    </row>
    <row r="129" spans="1:6" x14ac:dyDescent="0.2">
      <c r="A129" s="21">
        <v>6849</v>
      </c>
      <c r="B129" s="17" t="s">
        <v>525</v>
      </c>
      <c r="C129" s="18" t="s">
        <v>413</v>
      </c>
      <c r="D129" s="19" t="s">
        <v>408</v>
      </c>
      <c r="E129" s="20">
        <v>1.8</v>
      </c>
      <c r="F129" s="23">
        <f t="shared" si="1"/>
        <v>644.00400000000002</v>
      </c>
    </row>
    <row r="130" spans="1:6" x14ac:dyDescent="0.2">
      <c r="A130" s="21">
        <v>6856</v>
      </c>
      <c r="B130" s="17" t="s">
        <v>526</v>
      </c>
      <c r="C130" s="18" t="s">
        <v>413</v>
      </c>
      <c r="D130" s="19" t="s">
        <v>459</v>
      </c>
      <c r="E130" s="20">
        <v>4.2</v>
      </c>
      <c r="F130" s="23">
        <f t="shared" si="1"/>
        <v>1502.6759999999999</v>
      </c>
    </row>
    <row r="131" spans="1:6" x14ac:dyDescent="0.2">
      <c r="A131" s="21">
        <v>6856</v>
      </c>
      <c r="B131" s="17" t="s">
        <v>526</v>
      </c>
      <c r="C131" s="18" t="s">
        <v>413</v>
      </c>
      <c r="D131" s="19" t="s">
        <v>408</v>
      </c>
      <c r="E131" s="20">
        <v>1.8</v>
      </c>
      <c r="F131" s="23">
        <f t="shared" si="1"/>
        <v>644.00400000000002</v>
      </c>
    </row>
    <row r="132" spans="1:6" x14ac:dyDescent="0.2">
      <c r="A132" s="21">
        <v>6850</v>
      </c>
      <c r="B132" s="17" t="s">
        <v>527</v>
      </c>
      <c r="C132" s="18" t="s">
        <v>413</v>
      </c>
      <c r="D132" s="19" t="s">
        <v>459</v>
      </c>
      <c r="E132" s="20">
        <v>9.8000000000000007</v>
      </c>
      <c r="F132" s="23">
        <f t="shared" si="1"/>
        <v>3506.2440000000001</v>
      </c>
    </row>
    <row r="133" spans="1:6" x14ac:dyDescent="0.2">
      <c r="A133" s="21">
        <v>6850</v>
      </c>
      <c r="B133" s="17" t="s">
        <v>527</v>
      </c>
      <c r="C133" s="18" t="s">
        <v>413</v>
      </c>
      <c r="D133" s="19" t="s">
        <v>408</v>
      </c>
      <c r="E133" s="20">
        <v>4.2</v>
      </c>
      <c r="F133" s="23">
        <f t="shared" si="1"/>
        <v>1502.6759999999999</v>
      </c>
    </row>
    <row r="134" spans="1:6" x14ac:dyDescent="0.2">
      <c r="A134" s="21">
        <v>6851</v>
      </c>
      <c r="B134" s="17" t="s">
        <v>528</v>
      </c>
      <c r="C134" s="18" t="s">
        <v>413</v>
      </c>
      <c r="D134" s="19" t="s">
        <v>459</v>
      </c>
      <c r="E134" s="20">
        <v>7</v>
      </c>
      <c r="F134" s="23">
        <f t="shared" si="1"/>
        <v>2504.46</v>
      </c>
    </row>
    <row r="135" spans="1:6" x14ac:dyDescent="0.2">
      <c r="A135" s="21">
        <v>6851</v>
      </c>
      <c r="B135" s="17" t="s">
        <v>528</v>
      </c>
      <c r="C135" s="18" t="s">
        <v>413</v>
      </c>
      <c r="D135" s="19" t="s">
        <v>408</v>
      </c>
      <c r="E135" s="20">
        <v>3</v>
      </c>
      <c r="F135" s="23">
        <f t="shared" si="1"/>
        <v>1073.3399999999999</v>
      </c>
    </row>
    <row r="136" spans="1:6" x14ac:dyDescent="0.2">
      <c r="A136" s="21">
        <v>6852</v>
      </c>
      <c r="B136" s="17" t="s">
        <v>529</v>
      </c>
      <c r="C136" s="18" t="s">
        <v>413</v>
      </c>
      <c r="D136" s="19" t="s">
        <v>459</v>
      </c>
      <c r="E136" s="20">
        <v>9.8000000000000007</v>
      </c>
      <c r="F136" s="23">
        <f t="shared" si="1"/>
        <v>3506.2440000000001</v>
      </c>
    </row>
    <row r="137" spans="1:6" x14ac:dyDescent="0.2">
      <c r="A137" s="21">
        <v>6852</v>
      </c>
      <c r="B137" s="17" t="s">
        <v>529</v>
      </c>
      <c r="C137" s="18" t="s">
        <v>413</v>
      </c>
      <c r="D137" s="19" t="s">
        <v>408</v>
      </c>
      <c r="E137" s="20">
        <v>4.2</v>
      </c>
      <c r="F137" s="23">
        <f t="shared" ref="F137:F200" si="2">E137*F$4</f>
        <v>1502.6759999999999</v>
      </c>
    </row>
    <row r="138" spans="1:6" x14ac:dyDescent="0.2">
      <c r="A138" s="21">
        <v>6738</v>
      </c>
      <c r="B138" s="17" t="s">
        <v>530</v>
      </c>
      <c r="C138" s="18" t="s">
        <v>453</v>
      </c>
      <c r="D138" s="19" t="s">
        <v>459</v>
      </c>
      <c r="E138" s="20">
        <v>1.1200000000000001</v>
      </c>
      <c r="F138" s="23">
        <f t="shared" si="2"/>
        <v>400.71359999999999</v>
      </c>
    </row>
    <row r="139" spans="1:6" x14ac:dyDescent="0.2">
      <c r="A139" s="21">
        <v>6738</v>
      </c>
      <c r="B139" s="17" t="s">
        <v>530</v>
      </c>
      <c r="C139" s="18" t="s">
        <v>453</v>
      </c>
      <c r="D139" s="19" t="s">
        <v>408</v>
      </c>
      <c r="E139" s="20">
        <v>0.48</v>
      </c>
      <c r="F139" s="23">
        <f t="shared" si="2"/>
        <v>171.73439999999999</v>
      </c>
    </row>
    <row r="140" spans="1:6" x14ac:dyDescent="0.2">
      <c r="A140" s="21">
        <v>6739</v>
      </c>
      <c r="B140" s="17" t="s">
        <v>531</v>
      </c>
      <c r="C140" s="18" t="s">
        <v>453</v>
      </c>
      <c r="D140" s="19" t="s">
        <v>459</v>
      </c>
      <c r="E140" s="20">
        <v>1.1200000000000001</v>
      </c>
      <c r="F140" s="23">
        <f t="shared" si="2"/>
        <v>400.71359999999999</v>
      </c>
    </row>
    <row r="141" spans="1:6" x14ac:dyDescent="0.2">
      <c r="A141" s="21">
        <v>6739</v>
      </c>
      <c r="B141" s="17" t="s">
        <v>531</v>
      </c>
      <c r="C141" s="18" t="s">
        <v>453</v>
      </c>
      <c r="D141" s="19" t="s">
        <v>408</v>
      </c>
      <c r="E141" s="20">
        <v>0.48</v>
      </c>
      <c r="F141" s="23">
        <f t="shared" si="2"/>
        <v>171.73439999999999</v>
      </c>
    </row>
    <row r="142" spans="1:6" x14ac:dyDescent="0.2">
      <c r="A142" s="21">
        <v>6740</v>
      </c>
      <c r="B142" s="17" t="s">
        <v>532</v>
      </c>
      <c r="C142" s="18" t="s">
        <v>453</v>
      </c>
      <c r="D142" s="19" t="s">
        <v>459</v>
      </c>
      <c r="E142" s="20">
        <v>1.1200000000000001</v>
      </c>
      <c r="F142" s="23">
        <f t="shared" si="2"/>
        <v>400.71359999999999</v>
      </c>
    </row>
    <row r="143" spans="1:6" x14ac:dyDescent="0.2">
      <c r="A143" s="21">
        <v>6740</v>
      </c>
      <c r="B143" s="17" t="s">
        <v>532</v>
      </c>
      <c r="C143" s="18" t="s">
        <v>453</v>
      </c>
      <c r="D143" s="19" t="s">
        <v>408</v>
      </c>
      <c r="E143" s="20">
        <v>0.48</v>
      </c>
      <c r="F143" s="23">
        <f t="shared" si="2"/>
        <v>171.73439999999999</v>
      </c>
    </row>
    <row r="144" spans="1:6" x14ac:dyDescent="0.2">
      <c r="A144" s="21">
        <v>6748</v>
      </c>
      <c r="B144" s="17" t="s">
        <v>533</v>
      </c>
      <c r="C144" s="18" t="s">
        <v>413</v>
      </c>
      <c r="D144" s="19" t="s">
        <v>459</v>
      </c>
      <c r="E144" s="20">
        <v>0.35</v>
      </c>
      <c r="F144" s="23">
        <f t="shared" si="2"/>
        <v>125.22299999999998</v>
      </c>
    </row>
    <row r="145" spans="1:6" x14ac:dyDescent="0.2">
      <c r="A145" s="21">
        <v>6748</v>
      </c>
      <c r="B145" s="17" t="s">
        <v>533</v>
      </c>
      <c r="C145" s="18" t="s">
        <v>413</v>
      </c>
      <c r="D145" s="19" t="s">
        <v>408</v>
      </c>
      <c r="E145" s="20">
        <v>0.15</v>
      </c>
      <c r="F145" s="23">
        <f t="shared" si="2"/>
        <v>53.666999999999994</v>
      </c>
    </row>
    <row r="146" spans="1:6" x14ac:dyDescent="0.2">
      <c r="A146" s="21">
        <v>6745</v>
      </c>
      <c r="B146" s="17" t="s">
        <v>534</v>
      </c>
      <c r="C146" s="18" t="s">
        <v>413</v>
      </c>
      <c r="D146" s="19" t="s">
        <v>459</v>
      </c>
      <c r="E146" s="20">
        <v>1.19</v>
      </c>
      <c r="F146" s="23">
        <f t="shared" si="2"/>
        <v>425.75819999999993</v>
      </c>
    </row>
    <row r="147" spans="1:6" x14ac:dyDescent="0.2">
      <c r="A147" s="21">
        <v>6745</v>
      </c>
      <c r="B147" s="17" t="s">
        <v>534</v>
      </c>
      <c r="C147" s="18" t="s">
        <v>413</v>
      </c>
      <c r="D147" s="19" t="s">
        <v>408</v>
      </c>
      <c r="E147" s="20">
        <v>0.51</v>
      </c>
      <c r="F147" s="23">
        <f t="shared" si="2"/>
        <v>182.46779999999998</v>
      </c>
    </row>
    <row r="148" spans="1:6" x14ac:dyDescent="0.2">
      <c r="A148" s="21">
        <v>6746</v>
      </c>
      <c r="B148" s="17" t="s">
        <v>535</v>
      </c>
      <c r="C148" s="18" t="s">
        <v>413</v>
      </c>
      <c r="D148" s="19" t="s">
        <v>459</v>
      </c>
      <c r="E148" s="20">
        <v>1.19</v>
      </c>
      <c r="F148" s="23">
        <f t="shared" si="2"/>
        <v>425.75819999999993</v>
      </c>
    </row>
    <row r="149" spans="1:6" x14ac:dyDescent="0.2">
      <c r="A149" s="21">
        <v>6746</v>
      </c>
      <c r="B149" s="17" t="s">
        <v>535</v>
      </c>
      <c r="C149" s="18" t="s">
        <v>413</v>
      </c>
      <c r="D149" s="19" t="s">
        <v>408</v>
      </c>
      <c r="E149" s="20">
        <v>0.51</v>
      </c>
      <c r="F149" s="23">
        <f t="shared" si="2"/>
        <v>182.46779999999998</v>
      </c>
    </row>
    <row r="150" spans="1:6" x14ac:dyDescent="0.2">
      <c r="A150" s="21">
        <v>6743</v>
      </c>
      <c r="B150" s="17" t="s">
        <v>536</v>
      </c>
      <c r="C150" s="18" t="s">
        <v>413</v>
      </c>
      <c r="D150" s="19" t="s">
        <v>459</v>
      </c>
      <c r="E150" s="20">
        <v>0.91</v>
      </c>
      <c r="F150" s="23">
        <f t="shared" si="2"/>
        <v>325.57979999999998</v>
      </c>
    </row>
    <row r="151" spans="1:6" x14ac:dyDescent="0.2">
      <c r="A151" s="21">
        <v>6743</v>
      </c>
      <c r="B151" s="17" t="s">
        <v>536</v>
      </c>
      <c r="C151" s="18" t="s">
        <v>413</v>
      </c>
      <c r="D151" s="19" t="s">
        <v>408</v>
      </c>
      <c r="E151" s="20">
        <v>0.39</v>
      </c>
      <c r="F151" s="23">
        <f t="shared" si="2"/>
        <v>139.5342</v>
      </c>
    </row>
    <row r="152" spans="1:6" x14ac:dyDescent="0.2">
      <c r="A152" s="21">
        <v>6744</v>
      </c>
      <c r="B152" s="17" t="s">
        <v>537</v>
      </c>
      <c r="C152" s="18" t="s">
        <v>413</v>
      </c>
      <c r="D152" s="19" t="s">
        <v>459</v>
      </c>
      <c r="E152" s="20">
        <v>0.91</v>
      </c>
      <c r="F152" s="23">
        <f t="shared" si="2"/>
        <v>325.57979999999998</v>
      </c>
    </row>
    <row r="153" spans="1:6" x14ac:dyDescent="0.2">
      <c r="A153" s="21">
        <v>6744</v>
      </c>
      <c r="B153" s="17" t="s">
        <v>537</v>
      </c>
      <c r="C153" s="18" t="s">
        <v>413</v>
      </c>
      <c r="D153" s="19" t="s">
        <v>408</v>
      </c>
      <c r="E153" s="20">
        <v>0.39</v>
      </c>
      <c r="F153" s="23">
        <f t="shared" si="2"/>
        <v>139.5342</v>
      </c>
    </row>
    <row r="154" spans="1:6" x14ac:dyDescent="0.2">
      <c r="A154" s="21">
        <v>6742</v>
      </c>
      <c r="B154" s="17" t="s">
        <v>538</v>
      </c>
      <c r="C154" s="18" t="s">
        <v>413</v>
      </c>
      <c r="D154" s="19" t="s">
        <v>459</v>
      </c>
      <c r="E154" s="20">
        <v>0.91</v>
      </c>
      <c r="F154" s="23">
        <f t="shared" si="2"/>
        <v>325.57979999999998</v>
      </c>
    </row>
    <row r="155" spans="1:6" x14ac:dyDescent="0.2">
      <c r="A155" s="21">
        <v>6742</v>
      </c>
      <c r="B155" s="17" t="s">
        <v>538</v>
      </c>
      <c r="C155" s="18" t="s">
        <v>413</v>
      </c>
      <c r="D155" s="19" t="s">
        <v>408</v>
      </c>
      <c r="E155" s="20">
        <v>0.39</v>
      </c>
      <c r="F155" s="23">
        <f t="shared" si="2"/>
        <v>139.5342</v>
      </c>
    </row>
    <row r="156" spans="1:6" x14ac:dyDescent="0.2">
      <c r="A156" s="21">
        <v>6741</v>
      </c>
      <c r="B156" s="17" t="s">
        <v>539</v>
      </c>
      <c r="C156" s="18" t="s">
        <v>413</v>
      </c>
      <c r="D156" s="19" t="s">
        <v>459</v>
      </c>
      <c r="E156" s="20">
        <v>10.5</v>
      </c>
      <c r="F156" s="23">
        <f t="shared" si="2"/>
        <v>3756.6899999999996</v>
      </c>
    </row>
    <row r="157" spans="1:6" x14ac:dyDescent="0.2">
      <c r="A157" s="21">
        <v>6741</v>
      </c>
      <c r="B157" s="17" t="s">
        <v>539</v>
      </c>
      <c r="C157" s="18" t="s">
        <v>413</v>
      </c>
      <c r="D157" s="19" t="s">
        <v>408</v>
      </c>
      <c r="E157" s="20">
        <v>4.5</v>
      </c>
      <c r="F157" s="23">
        <f t="shared" si="2"/>
        <v>1610.0099999999998</v>
      </c>
    </row>
    <row r="158" spans="1:6" x14ac:dyDescent="0.2">
      <c r="A158" s="21">
        <v>6747</v>
      </c>
      <c r="B158" s="17" t="s">
        <v>540</v>
      </c>
      <c r="C158" s="18" t="s">
        <v>413</v>
      </c>
      <c r="D158" s="19" t="s">
        <v>459</v>
      </c>
      <c r="E158" s="20">
        <v>0.18</v>
      </c>
      <c r="F158" s="23">
        <f t="shared" si="2"/>
        <v>64.400399999999991</v>
      </c>
    </row>
    <row r="159" spans="1:6" x14ac:dyDescent="0.2">
      <c r="A159" s="21">
        <v>6747</v>
      </c>
      <c r="B159" s="17" t="s">
        <v>540</v>
      </c>
      <c r="C159" s="18" t="s">
        <v>413</v>
      </c>
      <c r="D159" s="19" t="s">
        <v>408</v>
      </c>
      <c r="E159" s="20">
        <v>0.08</v>
      </c>
      <c r="F159" s="23">
        <f t="shared" si="2"/>
        <v>28.622399999999999</v>
      </c>
    </row>
    <row r="160" spans="1:6" x14ac:dyDescent="0.2">
      <c r="A160" s="21">
        <v>6749</v>
      </c>
      <c r="B160" s="17" t="s">
        <v>541</v>
      </c>
      <c r="C160" s="18" t="s">
        <v>413</v>
      </c>
      <c r="D160" s="19" t="s">
        <v>459</v>
      </c>
      <c r="E160" s="20">
        <v>0.91</v>
      </c>
      <c r="F160" s="23">
        <f t="shared" si="2"/>
        <v>325.57979999999998</v>
      </c>
    </row>
    <row r="161" spans="1:6" x14ac:dyDescent="0.2">
      <c r="A161" s="21">
        <v>6749</v>
      </c>
      <c r="B161" s="17" t="s">
        <v>541</v>
      </c>
      <c r="C161" s="18" t="s">
        <v>413</v>
      </c>
      <c r="D161" s="19" t="s">
        <v>408</v>
      </c>
      <c r="E161" s="20">
        <v>0.39</v>
      </c>
      <c r="F161" s="23">
        <f t="shared" si="2"/>
        <v>139.5342</v>
      </c>
    </row>
    <row r="162" spans="1:6" x14ac:dyDescent="0.2">
      <c r="A162" s="21">
        <v>6750</v>
      </c>
      <c r="B162" s="17" t="s">
        <v>542</v>
      </c>
      <c r="C162" s="18" t="s">
        <v>413</v>
      </c>
      <c r="D162" s="19" t="s">
        <v>459</v>
      </c>
      <c r="E162" s="20">
        <v>0.91</v>
      </c>
      <c r="F162" s="23">
        <f t="shared" si="2"/>
        <v>325.57979999999998</v>
      </c>
    </row>
    <row r="163" spans="1:6" x14ac:dyDescent="0.2">
      <c r="A163" s="21">
        <v>6750</v>
      </c>
      <c r="B163" s="17" t="s">
        <v>542</v>
      </c>
      <c r="C163" s="18" t="s">
        <v>413</v>
      </c>
      <c r="D163" s="19" t="s">
        <v>408</v>
      </c>
      <c r="E163" s="20">
        <v>0.39</v>
      </c>
      <c r="F163" s="23">
        <f t="shared" si="2"/>
        <v>139.5342</v>
      </c>
    </row>
    <row r="164" spans="1:6" x14ac:dyDescent="0.2">
      <c r="A164" s="21">
        <v>6751</v>
      </c>
      <c r="B164" s="17" t="s">
        <v>543</v>
      </c>
      <c r="C164" s="18" t="s">
        <v>413</v>
      </c>
      <c r="D164" s="19" t="s">
        <v>459</v>
      </c>
      <c r="E164" s="20">
        <v>4.2</v>
      </c>
      <c r="F164" s="23">
        <f t="shared" si="2"/>
        <v>1502.6759999999999</v>
      </c>
    </row>
    <row r="165" spans="1:6" x14ac:dyDescent="0.2">
      <c r="A165" s="21">
        <v>6751</v>
      </c>
      <c r="B165" s="17" t="s">
        <v>543</v>
      </c>
      <c r="C165" s="18" t="s">
        <v>413</v>
      </c>
      <c r="D165" s="19" t="s">
        <v>408</v>
      </c>
      <c r="E165" s="20">
        <v>1.8</v>
      </c>
      <c r="F165" s="23">
        <f t="shared" si="2"/>
        <v>644.00400000000002</v>
      </c>
    </row>
    <row r="166" spans="1:6" x14ac:dyDescent="0.2">
      <c r="A166" s="21">
        <v>6752</v>
      </c>
      <c r="B166" s="17" t="s">
        <v>544</v>
      </c>
      <c r="C166" s="18" t="s">
        <v>413</v>
      </c>
      <c r="D166" s="19" t="s">
        <v>459</v>
      </c>
      <c r="E166" s="20">
        <v>9.8000000000000007</v>
      </c>
      <c r="F166" s="23">
        <f t="shared" si="2"/>
        <v>3506.2440000000001</v>
      </c>
    </row>
    <row r="167" spans="1:6" x14ac:dyDescent="0.2">
      <c r="A167" s="21">
        <v>6752</v>
      </c>
      <c r="B167" s="17" t="s">
        <v>544</v>
      </c>
      <c r="C167" s="18" t="s">
        <v>413</v>
      </c>
      <c r="D167" s="19" t="s">
        <v>408</v>
      </c>
      <c r="E167" s="20">
        <v>4.2</v>
      </c>
      <c r="F167" s="23">
        <f t="shared" si="2"/>
        <v>1502.6759999999999</v>
      </c>
    </row>
    <row r="168" spans="1:6" x14ac:dyDescent="0.2">
      <c r="A168" s="21">
        <v>6753</v>
      </c>
      <c r="B168" s="17" t="s">
        <v>545</v>
      </c>
      <c r="C168" s="18" t="s">
        <v>413</v>
      </c>
      <c r="D168" s="19" t="s">
        <v>459</v>
      </c>
      <c r="E168" s="20">
        <v>9.8000000000000007</v>
      </c>
      <c r="F168" s="23">
        <f t="shared" si="2"/>
        <v>3506.2440000000001</v>
      </c>
    </row>
    <row r="169" spans="1:6" x14ac:dyDescent="0.2">
      <c r="A169" s="21">
        <v>6753</v>
      </c>
      <c r="B169" s="17" t="s">
        <v>545</v>
      </c>
      <c r="C169" s="18" t="s">
        <v>413</v>
      </c>
      <c r="D169" s="19" t="s">
        <v>408</v>
      </c>
      <c r="E169" s="20">
        <v>4.2</v>
      </c>
      <c r="F169" s="23">
        <f t="shared" si="2"/>
        <v>1502.6759999999999</v>
      </c>
    </row>
    <row r="170" spans="1:6" x14ac:dyDescent="0.2">
      <c r="A170" s="21">
        <v>6754</v>
      </c>
      <c r="B170" s="17" t="s">
        <v>546</v>
      </c>
      <c r="C170" s="18" t="s">
        <v>413</v>
      </c>
      <c r="D170" s="19" t="s">
        <v>459</v>
      </c>
      <c r="E170" s="20">
        <v>7</v>
      </c>
      <c r="F170" s="23">
        <f t="shared" si="2"/>
        <v>2504.46</v>
      </c>
    </row>
    <row r="171" spans="1:6" x14ac:dyDescent="0.2">
      <c r="A171" s="21">
        <v>6754</v>
      </c>
      <c r="B171" s="17" t="s">
        <v>546</v>
      </c>
      <c r="C171" s="18" t="s">
        <v>413</v>
      </c>
      <c r="D171" s="19" t="s">
        <v>408</v>
      </c>
      <c r="E171" s="20">
        <v>3</v>
      </c>
      <c r="F171" s="23">
        <f t="shared" si="2"/>
        <v>1073.3399999999999</v>
      </c>
    </row>
    <row r="172" spans="1:6" x14ac:dyDescent="0.2">
      <c r="A172" s="21">
        <v>6755</v>
      </c>
      <c r="B172" s="17" t="s">
        <v>547</v>
      </c>
      <c r="C172" s="18" t="s">
        <v>413</v>
      </c>
      <c r="D172" s="19" t="s">
        <v>459</v>
      </c>
      <c r="E172" s="20">
        <v>9.8000000000000007</v>
      </c>
      <c r="F172" s="23">
        <f t="shared" si="2"/>
        <v>3506.2440000000001</v>
      </c>
    </row>
    <row r="173" spans="1:6" x14ac:dyDescent="0.2">
      <c r="A173" s="21">
        <v>6755</v>
      </c>
      <c r="B173" s="17" t="s">
        <v>547</v>
      </c>
      <c r="C173" s="18" t="s">
        <v>413</v>
      </c>
      <c r="D173" s="19" t="s">
        <v>408</v>
      </c>
      <c r="E173" s="20">
        <v>4.2</v>
      </c>
      <c r="F173" s="23">
        <f t="shared" si="2"/>
        <v>1502.6759999999999</v>
      </c>
    </row>
    <row r="174" spans="1:6" x14ac:dyDescent="0.2">
      <c r="A174" s="21">
        <v>6758</v>
      </c>
      <c r="B174" s="17" t="s">
        <v>548</v>
      </c>
      <c r="C174" s="18" t="s">
        <v>413</v>
      </c>
      <c r="D174" s="19" t="s">
        <v>459</v>
      </c>
      <c r="E174" s="20">
        <v>2</v>
      </c>
      <c r="F174" s="23">
        <f t="shared" si="2"/>
        <v>715.56</v>
      </c>
    </row>
    <row r="175" spans="1:6" x14ac:dyDescent="0.2">
      <c r="A175" s="21">
        <v>6759</v>
      </c>
      <c r="B175" s="17" t="s">
        <v>549</v>
      </c>
      <c r="C175" s="18" t="s">
        <v>413</v>
      </c>
      <c r="D175" s="19" t="s">
        <v>459</v>
      </c>
      <c r="E175" s="20">
        <v>6</v>
      </c>
      <c r="F175" s="23">
        <f t="shared" si="2"/>
        <v>2146.6799999999998</v>
      </c>
    </row>
    <row r="176" spans="1:6" x14ac:dyDescent="0.2">
      <c r="A176" s="21">
        <v>6798</v>
      </c>
      <c r="B176" s="17" t="s">
        <v>550</v>
      </c>
      <c r="C176" s="18" t="s">
        <v>413</v>
      </c>
      <c r="D176" s="19" t="s">
        <v>408</v>
      </c>
      <c r="E176" s="20">
        <v>0.36</v>
      </c>
      <c r="F176" s="23">
        <f t="shared" si="2"/>
        <v>128.80079999999998</v>
      </c>
    </row>
    <row r="177" spans="1:6" x14ac:dyDescent="0.2">
      <c r="A177" s="21">
        <v>6760</v>
      </c>
      <c r="B177" s="17" t="s">
        <v>551</v>
      </c>
      <c r="C177" s="18" t="s">
        <v>453</v>
      </c>
      <c r="D177" s="19" t="s">
        <v>408</v>
      </c>
      <c r="E177" s="20">
        <v>1.6</v>
      </c>
      <c r="F177" s="23">
        <f t="shared" si="2"/>
        <v>572.44799999999998</v>
      </c>
    </row>
    <row r="178" spans="1:6" x14ac:dyDescent="0.2">
      <c r="A178" s="21">
        <v>6680</v>
      </c>
      <c r="B178" s="17" t="s">
        <v>552</v>
      </c>
      <c r="C178" s="18" t="s">
        <v>413</v>
      </c>
      <c r="D178" s="19" t="s">
        <v>459</v>
      </c>
      <c r="E178" s="20">
        <v>2.2400000000000002</v>
      </c>
      <c r="F178" s="23">
        <f t="shared" si="2"/>
        <v>801.42719999999997</v>
      </c>
    </row>
    <row r="179" spans="1:6" x14ac:dyDescent="0.2">
      <c r="A179" s="21">
        <v>6730</v>
      </c>
      <c r="B179" s="17" t="s">
        <v>553</v>
      </c>
      <c r="C179" s="18" t="s">
        <v>458</v>
      </c>
      <c r="D179" s="19" t="s">
        <v>459</v>
      </c>
      <c r="E179" s="20">
        <v>0.45</v>
      </c>
      <c r="F179" s="23">
        <f t="shared" si="2"/>
        <v>161.001</v>
      </c>
    </row>
    <row r="180" spans="1:6" x14ac:dyDescent="0.2">
      <c r="A180" s="21">
        <v>7895</v>
      </c>
      <c r="B180" s="17" t="s">
        <v>554</v>
      </c>
      <c r="C180" s="18" t="s">
        <v>413</v>
      </c>
      <c r="D180" s="19" t="s">
        <v>459</v>
      </c>
      <c r="E180" s="20">
        <v>0.32</v>
      </c>
      <c r="F180" s="23">
        <f t="shared" si="2"/>
        <v>114.4896</v>
      </c>
    </row>
    <row r="181" spans="1:6" x14ac:dyDescent="0.2">
      <c r="A181" s="21">
        <v>7895</v>
      </c>
      <c r="B181" s="17" t="s">
        <v>554</v>
      </c>
      <c r="C181" s="18" t="s">
        <v>413</v>
      </c>
      <c r="D181" s="19" t="s">
        <v>408</v>
      </c>
      <c r="E181" s="20">
        <v>0.13</v>
      </c>
      <c r="F181" s="23">
        <f t="shared" si="2"/>
        <v>46.511399999999995</v>
      </c>
    </row>
    <row r="182" spans="1:6" x14ac:dyDescent="0.2">
      <c r="A182" s="21">
        <v>7886</v>
      </c>
      <c r="B182" s="17" t="s">
        <v>555</v>
      </c>
      <c r="C182" s="18" t="s">
        <v>413</v>
      </c>
      <c r="D182" s="19" t="s">
        <v>459</v>
      </c>
      <c r="E182" s="20">
        <v>0.2</v>
      </c>
      <c r="F182" s="23">
        <f t="shared" si="2"/>
        <v>71.555999999999997</v>
      </c>
    </row>
    <row r="183" spans="1:6" x14ac:dyDescent="0.2">
      <c r="A183" s="21">
        <v>7886</v>
      </c>
      <c r="B183" s="17" t="s">
        <v>555</v>
      </c>
      <c r="C183" s="18" t="s">
        <v>413</v>
      </c>
      <c r="D183" s="19" t="s">
        <v>408</v>
      </c>
      <c r="E183" s="20">
        <v>0.08</v>
      </c>
      <c r="F183" s="23">
        <f t="shared" si="2"/>
        <v>28.622399999999999</v>
      </c>
    </row>
    <row r="184" spans="1:6" x14ac:dyDescent="0.2">
      <c r="A184" s="21">
        <v>6688</v>
      </c>
      <c r="B184" s="17" t="s">
        <v>556</v>
      </c>
      <c r="C184" s="18" t="s">
        <v>557</v>
      </c>
      <c r="D184" s="19" t="s">
        <v>459</v>
      </c>
      <c r="E184" s="20">
        <v>1.43</v>
      </c>
      <c r="F184" s="23">
        <f t="shared" si="2"/>
        <v>511.62539999999996</v>
      </c>
    </row>
    <row r="185" spans="1:6" x14ac:dyDescent="0.2">
      <c r="A185" s="21">
        <v>6687</v>
      </c>
      <c r="B185" s="17" t="s">
        <v>558</v>
      </c>
      <c r="C185" s="18" t="s">
        <v>557</v>
      </c>
      <c r="D185" s="19" t="s">
        <v>459</v>
      </c>
      <c r="E185" s="20">
        <v>0.72</v>
      </c>
      <c r="F185" s="23">
        <f t="shared" si="2"/>
        <v>257.60159999999996</v>
      </c>
    </row>
    <row r="186" spans="1:6" x14ac:dyDescent="0.2">
      <c r="A186" s="21">
        <v>6719</v>
      </c>
      <c r="B186" s="17" t="s">
        <v>559</v>
      </c>
      <c r="C186" s="18" t="s">
        <v>413</v>
      </c>
      <c r="D186" s="19" t="s">
        <v>459</v>
      </c>
      <c r="E186" s="20">
        <v>0.2</v>
      </c>
      <c r="F186" s="23">
        <f t="shared" si="2"/>
        <v>71.555999999999997</v>
      </c>
    </row>
    <row r="187" spans="1:6" x14ac:dyDescent="0.2">
      <c r="A187" s="21">
        <v>6676</v>
      </c>
      <c r="B187" s="17" t="s">
        <v>560</v>
      </c>
      <c r="C187" s="18" t="s">
        <v>413</v>
      </c>
      <c r="D187" s="19" t="s">
        <v>459</v>
      </c>
      <c r="E187" s="20">
        <v>1</v>
      </c>
      <c r="F187" s="23">
        <f t="shared" si="2"/>
        <v>357.78</v>
      </c>
    </row>
    <row r="188" spans="1:6" x14ac:dyDescent="0.2">
      <c r="A188" s="21">
        <v>6674</v>
      </c>
      <c r="B188" s="17" t="s">
        <v>561</v>
      </c>
      <c r="C188" s="18" t="s">
        <v>413</v>
      </c>
      <c r="D188" s="19" t="s">
        <v>459</v>
      </c>
      <c r="E188" s="20">
        <v>0.6</v>
      </c>
      <c r="F188" s="23">
        <f t="shared" si="2"/>
        <v>214.66799999999998</v>
      </c>
    </row>
    <row r="189" spans="1:6" x14ac:dyDescent="0.2">
      <c r="A189" s="21">
        <v>6675</v>
      </c>
      <c r="B189" s="17" t="s">
        <v>562</v>
      </c>
      <c r="C189" s="18" t="s">
        <v>413</v>
      </c>
      <c r="D189" s="19" t="s">
        <v>459</v>
      </c>
      <c r="E189" s="20">
        <v>0.6</v>
      </c>
      <c r="F189" s="23">
        <f t="shared" si="2"/>
        <v>214.66799999999998</v>
      </c>
    </row>
    <row r="190" spans="1:6" x14ac:dyDescent="0.2">
      <c r="A190" s="21">
        <v>6841</v>
      </c>
      <c r="B190" s="17" t="s">
        <v>563</v>
      </c>
      <c r="C190" s="18" t="s">
        <v>413</v>
      </c>
      <c r="D190" s="19" t="s">
        <v>459</v>
      </c>
      <c r="E190" s="20">
        <v>1.5</v>
      </c>
      <c r="F190" s="23">
        <f t="shared" si="2"/>
        <v>536.66999999999996</v>
      </c>
    </row>
    <row r="191" spans="1:6" x14ac:dyDescent="0.2">
      <c r="A191" s="21">
        <v>6729</v>
      </c>
      <c r="B191" s="17" t="s">
        <v>564</v>
      </c>
      <c r="C191" s="18" t="s">
        <v>413</v>
      </c>
      <c r="D191" s="19" t="s">
        <v>459</v>
      </c>
      <c r="E191" s="20">
        <v>0.45</v>
      </c>
      <c r="F191" s="23">
        <f t="shared" si="2"/>
        <v>161.001</v>
      </c>
    </row>
    <row r="192" spans="1:6" x14ac:dyDescent="0.2">
      <c r="A192" s="21">
        <v>6732</v>
      </c>
      <c r="B192" s="17" t="s">
        <v>565</v>
      </c>
      <c r="C192" s="18" t="s">
        <v>413</v>
      </c>
      <c r="D192" s="19" t="s">
        <v>459</v>
      </c>
      <c r="E192" s="20">
        <v>0.25</v>
      </c>
      <c r="F192" s="23">
        <f t="shared" si="2"/>
        <v>89.444999999999993</v>
      </c>
    </row>
    <row r="193" spans="1:6" x14ac:dyDescent="0.2">
      <c r="A193" s="21">
        <v>6731</v>
      </c>
      <c r="B193" s="17" t="s">
        <v>566</v>
      </c>
      <c r="C193" s="18" t="s">
        <v>413</v>
      </c>
      <c r="D193" s="19" t="s">
        <v>459</v>
      </c>
      <c r="E193" s="20">
        <v>0.25</v>
      </c>
      <c r="F193" s="23">
        <f t="shared" si="2"/>
        <v>89.444999999999993</v>
      </c>
    </row>
    <row r="194" spans="1:6" x14ac:dyDescent="0.2">
      <c r="A194" s="21">
        <v>6737</v>
      </c>
      <c r="B194" s="17" t="s">
        <v>567</v>
      </c>
      <c r="C194" s="18" t="s">
        <v>413</v>
      </c>
      <c r="D194" s="19" t="s">
        <v>459</v>
      </c>
      <c r="E194" s="20">
        <v>0.1</v>
      </c>
      <c r="F194" s="23">
        <f t="shared" si="2"/>
        <v>35.777999999999999</v>
      </c>
    </row>
    <row r="195" spans="1:6" x14ac:dyDescent="0.2">
      <c r="A195" s="21">
        <v>6736</v>
      </c>
      <c r="B195" s="17" t="s">
        <v>568</v>
      </c>
      <c r="C195" s="18" t="s">
        <v>413</v>
      </c>
      <c r="D195" s="19" t="s">
        <v>459</v>
      </c>
      <c r="E195" s="20">
        <v>0.45</v>
      </c>
      <c r="F195" s="23">
        <f t="shared" si="2"/>
        <v>161.001</v>
      </c>
    </row>
    <row r="196" spans="1:6" x14ac:dyDescent="0.2">
      <c r="A196" s="21">
        <v>92328</v>
      </c>
      <c r="B196" s="17" t="s">
        <v>569</v>
      </c>
      <c r="C196" s="18" t="s">
        <v>458</v>
      </c>
      <c r="D196" s="19" t="s">
        <v>459</v>
      </c>
      <c r="E196" s="20">
        <v>0.7</v>
      </c>
      <c r="F196" s="23">
        <f t="shared" si="2"/>
        <v>250.44599999999997</v>
      </c>
    </row>
    <row r="197" spans="1:6" x14ac:dyDescent="0.2">
      <c r="A197" s="21">
        <v>6831</v>
      </c>
      <c r="B197" s="17" t="s">
        <v>570</v>
      </c>
      <c r="C197" s="18" t="s">
        <v>458</v>
      </c>
      <c r="D197" s="19" t="s">
        <v>459</v>
      </c>
      <c r="E197" s="20">
        <v>1.99</v>
      </c>
      <c r="F197" s="23">
        <f t="shared" si="2"/>
        <v>711.98219999999992</v>
      </c>
    </row>
    <row r="198" spans="1:6" x14ac:dyDescent="0.2">
      <c r="A198" s="21">
        <v>6832</v>
      </c>
      <c r="B198" s="17" t="s">
        <v>571</v>
      </c>
      <c r="C198" s="18" t="s">
        <v>458</v>
      </c>
      <c r="D198" s="19" t="s">
        <v>459</v>
      </c>
      <c r="E198" s="20">
        <v>0.53</v>
      </c>
      <c r="F198" s="23">
        <f t="shared" si="2"/>
        <v>189.6234</v>
      </c>
    </row>
    <row r="199" spans="1:6" x14ac:dyDescent="0.2">
      <c r="A199" s="21">
        <v>6833</v>
      </c>
      <c r="B199" s="17" t="s">
        <v>572</v>
      </c>
      <c r="C199" s="18" t="s">
        <v>458</v>
      </c>
      <c r="D199" s="19" t="s">
        <v>459</v>
      </c>
      <c r="E199" s="20">
        <v>1.74</v>
      </c>
      <c r="F199" s="23">
        <f t="shared" si="2"/>
        <v>622.53719999999998</v>
      </c>
    </row>
    <row r="200" spans="1:6" x14ac:dyDescent="0.2">
      <c r="A200" s="21">
        <v>6805</v>
      </c>
      <c r="B200" s="17" t="s">
        <v>573</v>
      </c>
      <c r="C200" s="18" t="s">
        <v>413</v>
      </c>
      <c r="D200" s="19" t="s">
        <v>459</v>
      </c>
      <c r="E200" s="20">
        <v>0.42</v>
      </c>
      <c r="F200" s="23">
        <f t="shared" si="2"/>
        <v>150.26759999999999</v>
      </c>
    </row>
    <row r="201" spans="1:6" x14ac:dyDescent="0.2">
      <c r="A201" s="21">
        <v>6805</v>
      </c>
      <c r="B201" s="17" t="s">
        <v>573</v>
      </c>
      <c r="C201" s="18" t="s">
        <v>413</v>
      </c>
      <c r="D201" s="19" t="s">
        <v>408</v>
      </c>
      <c r="E201" s="20">
        <v>0.18</v>
      </c>
      <c r="F201" s="23">
        <f t="shared" ref="F201:F261" si="3">E201*F$4</f>
        <v>64.400399999999991</v>
      </c>
    </row>
    <row r="202" spans="1:6" x14ac:dyDescent="0.2">
      <c r="A202" s="21">
        <v>10996</v>
      </c>
      <c r="B202" s="17" t="s">
        <v>574</v>
      </c>
      <c r="C202" s="18" t="s">
        <v>413</v>
      </c>
      <c r="D202" s="19" t="s">
        <v>459</v>
      </c>
      <c r="E202" s="20">
        <v>0.32</v>
      </c>
      <c r="F202" s="23">
        <f t="shared" si="3"/>
        <v>114.4896</v>
      </c>
    </row>
    <row r="203" spans="1:6" x14ac:dyDescent="0.2">
      <c r="A203" s="21">
        <v>10996</v>
      </c>
      <c r="B203" s="17" t="s">
        <v>574</v>
      </c>
      <c r="C203" s="18" t="s">
        <v>413</v>
      </c>
      <c r="D203" s="19" t="s">
        <v>408</v>
      </c>
      <c r="E203" s="20">
        <v>0.13</v>
      </c>
      <c r="F203" s="23">
        <f t="shared" si="3"/>
        <v>46.511399999999995</v>
      </c>
    </row>
    <row r="204" spans="1:6" x14ac:dyDescent="0.2">
      <c r="A204" s="21">
        <v>6820</v>
      </c>
      <c r="B204" s="17" t="s">
        <v>575</v>
      </c>
      <c r="C204" s="18" t="s">
        <v>413</v>
      </c>
      <c r="D204" s="19" t="s">
        <v>459</v>
      </c>
      <c r="E204" s="20">
        <v>0.7</v>
      </c>
      <c r="F204" s="23">
        <f t="shared" si="3"/>
        <v>250.44599999999997</v>
      </c>
    </row>
    <row r="205" spans="1:6" x14ac:dyDescent="0.2">
      <c r="A205" s="21">
        <v>6820</v>
      </c>
      <c r="B205" s="17" t="s">
        <v>575</v>
      </c>
      <c r="C205" s="18" t="s">
        <v>413</v>
      </c>
      <c r="D205" s="19" t="s">
        <v>408</v>
      </c>
      <c r="E205" s="20">
        <v>0.3</v>
      </c>
      <c r="F205" s="23">
        <f t="shared" si="3"/>
        <v>107.33399999999999</v>
      </c>
    </row>
    <row r="206" spans="1:6" x14ac:dyDescent="0.2">
      <c r="A206" s="21">
        <v>6806</v>
      </c>
      <c r="B206" s="17" t="s">
        <v>576</v>
      </c>
      <c r="C206" s="18" t="s">
        <v>413</v>
      </c>
      <c r="D206" s="19" t="s">
        <v>459</v>
      </c>
      <c r="E206" s="20">
        <v>0.42</v>
      </c>
      <c r="F206" s="23">
        <f t="shared" si="3"/>
        <v>150.26759999999999</v>
      </c>
    </row>
    <row r="207" spans="1:6" x14ac:dyDescent="0.2">
      <c r="A207" s="21">
        <v>6806</v>
      </c>
      <c r="B207" s="17" t="s">
        <v>576</v>
      </c>
      <c r="C207" s="18" t="s">
        <v>413</v>
      </c>
      <c r="D207" s="19" t="s">
        <v>408</v>
      </c>
      <c r="E207" s="20">
        <v>0.18</v>
      </c>
      <c r="F207" s="23">
        <f t="shared" si="3"/>
        <v>64.400399999999991</v>
      </c>
    </row>
    <row r="208" spans="1:6" x14ac:dyDescent="0.2">
      <c r="A208" s="21">
        <v>6807</v>
      </c>
      <c r="B208" s="17" t="s">
        <v>577</v>
      </c>
      <c r="C208" s="18" t="s">
        <v>413</v>
      </c>
      <c r="D208" s="19" t="s">
        <v>459</v>
      </c>
      <c r="E208" s="20">
        <v>1.19</v>
      </c>
      <c r="F208" s="23">
        <f t="shared" si="3"/>
        <v>425.75819999999993</v>
      </c>
    </row>
    <row r="209" spans="1:6" x14ac:dyDescent="0.2">
      <c r="A209" s="21">
        <v>6807</v>
      </c>
      <c r="B209" s="17" t="s">
        <v>577</v>
      </c>
      <c r="C209" s="18" t="s">
        <v>413</v>
      </c>
      <c r="D209" s="19" t="s">
        <v>408</v>
      </c>
      <c r="E209" s="20">
        <v>0.51</v>
      </c>
      <c r="F209" s="23">
        <f t="shared" si="3"/>
        <v>182.46779999999998</v>
      </c>
    </row>
    <row r="210" spans="1:6" x14ac:dyDescent="0.2">
      <c r="A210" s="21">
        <v>6808</v>
      </c>
      <c r="B210" s="17" t="s">
        <v>578</v>
      </c>
      <c r="C210" s="18" t="s">
        <v>413</v>
      </c>
      <c r="D210" s="19" t="s">
        <v>459</v>
      </c>
      <c r="E210" s="20">
        <v>0.42</v>
      </c>
      <c r="F210" s="23">
        <f t="shared" si="3"/>
        <v>150.26759999999999</v>
      </c>
    </row>
    <row r="211" spans="1:6" x14ac:dyDescent="0.2">
      <c r="A211" s="21">
        <v>6808</v>
      </c>
      <c r="B211" s="17" t="s">
        <v>578</v>
      </c>
      <c r="C211" s="18" t="s">
        <v>413</v>
      </c>
      <c r="D211" s="19" t="s">
        <v>408</v>
      </c>
      <c r="E211" s="20">
        <v>0.18</v>
      </c>
      <c r="F211" s="23">
        <f t="shared" si="3"/>
        <v>64.400399999999991</v>
      </c>
    </row>
    <row r="212" spans="1:6" x14ac:dyDescent="0.2">
      <c r="A212" s="21">
        <v>6809</v>
      </c>
      <c r="B212" s="17" t="s">
        <v>579</v>
      </c>
      <c r="C212" s="18" t="s">
        <v>407</v>
      </c>
      <c r="D212" s="19" t="s">
        <v>459</v>
      </c>
      <c r="E212" s="20">
        <v>0.18</v>
      </c>
      <c r="F212" s="23">
        <f t="shared" si="3"/>
        <v>64.400399999999991</v>
      </c>
    </row>
    <row r="213" spans="1:6" x14ac:dyDescent="0.2">
      <c r="A213" s="21">
        <v>6809</v>
      </c>
      <c r="B213" s="17" t="s">
        <v>579</v>
      </c>
      <c r="C213" s="18" t="s">
        <v>407</v>
      </c>
      <c r="D213" s="19" t="s">
        <v>408</v>
      </c>
      <c r="E213" s="20">
        <v>7.0000000000000007E-2</v>
      </c>
      <c r="F213" s="23">
        <f t="shared" si="3"/>
        <v>25.044599999999999</v>
      </c>
    </row>
    <row r="214" spans="1:6" x14ac:dyDescent="0.2">
      <c r="A214" s="21">
        <v>6861</v>
      </c>
      <c r="B214" s="17" t="s">
        <v>580</v>
      </c>
      <c r="C214" s="18" t="s">
        <v>413</v>
      </c>
      <c r="D214" s="19" t="s">
        <v>459</v>
      </c>
      <c r="E214" s="20">
        <v>0.32</v>
      </c>
      <c r="F214" s="23">
        <f t="shared" si="3"/>
        <v>114.4896</v>
      </c>
    </row>
    <row r="215" spans="1:6" x14ac:dyDescent="0.2">
      <c r="A215" s="21">
        <v>6861</v>
      </c>
      <c r="B215" s="17" t="s">
        <v>580</v>
      </c>
      <c r="C215" s="18" t="s">
        <v>413</v>
      </c>
      <c r="D215" s="19" t="s">
        <v>408</v>
      </c>
      <c r="E215" s="20">
        <v>0.13</v>
      </c>
      <c r="F215" s="23">
        <f t="shared" si="3"/>
        <v>46.511399999999995</v>
      </c>
    </row>
    <row r="216" spans="1:6" x14ac:dyDescent="0.2">
      <c r="A216" s="21">
        <v>6812</v>
      </c>
      <c r="B216" s="17" t="s">
        <v>581</v>
      </c>
      <c r="C216" s="18" t="s">
        <v>413</v>
      </c>
      <c r="D216" s="19" t="s">
        <v>459</v>
      </c>
      <c r="E216" s="20">
        <v>0.46</v>
      </c>
      <c r="F216" s="23">
        <f t="shared" si="3"/>
        <v>164.5788</v>
      </c>
    </row>
    <row r="217" spans="1:6" x14ac:dyDescent="0.2">
      <c r="A217" s="21">
        <v>6812</v>
      </c>
      <c r="B217" s="17" t="s">
        <v>581</v>
      </c>
      <c r="C217" s="18" t="s">
        <v>413</v>
      </c>
      <c r="D217" s="19" t="s">
        <v>408</v>
      </c>
      <c r="E217" s="20">
        <v>0.19</v>
      </c>
      <c r="F217" s="23">
        <f t="shared" si="3"/>
        <v>67.978200000000001</v>
      </c>
    </row>
    <row r="218" spans="1:6" x14ac:dyDescent="0.2">
      <c r="A218" s="21">
        <v>6813</v>
      </c>
      <c r="B218" s="17" t="s">
        <v>582</v>
      </c>
      <c r="C218" s="18" t="s">
        <v>413</v>
      </c>
      <c r="D218" s="19" t="s">
        <v>459</v>
      </c>
      <c r="E218" s="20">
        <v>0.46</v>
      </c>
      <c r="F218" s="23">
        <f t="shared" si="3"/>
        <v>164.5788</v>
      </c>
    </row>
    <row r="219" spans="1:6" x14ac:dyDescent="0.2">
      <c r="A219" s="21">
        <v>6813</v>
      </c>
      <c r="B219" s="17" t="s">
        <v>582</v>
      </c>
      <c r="C219" s="18" t="s">
        <v>413</v>
      </c>
      <c r="D219" s="19" t="s">
        <v>408</v>
      </c>
      <c r="E219" s="20">
        <v>0.19</v>
      </c>
      <c r="F219" s="23">
        <f t="shared" si="3"/>
        <v>67.978200000000001</v>
      </c>
    </row>
    <row r="220" spans="1:6" x14ac:dyDescent="0.2">
      <c r="A220" s="21">
        <v>6814</v>
      </c>
      <c r="B220" s="17" t="s">
        <v>583</v>
      </c>
      <c r="C220" s="18" t="s">
        <v>413</v>
      </c>
      <c r="D220" s="19" t="s">
        <v>459</v>
      </c>
      <c r="E220" s="20">
        <v>0.6</v>
      </c>
      <c r="F220" s="23">
        <f t="shared" si="3"/>
        <v>214.66799999999998</v>
      </c>
    </row>
    <row r="221" spans="1:6" x14ac:dyDescent="0.2">
      <c r="A221" s="21">
        <v>6814</v>
      </c>
      <c r="B221" s="17" t="s">
        <v>583</v>
      </c>
      <c r="C221" s="18" t="s">
        <v>413</v>
      </c>
      <c r="D221" s="19" t="s">
        <v>408</v>
      </c>
      <c r="E221" s="20">
        <v>0.25</v>
      </c>
      <c r="F221" s="23">
        <f t="shared" si="3"/>
        <v>89.444999999999993</v>
      </c>
    </row>
    <row r="222" spans="1:6" x14ac:dyDescent="0.2">
      <c r="A222" s="21">
        <v>6815</v>
      </c>
      <c r="B222" s="17" t="s">
        <v>584</v>
      </c>
      <c r="C222" s="18" t="s">
        <v>413</v>
      </c>
      <c r="D222" s="19" t="s">
        <v>459</v>
      </c>
      <c r="E222" s="20">
        <v>0.67</v>
      </c>
      <c r="F222" s="23">
        <f t="shared" si="3"/>
        <v>239.71260000000001</v>
      </c>
    </row>
    <row r="223" spans="1:6" x14ac:dyDescent="0.2">
      <c r="A223" s="21">
        <v>6815</v>
      </c>
      <c r="B223" s="17" t="s">
        <v>584</v>
      </c>
      <c r="C223" s="18" t="s">
        <v>413</v>
      </c>
      <c r="D223" s="19" t="s">
        <v>408</v>
      </c>
      <c r="E223" s="20">
        <v>0.28999999999999998</v>
      </c>
      <c r="F223" s="23">
        <f t="shared" si="3"/>
        <v>103.75619999999998</v>
      </c>
    </row>
    <row r="224" spans="1:6" x14ac:dyDescent="0.2">
      <c r="A224" s="21">
        <v>6811</v>
      </c>
      <c r="B224" s="17" t="s">
        <v>585</v>
      </c>
      <c r="C224" s="18" t="s">
        <v>413</v>
      </c>
      <c r="D224" s="19" t="s">
        <v>459</v>
      </c>
      <c r="E224" s="20">
        <v>1.05</v>
      </c>
      <c r="F224" s="23">
        <f t="shared" si="3"/>
        <v>375.66899999999998</v>
      </c>
    </row>
    <row r="225" spans="1:6" x14ac:dyDescent="0.2">
      <c r="A225" s="21">
        <v>6811</v>
      </c>
      <c r="B225" s="17" t="s">
        <v>585</v>
      </c>
      <c r="C225" s="18" t="s">
        <v>413</v>
      </c>
      <c r="D225" s="19" t="s">
        <v>408</v>
      </c>
      <c r="E225" s="20">
        <v>0.45</v>
      </c>
      <c r="F225" s="23">
        <f t="shared" si="3"/>
        <v>161.001</v>
      </c>
    </row>
    <row r="226" spans="1:6" x14ac:dyDescent="0.2">
      <c r="A226" s="21">
        <v>6816</v>
      </c>
      <c r="B226" s="17" t="s">
        <v>586</v>
      </c>
      <c r="C226" s="18" t="s">
        <v>413</v>
      </c>
      <c r="D226" s="19" t="s">
        <v>459</v>
      </c>
      <c r="E226" s="20">
        <v>2.1</v>
      </c>
      <c r="F226" s="23">
        <f t="shared" si="3"/>
        <v>751.33799999999997</v>
      </c>
    </row>
    <row r="227" spans="1:6" x14ac:dyDescent="0.2">
      <c r="A227" s="21">
        <v>6816</v>
      </c>
      <c r="B227" s="17" t="s">
        <v>586</v>
      </c>
      <c r="C227" s="18" t="s">
        <v>413</v>
      </c>
      <c r="D227" s="19" t="s">
        <v>408</v>
      </c>
      <c r="E227" s="20">
        <v>0.9</v>
      </c>
      <c r="F227" s="23">
        <f t="shared" si="3"/>
        <v>322.00200000000001</v>
      </c>
    </row>
    <row r="228" spans="1:6" x14ac:dyDescent="0.2">
      <c r="A228" s="21">
        <v>6839</v>
      </c>
      <c r="B228" s="17" t="s">
        <v>587</v>
      </c>
      <c r="C228" s="18" t="s">
        <v>413</v>
      </c>
      <c r="D228" s="19" t="s">
        <v>459</v>
      </c>
      <c r="E228" s="20">
        <v>2.0299999999999998</v>
      </c>
      <c r="F228" s="23">
        <f t="shared" si="3"/>
        <v>726.29339999999991</v>
      </c>
    </row>
    <row r="229" spans="1:6" x14ac:dyDescent="0.2">
      <c r="A229" s="21">
        <v>6839</v>
      </c>
      <c r="B229" s="17" t="s">
        <v>587</v>
      </c>
      <c r="C229" s="18" t="s">
        <v>413</v>
      </c>
      <c r="D229" s="19" t="s">
        <v>408</v>
      </c>
      <c r="E229" s="20">
        <v>0.87</v>
      </c>
      <c r="F229" s="23">
        <f t="shared" si="3"/>
        <v>311.26859999999999</v>
      </c>
    </row>
    <row r="230" spans="1:6" x14ac:dyDescent="0.2">
      <c r="A230" s="21">
        <v>6840</v>
      </c>
      <c r="B230" s="17" t="s">
        <v>588</v>
      </c>
      <c r="C230" s="18" t="s">
        <v>413</v>
      </c>
      <c r="D230" s="19" t="s">
        <v>459</v>
      </c>
      <c r="E230" s="20">
        <v>2.12</v>
      </c>
      <c r="F230" s="23">
        <f t="shared" si="3"/>
        <v>758.49360000000001</v>
      </c>
    </row>
    <row r="231" spans="1:6" x14ac:dyDescent="0.2">
      <c r="A231" s="21">
        <v>6840</v>
      </c>
      <c r="B231" s="17" t="s">
        <v>588</v>
      </c>
      <c r="C231" s="18" t="s">
        <v>413</v>
      </c>
      <c r="D231" s="19" t="s">
        <v>408</v>
      </c>
      <c r="E231" s="20">
        <v>0.91</v>
      </c>
      <c r="F231" s="23">
        <f t="shared" si="3"/>
        <v>325.57979999999998</v>
      </c>
    </row>
    <row r="232" spans="1:6" x14ac:dyDescent="0.2">
      <c r="A232" s="21">
        <v>6822</v>
      </c>
      <c r="B232" s="17" t="s">
        <v>589</v>
      </c>
      <c r="C232" s="18" t="s">
        <v>413</v>
      </c>
      <c r="D232" s="19" t="s">
        <v>459</v>
      </c>
      <c r="E232" s="20">
        <v>0.63</v>
      </c>
      <c r="F232" s="23">
        <f t="shared" si="3"/>
        <v>225.4014</v>
      </c>
    </row>
    <row r="233" spans="1:6" x14ac:dyDescent="0.2">
      <c r="A233" s="21">
        <v>6822</v>
      </c>
      <c r="B233" s="17" t="s">
        <v>589</v>
      </c>
      <c r="C233" s="18" t="s">
        <v>413</v>
      </c>
      <c r="D233" s="19" t="s">
        <v>408</v>
      </c>
      <c r="E233" s="20">
        <v>0.27</v>
      </c>
      <c r="F233" s="23">
        <f t="shared" si="3"/>
        <v>96.6006</v>
      </c>
    </row>
    <row r="234" spans="1:6" x14ac:dyDescent="0.2">
      <c r="A234" s="21">
        <v>6817</v>
      </c>
      <c r="B234" s="17" t="s">
        <v>590</v>
      </c>
      <c r="C234" s="18" t="s">
        <v>413</v>
      </c>
      <c r="D234" s="19" t="s">
        <v>459</v>
      </c>
      <c r="E234" s="20">
        <v>0.42</v>
      </c>
      <c r="F234" s="23">
        <f t="shared" si="3"/>
        <v>150.26759999999999</v>
      </c>
    </row>
    <row r="235" spans="1:6" x14ac:dyDescent="0.2">
      <c r="A235" s="21">
        <v>6817</v>
      </c>
      <c r="B235" s="17" t="s">
        <v>590</v>
      </c>
      <c r="C235" s="18" t="s">
        <v>413</v>
      </c>
      <c r="D235" s="19" t="s">
        <v>408</v>
      </c>
      <c r="E235" s="20">
        <v>0.18</v>
      </c>
      <c r="F235" s="23">
        <f t="shared" si="3"/>
        <v>64.400399999999991</v>
      </c>
    </row>
    <row r="236" spans="1:6" x14ac:dyDescent="0.2">
      <c r="A236" s="21">
        <v>6818</v>
      </c>
      <c r="B236" s="17" t="s">
        <v>591</v>
      </c>
      <c r="C236" s="18" t="s">
        <v>413</v>
      </c>
      <c r="D236" s="19" t="s">
        <v>459</v>
      </c>
      <c r="E236" s="20">
        <v>0.42</v>
      </c>
      <c r="F236" s="23">
        <f t="shared" si="3"/>
        <v>150.26759999999999</v>
      </c>
    </row>
    <row r="237" spans="1:6" x14ac:dyDescent="0.2">
      <c r="A237" s="21">
        <v>6818</v>
      </c>
      <c r="B237" s="17" t="s">
        <v>591</v>
      </c>
      <c r="C237" s="18" t="s">
        <v>413</v>
      </c>
      <c r="D237" s="19" t="s">
        <v>408</v>
      </c>
      <c r="E237" s="20">
        <v>0.18</v>
      </c>
      <c r="F237" s="23">
        <f t="shared" si="3"/>
        <v>64.400399999999991</v>
      </c>
    </row>
    <row r="238" spans="1:6" x14ac:dyDescent="0.2">
      <c r="A238" s="21">
        <v>6819</v>
      </c>
      <c r="B238" s="17" t="s">
        <v>592</v>
      </c>
      <c r="C238" s="18" t="s">
        <v>413</v>
      </c>
      <c r="D238" s="19" t="s">
        <v>459</v>
      </c>
      <c r="E238" s="20">
        <v>0.32</v>
      </c>
      <c r="F238" s="23">
        <f t="shared" si="3"/>
        <v>114.4896</v>
      </c>
    </row>
    <row r="239" spans="1:6" x14ac:dyDescent="0.2">
      <c r="A239" s="21">
        <v>6819</v>
      </c>
      <c r="B239" s="17" t="s">
        <v>592</v>
      </c>
      <c r="C239" s="18" t="s">
        <v>413</v>
      </c>
      <c r="D239" s="19" t="s">
        <v>408</v>
      </c>
      <c r="E239" s="20">
        <v>0.13</v>
      </c>
      <c r="F239" s="23">
        <f t="shared" si="3"/>
        <v>46.511399999999995</v>
      </c>
    </row>
    <row r="240" spans="1:6" x14ac:dyDescent="0.2">
      <c r="A240" s="21">
        <v>6821</v>
      </c>
      <c r="B240" s="17" t="s">
        <v>593</v>
      </c>
      <c r="C240" s="18" t="s">
        <v>413</v>
      </c>
      <c r="D240" s="19" t="s">
        <v>459</v>
      </c>
      <c r="E240" s="20">
        <v>1.05</v>
      </c>
      <c r="F240" s="23">
        <f t="shared" si="3"/>
        <v>375.66899999999998</v>
      </c>
    </row>
    <row r="241" spans="1:6" x14ac:dyDescent="0.2">
      <c r="A241" s="21">
        <v>6821</v>
      </c>
      <c r="B241" s="17" t="s">
        <v>593</v>
      </c>
      <c r="C241" s="18" t="s">
        <v>413</v>
      </c>
      <c r="D241" s="19" t="s">
        <v>408</v>
      </c>
      <c r="E241" s="20">
        <v>0.45</v>
      </c>
      <c r="F241" s="23">
        <f t="shared" si="3"/>
        <v>161.001</v>
      </c>
    </row>
    <row r="242" spans="1:6" x14ac:dyDescent="0.2">
      <c r="A242" s="21">
        <v>6823</v>
      </c>
      <c r="B242" s="17" t="s">
        <v>594</v>
      </c>
      <c r="C242" s="18" t="s">
        <v>413</v>
      </c>
      <c r="D242" s="19" t="s">
        <v>459</v>
      </c>
      <c r="E242" s="20">
        <v>0.37</v>
      </c>
      <c r="F242" s="23">
        <f t="shared" si="3"/>
        <v>132.37859999999998</v>
      </c>
    </row>
    <row r="243" spans="1:6" x14ac:dyDescent="0.2">
      <c r="A243" s="21">
        <v>6823</v>
      </c>
      <c r="B243" s="17" t="s">
        <v>594</v>
      </c>
      <c r="C243" s="18" t="s">
        <v>413</v>
      </c>
      <c r="D243" s="19" t="s">
        <v>408</v>
      </c>
      <c r="E243" s="20">
        <v>0.16</v>
      </c>
      <c r="F243" s="23">
        <f t="shared" si="3"/>
        <v>57.244799999999998</v>
      </c>
    </row>
    <row r="244" spans="1:6" x14ac:dyDescent="0.2">
      <c r="A244" s="21">
        <v>6827</v>
      </c>
      <c r="B244" s="17" t="s">
        <v>595</v>
      </c>
      <c r="C244" s="18" t="s">
        <v>413</v>
      </c>
      <c r="D244" s="19" t="s">
        <v>459</v>
      </c>
      <c r="E244" s="20">
        <v>0.37</v>
      </c>
      <c r="F244" s="23">
        <f t="shared" si="3"/>
        <v>132.37859999999998</v>
      </c>
    </row>
    <row r="245" spans="1:6" x14ac:dyDescent="0.2">
      <c r="A245" s="21">
        <v>6827</v>
      </c>
      <c r="B245" s="17" t="s">
        <v>595</v>
      </c>
      <c r="C245" s="18" t="s">
        <v>413</v>
      </c>
      <c r="D245" s="19" t="s">
        <v>408</v>
      </c>
      <c r="E245" s="20">
        <v>0.16</v>
      </c>
      <c r="F245" s="23">
        <f t="shared" si="3"/>
        <v>57.244799999999998</v>
      </c>
    </row>
    <row r="246" spans="1:6" x14ac:dyDescent="0.2">
      <c r="A246" s="21">
        <v>6824</v>
      </c>
      <c r="B246" s="17" t="s">
        <v>596</v>
      </c>
      <c r="C246" s="18" t="s">
        <v>413</v>
      </c>
      <c r="D246" s="19" t="s">
        <v>459</v>
      </c>
      <c r="E246" s="20">
        <v>0.32</v>
      </c>
      <c r="F246" s="23">
        <f t="shared" si="3"/>
        <v>114.4896</v>
      </c>
    </row>
    <row r="247" spans="1:6" x14ac:dyDescent="0.2">
      <c r="A247" s="21">
        <v>6824</v>
      </c>
      <c r="B247" s="17" t="s">
        <v>596</v>
      </c>
      <c r="C247" s="18" t="s">
        <v>413</v>
      </c>
      <c r="D247" s="19" t="s">
        <v>408</v>
      </c>
      <c r="E247" s="20">
        <v>0.13</v>
      </c>
      <c r="F247" s="23">
        <f t="shared" si="3"/>
        <v>46.511399999999995</v>
      </c>
    </row>
    <row r="248" spans="1:6" x14ac:dyDescent="0.2">
      <c r="A248" s="21">
        <v>6825</v>
      </c>
      <c r="B248" s="17" t="s">
        <v>597</v>
      </c>
      <c r="C248" s="18" t="s">
        <v>413</v>
      </c>
      <c r="D248" s="19" t="s">
        <v>459</v>
      </c>
      <c r="E248" s="20">
        <v>0.37</v>
      </c>
      <c r="F248" s="23">
        <f t="shared" si="3"/>
        <v>132.37859999999998</v>
      </c>
    </row>
    <row r="249" spans="1:6" x14ac:dyDescent="0.2">
      <c r="A249" s="21">
        <v>6825</v>
      </c>
      <c r="B249" s="17" t="s">
        <v>597</v>
      </c>
      <c r="C249" s="18" t="s">
        <v>413</v>
      </c>
      <c r="D249" s="19" t="s">
        <v>408</v>
      </c>
      <c r="E249" s="20">
        <v>0.16</v>
      </c>
      <c r="F249" s="23">
        <f t="shared" si="3"/>
        <v>57.244799999999998</v>
      </c>
    </row>
    <row r="250" spans="1:6" x14ac:dyDescent="0.2">
      <c r="A250" s="21">
        <v>6826</v>
      </c>
      <c r="B250" s="17" t="s">
        <v>598</v>
      </c>
      <c r="C250" s="18" t="s">
        <v>413</v>
      </c>
      <c r="D250" s="19" t="s">
        <v>459</v>
      </c>
      <c r="E250" s="20">
        <v>0.32</v>
      </c>
      <c r="F250" s="23">
        <f t="shared" si="3"/>
        <v>114.4896</v>
      </c>
    </row>
    <row r="251" spans="1:6" x14ac:dyDescent="0.2">
      <c r="A251" s="21">
        <v>6826</v>
      </c>
      <c r="B251" s="17" t="s">
        <v>598</v>
      </c>
      <c r="C251" s="18" t="s">
        <v>413</v>
      </c>
      <c r="D251" s="19" t="s">
        <v>408</v>
      </c>
      <c r="E251" s="20">
        <v>0.13</v>
      </c>
      <c r="F251" s="23">
        <f t="shared" si="3"/>
        <v>46.511399999999995</v>
      </c>
    </row>
    <row r="252" spans="1:6" x14ac:dyDescent="0.2">
      <c r="A252" s="21">
        <v>6828</v>
      </c>
      <c r="B252" s="17" t="s">
        <v>599</v>
      </c>
      <c r="C252" s="18" t="s">
        <v>413</v>
      </c>
      <c r="D252" s="19" t="s">
        <v>459</v>
      </c>
      <c r="E252" s="20">
        <v>0.34</v>
      </c>
      <c r="F252" s="23">
        <f t="shared" si="3"/>
        <v>121.6452</v>
      </c>
    </row>
    <row r="253" spans="1:6" x14ac:dyDescent="0.2">
      <c r="A253" s="21">
        <v>6828</v>
      </c>
      <c r="B253" s="17" t="s">
        <v>599</v>
      </c>
      <c r="C253" s="18" t="s">
        <v>413</v>
      </c>
      <c r="D253" s="19" t="s">
        <v>408</v>
      </c>
      <c r="E253" s="20">
        <v>0.14000000000000001</v>
      </c>
      <c r="F253" s="23">
        <f t="shared" si="3"/>
        <v>50.089199999999998</v>
      </c>
    </row>
    <row r="254" spans="1:6" x14ac:dyDescent="0.2">
      <c r="A254" s="21">
        <v>6102</v>
      </c>
      <c r="B254" s="17" t="s">
        <v>600</v>
      </c>
      <c r="C254" s="18" t="s">
        <v>413</v>
      </c>
      <c r="D254" s="19" t="s">
        <v>459</v>
      </c>
      <c r="E254" s="20">
        <v>0.37</v>
      </c>
      <c r="F254" s="23">
        <f t="shared" si="3"/>
        <v>132.37859999999998</v>
      </c>
    </row>
    <row r="255" spans="1:6" x14ac:dyDescent="0.2">
      <c r="A255" s="21">
        <v>6102</v>
      </c>
      <c r="B255" s="17" t="s">
        <v>600</v>
      </c>
      <c r="C255" s="18" t="s">
        <v>413</v>
      </c>
      <c r="D255" s="19" t="s">
        <v>408</v>
      </c>
      <c r="E255" s="20">
        <v>0.16</v>
      </c>
      <c r="F255" s="23">
        <f t="shared" si="3"/>
        <v>57.244799999999998</v>
      </c>
    </row>
    <row r="256" spans="1:6" x14ac:dyDescent="0.2">
      <c r="A256" s="21">
        <v>6829</v>
      </c>
      <c r="B256" s="17" t="s">
        <v>601</v>
      </c>
      <c r="C256" s="18" t="s">
        <v>413</v>
      </c>
      <c r="D256" s="19" t="s">
        <v>459</v>
      </c>
      <c r="E256" s="20">
        <v>0.25</v>
      </c>
      <c r="F256" s="23">
        <f t="shared" si="3"/>
        <v>89.444999999999993</v>
      </c>
    </row>
    <row r="257" spans="1:6" x14ac:dyDescent="0.2">
      <c r="A257" s="21">
        <v>6829</v>
      </c>
      <c r="B257" s="17" t="s">
        <v>601</v>
      </c>
      <c r="C257" s="18" t="s">
        <v>413</v>
      </c>
      <c r="D257" s="19" t="s">
        <v>408</v>
      </c>
      <c r="E257" s="20">
        <v>0.1</v>
      </c>
      <c r="F257" s="23">
        <f t="shared" si="3"/>
        <v>35.777999999999999</v>
      </c>
    </row>
    <row r="258" spans="1:6" x14ac:dyDescent="0.2">
      <c r="A258" s="21">
        <v>6830</v>
      </c>
      <c r="B258" s="17" t="s">
        <v>602</v>
      </c>
      <c r="C258" s="18" t="s">
        <v>413</v>
      </c>
      <c r="D258" s="19" t="s">
        <v>459</v>
      </c>
      <c r="E258" s="20">
        <v>0.32</v>
      </c>
      <c r="F258" s="23">
        <f t="shared" si="3"/>
        <v>114.4896</v>
      </c>
    </row>
    <row r="259" spans="1:6" x14ac:dyDescent="0.2">
      <c r="A259" s="21">
        <v>6830</v>
      </c>
      <c r="B259" s="17" t="s">
        <v>602</v>
      </c>
      <c r="C259" s="18" t="s">
        <v>413</v>
      </c>
      <c r="D259" s="19" t="s">
        <v>408</v>
      </c>
      <c r="E259" s="20">
        <v>0.13</v>
      </c>
      <c r="F259" s="23">
        <f t="shared" si="3"/>
        <v>46.511399999999995</v>
      </c>
    </row>
    <row r="260" spans="1:6" x14ac:dyDescent="0.2">
      <c r="A260" s="21">
        <v>6151</v>
      </c>
      <c r="B260" s="17" t="s">
        <v>639</v>
      </c>
      <c r="C260" s="24" t="s">
        <v>640</v>
      </c>
      <c r="D260" s="19" t="s">
        <v>459</v>
      </c>
      <c r="E260" s="20">
        <v>0.06</v>
      </c>
      <c r="F260" s="23">
        <f t="shared" si="3"/>
        <v>21.466799999999999</v>
      </c>
    </row>
    <row r="261" spans="1:6" x14ac:dyDescent="0.2">
      <c r="A261" s="21">
        <v>67000</v>
      </c>
      <c r="B261" s="17" t="s">
        <v>641</v>
      </c>
      <c r="C261" s="18" t="s">
        <v>604</v>
      </c>
      <c r="D261" s="19" t="s">
        <v>459</v>
      </c>
      <c r="E261" s="20">
        <v>6</v>
      </c>
      <c r="F261" s="23">
        <f t="shared" si="3"/>
        <v>2146.6799999999998</v>
      </c>
    </row>
    <row r="262" spans="1:6" ht="27" x14ac:dyDescent="0.2">
      <c r="A262" s="21">
        <v>4595</v>
      </c>
      <c r="B262" s="17" t="s">
        <v>603</v>
      </c>
      <c r="C262" s="18" t="s">
        <v>604</v>
      </c>
      <c r="D262" s="18" t="s">
        <v>459</v>
      </c>
      <c r="E262" s="22"/>
      <c r="F262" s="20">
        <v>1</v>
      </c>
    </row>
    <row r="263" spans="1:6" x14ac:dyDescent="0.2">
      <c r="A263" s="21">
        <v>26376</v>
      </c>
      <c r="B263" s="17" t="s">
        <v>605</v>
      </c>
      <c r="C263" s="18" t="s">
        <v>604</v>
      </c>
      <c r="D263" s="18" t="s">
        <v>459</v>
      </c>
      <c r="E263" s="22"/>
      <c r="F263" s="20">
        <v>1</v>
      </c>
    </row>
    <row r="264" spans="1:6" x14ac:dyDescent="0.2">
      <c r="A264" s="21">
        <v>60163</v>
      </c>
      <c r="B264" s="17" t="s">
        <v>606</v>
      </c>
      <c r="C264" s="18" t="s">
        <v>604</v>
      </c>
      <c r="D264" s="18" t="s">
        <v>459</v>
      </c>
      <c r="E264" s="22"/>
      <c r="F264" s="20">
        <v>1</v>
      </c>
    </row>
    <row r="265" spans="1:6" x14ac:dyDescent="0.2">
      <c r="A265" s="21">
        <v>92525</v>
      </c>
      <c r="B265" s="17" t="s">
        <v>607</v>
      </c>
      <c r="C265" s="18" t="s">
        <v>604</v>
      </c>
      <c r="D265" s="18" t="s">
        <v>459</v>
      </c>
      <c r="E265" s="22"/>
      <c r="F265" s="20">
        <v>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LM</vt:lpstr>
      <vt:lpstr>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Vinicius de Aguiar Carvalho</dc:creator>
  <cp:lastModifiedBy>Alexandre Peronio da Veiga</cp:lastModifiedBy>
  <dcterms:created xsi:type="dcterms:W3CDTF">2025-11-26T08:27:44Z</dcterms:created>
  <dcterms:modified xsi:type="dcterms:W3CDTF">2025-11-26T14:08:59Z</dcterms:modified>
</cp:coreProperties>
</file>