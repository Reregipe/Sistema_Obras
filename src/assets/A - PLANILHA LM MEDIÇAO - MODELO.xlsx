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GENHARIA 11\Sistema_Obras\src\assets\"/>
    </mc:Choice>
  </mc:AlternateContent>
  <xr:revisionPtr revIDLastSave="0" documentId="8_{08FBA012-5182-44B2-8A05-C21E84253B77}" xr6:coauthVersionLast="47" xr6:coauthVersionMax="47" xr10:uidLastSave="{00000000-0000-0000-0000-000000000000}"/>
  <bookViews>
    <workbookView xWindow="-28920" yWindow="-120" windowWidth="29040" windowHeight="15720" firstSheet="4" activeTab="4" xr2:uid="{00000000-000D-0000-FFFF-FFFF00000000}"/>
  </bookViews>
  <sheets>
    <sheet name="MATERIAL" sheetId="1" state="hidden" r:id="rId1"/>
    <sheet name="RELAÇAO DE MATERIAL" sheetId="59" state="hidden" r:id="rId2"/>
    <sheet name="Página8" sheetId="2" state="hidden" r:id="rId3"/>
    <sheet name="CONTRATO 2024014901" sheetId="57" state="hidden" r:id="rId4"/>
    <sheet name="PADRAO" sheetId="6" r:id="rId5"/>
    <sheet name="MÃO OBRA" sheetId="3" state="hidden" r:id="rId6"/>
    <sheet name="FECHAMENTO" sheetId="4" state="hidden" r:id="rId7"/>
    <sheet name="Obras" sheetId="5" state="hidden" r:id="rId8"/>
    <sheet name="5716677005" sheetId="53" state="hidden" r:id="rId9"/>
    <sheet name="5702814005 4575" sheetId="54" state="hidden" r:id="rId10"/>
  </sheets>
  <definedNames>
    <definedName name="_xlnm._FilterDatabase" localSheetId="3" hidden="1">'CONTRATO 2024014901'!$A$1:$H$579</definedName>
    <definedName name="_xlnm._FilterDatabase" localSheetId="5" hidden="1">'MÃO OBRA'!$A$1:$I$581</definedName>
    <definedName name="_xlnm._FilterDatabase" localSheetId="0" hidden="1">MATERIAL!$A$1:$C$549</definedName>
    <definedName name="_xlnm._FilterDatabase" localSheetId="7" hidden="1">Obras!$A$1:$S$15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6" i="3" l="1"/>
  <c r="N587" i="3"/>
  <c r="D59" i="6"/>
  <c r="W59" i="6"/>
  <c r="AC59" i="6"/>
  <c r="D60" i="6"/>
  <c r="W60" i="6"/>
  <c r="AC60" i="6"/>
  <c r="D39" i="6" l="1"/>
  <c r="V39" i="6"/>
  <c r="W39" i="6"/>
  <c r="AA39" i="6"/>
  <c r="D40" i="6"/>
  <c r="V40" i="6"/>
  <c r="W40" i="6"/>
  <c r="AB40" i="6" s="1"/>
  <c r="AA40" i="6"/>
  <c r="D41" i="6"/>
  <c r="V41" i="6"/>
  <c r="W41" i="6"/>
  <c r="AB41" i="6" s="1"/>
  <c r="AA41" i="6"/>
  <c r="D33" i="6"/>
  <c r="V33" i="6"/>
  <c r="AA33" i="6"/>
  <c r="D34" i="6"/>
  <c r="V34" i="6"/>
  <c r="AA34" i="6"/>
  <c r="D31" i="6"/>
  <c r="V31" i="6"/>
  <c r="AA31" i="6"/>
  <c r="AC57" i="6"/>
  <c r="AC58" i="6"/>
  <c r="W56" i="6"/>
  <c r="W57" i="6"/>
  <c r="W58" i="6"/>
  <c r="D57" i="6"/>
  <c r="D58" i="6"/>
  <c r="D56" i="6"/>
  <c r="D51" i="6"/>
  <c r="W51" i="6"/>
  <c r="AA51" i="6"/>
  <c r="AB51" i="6"/>
  <c r="D52" i="6"/>
  <c r="W52" i="6"/>
  <c r="AA52" i="6"/>
  <c r="AB52" i="6"/>
  <c r="D53" i="6"/>
  <c r="W53" i="6"/>
  <c r="AA53" i="6"/>
  <c r="AB53" i="6"/>
  <c r="D32" i="6"/>
  <c r="V32" i="6"/>
  <c r="AA32" i="6"/>
  <c r="D35" i="6"/>
  <c r="V35" i="6"/>
  <c r="AA35" i="6"/>
  <c r="D36" i="6"/>
  <c r="V36" i="6"/>
  <c r="AA36" i="6"/>
  <c r="P11" i="6"/>
  <c r="P9" i="6"/>
  <c r="AB39" i="6" l="1"/>
  <c r="W35" i="6"/>
  <c r="AB35" i="6" s="1"/>
  <c r="W32" i="6"/>
  <c r="AB32" i="6" s="1"/>
  <c r="W31" i="6"/>
  <c r="AB31" i="6" s="1"/>
  <c r="W28" i="6"/>
  <c r="W34" i="6"/>
  <c r="AB34" i="6" s="1"/>
  <c r="W29" i="6"/>
  <c r="W38" i="6"/>
  <c r="W37" i="6"/>
  <c r="V29" i="6"/>
  <c r="V30" i="6"/>
  <c r="V37" i="6"/>
  <c r="V38" i="6"/>
  <c r="D29" i="6"/>
  <c r="D30" i="6"/>
  <c r="D37" i="6"/>
  <c r="D38" i="6"/>
  <c r="AA29" i="6"/>
  <c r="AA30" i="6"/>
  <c r="AA37" i="6"/>
  <c r="AA38" i="6"/>
  <c r="D49" i="6"/>
  <c r="W49" i="6"/>
  <c r="AA49" i="6"/>
  <c r="AB49" i="6"/>
  <c r="W33" i="6" l="1"/>
  <c r="AB33" i="6" s="1"/>
  <c r="W36" i="6"/>
  <c r="AB36" i="6" s="1"/>
  <c r="W30" i="6"/>
  <c r="AB30" i="6" s="1"/>
  <c r="AB37" i="6"/>
  <c r="AB38" i="6"/>
  <c r="AB29" i="6"/>
  <c r="W43" i="6" l="1"/>
  <c r="AB50" i="6" l="1"/>
  <c r="V28" i="6"/>
  <c r="D28" i="6"/>
  <c r="D549" i="3" l="1"/>
  <c r="AB87" i="54"/>
  <c r="V87" i="54"/>
  <c r="C87" i="54"/>
  <c r="AB86" i="54"/>
  <c r="V86" i="54"/>
  <c r="C86" i="54"/>
  <c r="AB85" i="54"/>
  <c r="V85" i="54"/>
  <c r="C85" i="54"/>
  <c r="AB84" i="54"/>
  <c r="V84" i="54"/>
  <c r="C84" i="54"/>
  <c r="AB83" i="54"/>
  <c r="V83" i="54"/>
  <c r="C83" i="54"/>
  <c r="AB82" i="54"/>
  <c r="V82" i="54"/>
  <c r="C82" i="54"/>
  <c r="AB81" i="54"/>
  <c r="V81" i="54"/>
  <c r="C81" i="54"/>
  <c r="AB80" i="54"/>
  <c r="V80" i="54"/>
  <c r="C80" i="54"/>
  <c r="AB79" i="54"/>
  <c r="V79" i="54"/>
  <c r="C79" i="54"/>
  <c r="AB78" i="54"/>
  <c r="V78" i="54"/>
  <c r="C78" i="54"/>
  <c r="AB77" i="54"/>
  <c r="V77" i="54"/>
  <c r="C77" i="54"/>
  <c r="AB76" i="54"/>
  <c r="V76" i="54"/>
  <c r="C76" i="54"/>
  <c r="Z73" i="54"/>
  <c r="V73" i="54"/>
  <c r="C73" i="54"/>
  <c r="Z72" i="54"/>
  <c r="V72" i="54"/>
  <c r="C72" i="54"/>
  <c r="Z71" i="54"/>
  <c r="V71" i="54"/>
  <c r="C71" i="54"/>
  <c r="Z70" i="54"/>
  <c r="V70" i="54"/>
  <c r="C70" i="54"/>
  <c r="AA69" i="54"/>
  <c r="Z69" i="54"/>
  <c r="V69" i="54"/>
  <c r="C69" i="54"/>
  <c r="AA68" i="54"/>
  <c r="Z68" i="54"/>
  <c r="V68" i="54"/>
  <c r="C68" i="54"/>
  <c r="AA67" i="54"/>
  <c r="Z67" i="54"/>
  <c r="V67" i="54"/>
  <c r="C67" i="54"/>
  <c r="AA66" i="54"/>
  <c r="Z66" i="54"/>
  <c r="V66" i="54"/>
  <c r="C66" i="54"/>
  <c r="AA65" i="54"/>
  <c r="Z65" i="54"/>
  <c r="V65" i="54"/>
  <c r="C65" i="54"/>
  <c r="AA64" i="54"/>
  <c r="Z64" i="54"/>
  <c r="V64" i="54"/>
  <c r="C64" i="54"/>
  <c r="AA63" i="54"/>
  <c r="Z63" i="54"/>
  <c r="V63" i="54"/>
  <c r="C63" i="54"/>
  <c r="Z62" i="54"/>
  <c r="V62" i="54"/>
  <c r="AA62" i="54" s="1"/>
  <c r="C62" i="54"/>
  <c r="Z61" i="54"/>
  <c r="V61" i="54"/>
  <c r="C61" i="54"/>
  <c r="Z60" i="54"/>
  <c r="V60" i="54"/>
  <c r="AA60" i="54" s="1"/>
  <c r="C60" i="54"/>
  <c r="Z59" i="54"/>
  <c r="V59" i="54"/>
  <c r="C59" i="54"/>
  <c r="Z58" i="54"/>
  <c r="V58" i="54"/>
  <c r="C58" i="54"/>
  <c r="Z57" i="54"/>
  <c r="V57" i="54"/>
  <c r="C57" i="54"/>
  <c r="Z56" i="54"/>
  <c r="AA56" i="54" s="1"/>
  <c r="C56" i="54"/>
  <c r="Z55" i="54"/>
  <c r="V55" i="54"/>
  <c r="AA55" i="54" s="1"/>
  <c r="C55" i="54"/>
  <c r="Z54" i="54"/>
  <c r="V54" i="54"/>
  <c r="C54" i="54"/>
  <c r="Z53" i="54"/>
  <c r="V53" i="54"/>
  <c r="AA53" i="54" s="1"/>
  <c r="C53" i="54"/>
  <c r="Z52" i="54"/>
  <c r="V52" i="54"/>
  <c r="C52" i="54"/>
  <c r="Y51" i="54"/>
  <c r="V48" i="54"/>
  <c r="AA48" i="54" s="1"/>
  <c r="V47" i="54"/>
  <c r="AA47" i="54" s="1"/>
  <c r="V46" i="54"/>
  <c r="AA46" i="54" s="1"/>
  <c r="AA44" i="54"/>
  <c r="Z44" i="54"/>
  <c r="Y44" i="54"/>
  <c r="X44" i="54"/>
  <c r="V44" i="54"/>
  <c r="U44" i="54"/>
  <c r="C44" i="54"/>
  <c r="AA43" i="54"/>
  <c r="Z43" i="54"/>
  <c r="Y43" i="54"/>
  <c r="X43" i="54"/>
  <c r="V43" i="54"/>
  <c r="U43" i="54"/>
  <c r="C43" i="54"/>
  <c r="AA42" i="54"/>
  <c r="Z42" i="54"/>
  <c r="Y42" i="54"/>
  <c r="X42" i="54"/>
  <c r="V42" i="54"/>
  <c r="U42" i="54"/>
  <c r="C42" i="54"/>
  <c r="AA41" i="54"/>
  <c r="Z41" i="54"/>
  <c r="Y41" i="54"/>
  <c r="X41" i="54"/>
  <c r="V41" i="54"/>
  <c r="U41" i="54"/>
  <c r="C41" i="54"/>
  <c r="AA40" i="54"/>
  <c r="Z40" i="54"/>
  <c r="Y40" i="54"/>
  <c r="X40" i="54"/>
  <c r="V40" i="54"/>
  <c r="C40" i="54"/>
  <c r="AA39" i="54"/>
  <c r="Z39" i="54"/>
  <c r="Y39" i="54"/>
  <c r="X39" i="54"/>
  <c r="V39" i="54"/>
  <c r="U39" i="54"/>
  <c r="C39" i="54"/>
  <c r="AA38" i="54"/>
  <c r="Z38" i="54"/>
  <c r="Y38" i="54"/>
  <c r="X38" i="54"/>
  <c r="V38" i="54"/>
  <c r="U38" i="54"/>
  <c r="C38" i="54"/>
  <c r="AA37" i="54"/>
  <c r="Z37" i="54"/>
  <c r="Y37" i="54"/>
  <c r="X37" i="54"/>
  <c r="V37" i="54"/>
  <c r="U37" i="54"/>
  <c r="C37" i="54"/>
  <c r="Z36" i="54"/>
  <c r="Y36" i="54"/>
  <c r="X36" i="54"/>
  <c r="U36" i="54"/>
  <c r="C36" i="54"/>
  <c r="Z35" i="54"/>
  <c r="Y35" i="54"/>
  <c r="X35" i="54"/>
  <c r="U35" i="54"/>
  <c r="C35" i="54"/>
  <c r="Z34" i="54"/>
  <c r="Y34" i="54"/>
  <c r="X34" i="54"/>
  <c r="U34" i="54"/>
  <c r="C34" i="54"/>
  <c r="Z33" i="54"/>
  <c r="Y33" i="54"/>
  <c r="X33" i="54"/>
  <c r="U33" i="54"/>
  <c r="C33" i="54"/>
  <c r="A33" i="54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Z32" i="54"/>
  <c r="Y32" i="54"/>
  <c r="X32" i="54"/>
  <c r="U32" i="54"/>
  <c r="C32" i="54"/>
  <c r="Z31" i="54"/>
  <c r="Y31" i="54"/>
  <c r="X31" i="54"/>
  <c r="U31" i="54"/>
  <c r="C31" i="54"/>
  <c r="Z30" i="54"/>
  <c r="Y30" i="54"/>
  <c r="X30" i="54"/>
  <c r="U30" i="54"/>
  <c r="C30" i="54"/>
  <c r="Z29" i="54"/>
  <c r="Y29" i="54"/>
  <c r="X29" i="54"/>
  <c r="U29" i="54"/>
  <c r="C29" i="54"/>
  <c r="Z28" i="54"/>
  <c r="Y28" i="54"/>
  <c r="X28" i="54"/>
  <c r="U28" i="54"/>
  <c r="C28" i="54"/>
  <c r="A28" i="54"/>
  <c r="A29" i="54" s="1"/>
  <c r="A30" i="54" s="1"/>
  <c r="A31" i="54" s="1"/>
  <c r="Z27" i="54"/>
  <c r="Y27" i="54"/>
  <c r="X27" i="54"/>
  <c r="U27" i="54"/>
  <c r="C27" i="54"/>
  <c r="O10" i="54"/>
  <c r="V8" i="54"/>
  <c r="O8" i="54"/>
  <c r="AB87" i="53"/>
  <c r="V87" i="53"/>
  <c r="C87" i="53"/>
  <c r="AB86" i="53"/>
  <c r="V86" i="53"/>
  <c r="C86" i="53"/>
  <c r="AB85" i="53"/>
  <c r="V85" i="53"/>
  <c r="C85" i="53"/>
  <c r="AB84" i="53"/>
  <c r="V84" i="53"/>
  <c r="C84" i="53"/>
  <c r="AB83" i="53"/>
  <c r="V83" i="53"/>
  <c r="C83" i="53"/>
  <c r="AB82" i="53"/>
  <c r="V82" i="53"/>
  <c r="C82" i="53"/>
  <c r="AB81" i="53"/>
  <c r="V81" i="53"/>
  <c r="C81" i="53"/>
  <c r="AB80" i="53"/>
  <c r="V80" i="53"/>
  <c r="C80" i="53"/>
  <c r="AB79" i="53"/>
  <c r="V79" i="53"/>
  <c r="C79" i="53"/>
  <c r="AB78" i="53"/>
  <c r="V78" i="53"/>
  <c r="C78" i="53"/>
  <c r="AB77" i="53"/>
  <c r="V77" i="53"/>
  <c r="C77" i="53"/>
  <c r="AB76" i="53"/>
  <c r="V76" i="53"/>
  <c r="C76" i="53"/>
  <c r="Z73" i="53"/>
  <c r="V73" i="53"/>
  <c r="C73" i="53"/>
  <c r="Z72" i="53"/>
  <c r="V72" i="53"/>
  <c r="C72" i="53"/>
  <c r="Z71" i="53"/>
  <c r="V71" i="53"/>
  <c r="C71" i="53"/>
  <c r="Z70" i="53"/>
  <c r="V70" i="53"/>
  <c r="C70" i="53"/>
  <c r="AA69" i="53"/>
  <c r="Z69" i="53"/>
  <c r="V69" i="53"/>
  <c r="C69" i="53"/>
  <c r="AA68" i="53"/>
  <c r="Z68" i="53"/>
  <c r="V68" i="53"/>
  <c r="C68" i="53"/>
  <c r="AA67" i="53"/>
  <c r="Z67" i="53"/>
  <c r="V67" i="53"/>
  <c r="C67" i="53"/>
  <c r="AA66" i="53"/>
  <c r="Z66" i="53"/>
  <c r="V66" i="53"/>
  <c r="C66" i="53"/>
  <c r="AA65" i="53"/>
  <c r="Z65" i="53"/>
  <c r="V65" i="53"/>
  <c r="C65" i="53"/>
  <c r="AA64" i="53"/>
  <c r="Z64" i="53"/>
  <c r="V64" i="53"/>
  <c r="C64" i="53"/>
  <c r="AA63" i="53"/>
  <c r="Z63" i="53"/>
  <c r="V63" i="53"/>
  <c r="C63" i="53"/>
  <c r="Z62" i="53"/>
  <c r="V62" i="53"/>
  <c r="C62" i="53"/>
  <c r="Z61" i="53"/>
  <c r="V61" i="53"/>
  <c r="C61" i="53"/>
  <c r="Z60" i="53"/>
  <c r="V60" i="53"/>
  <c r="C60" i="53"/>
  <c r="Z59" i="53"/>
  <c r="V59" i="53"/>
  <c r="C59" i="53"/>
  <c r="Z58" i="53"/>
  <c r="V58" i="53"/>
  <c r="C58" i="53"/>
  <c r="Z57" i="53"/>
  <c r="V57" i="53"/>
  <c r="C57" i="53"/>
  <c r="Z56" i="53"/>
  <c r="AA56" i="53" s="1"/>
  <c r="C56" i="53"/>
  <c r="Z55" i="53"/>
  <c r="V55" i="53"/>
  <c r="C55" i="53"/>
  <c r="Z54" i="53"/>
  <c r="V54" i="53"/>
  <c r="C54" i="53"/>
  <c r="Z53" i="53"/>
  <c r="V53" i="53"/>
  <c r="C53" i="53"/>
  <c r="Z52" i="53"/>
  <c r="V52" i="53"/>
  <c r="C52" i="53"/>
  <c r="Y51" i="53"/>
  <c r="V48" i="53"/>
  <c r="AA48" i="53" s="1"/>
  <c r="V47" i="53"/>
  <c r="AA47" i="53" s="1"/>
  <c r="V46" i="53"/>
  <c r="AA46" i="53" s="1"/>
  <c r="AA44" i="53"/>
  <c r="Z44" i="53"/>
  <c r="Y44" i="53"/>
  <c r="X44" i="53"/>
  <c r="V44" i="53"/>
  <c r="U44" i="53"/>
  <c r="C44" i="53"/>
  <c r="AA43" i="53"/>
  <c r="Z43" i="53"/>
  <c r="Y43" i="53"/>
  <c r="X43" i="53"/>
  <c r="V43" i="53"/>
  <c r="U43" i="53"/>
  <c r="C43" i="53"/>
  <c r="AA42" i="53"/>
  <c r="Z42" i="53"/>
  <c r="Y42" i="53"/>
  <c r="X42" i="53"/>
  <c r="V42" i="53"/>
  <c r="U42" i="53"/>
  <c r="C42" i="53"/>
  <c r="AA41" i="53"/>
  <c r="Z41" i="53"/>
  <c r="Y41" i="53"/>
  <c r="X41" i="53"/>
  <c r="V41" i="53"/>
  <c r="U41" i="53"/>
  <c r="C41" i="53"/>
  <c r="AA40" i="53"/>
  <c r="Z40" i="53"/>
  <c r="Y40" i="53"/>
  <c r="X40" i="53"/>
  <c r="V40" i="53"/>
  <c r="C40" i="53"/>
  <c r="AA39" i="53"/>
  <c r="Z39" i="53"/>
  <c r="Y39" i="53"/>
  <c r="X39" i="53"/>
  <c r="V39" i="53"/>
  <c r="U39" i="53"/>
  <c r="C39" i="53"/>
  <c r="AA38" i="53"/>
  <c r="Z38" i="53"/>
  <c r="Y38" i="53"/>
  <c r="X38" i="53"/>
  <c r="V38" i="53"/>
  <c r="U38" i="53"/>
  <c r="C38" i="53"/>
  <c r="AA37" i="53"/>
  <c r="Z37" i="53"/>
  <c r="Y37" i="53"/>
  <c r="X37" i="53"/>
  <c r="V37" i="53"/>
  <c r="U37" i="53"/>
  <c r="C37" i="53"/>
  <c r="Z36" i="53"/>
  <c r="Y36" i="53"/>
  <c r="X36" i="53"/>
  <c r="U36" i="53"/>
  <c r="C36" i="53"/>
  <c r="Z35" i="53"/>
  <c r="Y35" i="53"/>
  <c r="X35" i="53"/>
  <c r="U35" i="53"/>
  <c r="C35" i="53"/>
  <c r="Z34" i="53"/>
  <c r="Y34" i="53"/>
  <c r="X34" i="53"/>
  <c r="U34" i="53"/>
  <c r="C34" i="53"/>
  <c r="Z33" i="53"/>
  <c r="Y33" i="53"/>
  <c r="X33" i="53"/>
  <c r="U33" i="53"/>
  <c r="C33" i="53"/>
  <c r="A33" i="53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Z32" i="53"/>
  <c r="Y32" i="53"/>
  <c r="X32" i="53"/>
  <c r="U32" i="53"/>
  <c r="C32" i="53"/>
  <c r="Z31" i="53"/>
  <c r="Y31" i="53"/>
  <c r="X31" i="53"/>
  <c r="U31" i="53"/>
  <c r="C31" i="53"/>
  <c r="Z30" i="53"/>
  <c r="Y30" i="53"/>
  <c r="X30" i="53"/>
  <c r="U30" i="53"/>
  <c r="C30" i="53"/>
  <c r="Z29" i="53"/>
  <c r="Y29" i="53"/>
  <c r="X29" i="53"/>
  <c r="U29" i="53"/>
  <c r="C29" i="53"/>
  <c r="Z28" i="53"/>
  <c r="Y28" i="53"/>
  <c r="X28" i="53"/>
  <c r="U28" i="53"/>
  <c r="C28" i="53"/>
  <c r="A28" i="53"/>
  <c r="A29" i="53" s="1"/>
  <c r="A30" i="53" s="1"/>
  <c r="A31" i="53" s="1"/>
  <c r="Z27" i="53"/>
  <c r="Y27" i="53"/>
  <c r="X27" i="53"/>
  <c r="U27" i="53"/>
  <c r="C27" i="53"/>
  <c r="O10" i="53"/>
  <c r="V8" i="53"/>
  <c r="O8" i="53"/>
  <c r="AC56" i="6"/>
  <c r="AA50" i="6"/>
  <c r="W50" i="6"/>
  <c r="D50" i="6"/>
  <c r="Z48" i="6"/>
  <c r="AA28" i="6"/>
  <c r="M1" i="4"/>
  <c r="AA57" i="53" l="1"/>
  <c r="AA61" i="53"/>
  <c r="AA52" i="54"/>
  <c r="AA60" i="53"/>
  <c r="AA58" i="54"/>
  <c r="AA54" i="54"/>
  <c r="AA59" i="54"/>
  <c r="AA59" i="53"/>
  <c r="AA58" i="53"/>
  <c r="AA62" i="53"/>
  <c r="AA57" i="54"/>
  <c r="AA61" i="54"/>
  <c r="AA55" i="53"/>
  <c r="AA54" i="53"/>
  <c r="AA53" i="53"/>
  <c r="AA52" i="53"/>
  <c r="V29" i="54"/>
  <c r="AA29" i="54" s="1"/>
  <c r="V29" i="53"/>
  <c r="AA29" i="53" s="1"/>
  <c r="V32" i="53"/>
  <c r="AA32" i="53" s="1"/>
  <c r="V32" i="54"/>
  <c r="AA32" i="54" s="1"/>
  <c r="V31" i="54"/>
  <c r="AA31" i="54" s="1"/>
  <c r="V31" i="53"/>
  <c r="AA31" i="53" s="1"/>
  <c r="V27" i="54"/>
  <c r="AA27" i="54" s="1"/>
  <c r="V27" i="53"/>
  <c r="AA27" i="53" s="1"/>
  <c r="V35" i="54"/>
  <c r="AA35" i="54" s="1"/>
  <c r="V35" i="53"/>
  <c r="AA35" i="53" s="1"/>
  <c r="V34" i="54"/>
  <c r="AA34" i="54" s="1"/>
  <c r="V34" i="53"/>
  <c r="AA34" i="53" s="1"/>
  <c r="V33" i="53"/>
  <c r="AA33" i="53" s="1"/>
  <c r="V33" i="54"/>
  <c r="AA33" i="54" s="1"/>
  <c r="V28" i="54"/>
  <c r="AA28" i="54" s="1"/>
  <c r="V28" i="53"/>
  <c r="AA28" i="53" s="1"/>
  <c r="V36" i="53"/>
  <c r="AA36" i="53" s="1"/>
  <c r="V36" i="54"/>
  <c r="AA36" i="54" s="1"/>
  <c r="V30" i="54"/>
  <c r="AA30" i="54" s="1"/>
  <c r="V30" i="53"/>
  <c r="AA30" i="53" s="1"/>
  <c r="AB28" i="6"/>
  <c r="AB42" i="6" l="1"/>
  <c r="AA45" i="53"/>
  <c r="AA49" i="53" s="1"/>
  <c r="AA45" i="54"/>
  <c r="AA49" i="54" s="1"/>
  <c r="W45" i="6" l="1"/>
  <c r="AB45" i="6" s="1"/>
  <c r="W44" i="6"/>
  <c r="AB44" i="6" s="1"/>
  <c r="AB46" i="6" l="1"/>
</calcChain>
</file>

<file path=xl/sharedStrings.xml><?xml version="1.0" encoding="utf-8"?>
<sst xmlns="http://schemas.openxmlformats.org/spreadsheetml/2006/main" count="5372" uniqueCount="1162">
  <si>
    <t>Texto breve de material (REVISADA)</t>
  </si>
  <si>
    <t>Unidade de medida básica</t>
  </si>
  <si>
    <t>CODIGO SAP</t>
  </si>
  <si>
    <t>Peso bruto</t>
  </si>
  <si>
    <t>Unidade de peso</t>
  </si>
  <si>
    <t>Código ABC</t>
  </si>
  <si>
    <t>OLHAL PARA PARAFUSO SAE1020 M16 13,0MM 5000DAN</t>
  </si>
  <si>
    <t>M</t>
  </si>
  <si>
    <t>KG</t>
  </si>
  <si>
    <t>C</t>
  </si>
  <si>
    <t>PC</t>
  </si>
  <si>
    <t>CODIGO PADRÃO</t>
  </si>
  <si>
    <t>ALCA PREF ESTAI 6,4MM HS/SM</t>
  </si>
  <si>
    <t>UN</t>
  </si>
  <si>
    <t>ALCA PREFORMADA DISTRIBUICAO 2AWG 610,0MM</t>
  </si>
  <si>
    <t>ARMACAO SECUNDARIA ACO CARB 2 ESTRIBOS 5,0X 325,0X 310,0MM</t>
  </si>
  <si>
    <t>ARRUELA ESPACADORA LISA CIRCULAR FOFO GALV DIN9021 M18</t>
  </si>
  <si>
    <t>BRACO REDE COMP TIPO C 15KV SAE1010/20 580MM</t>
  </si>
  <si>
    <t>BRACO REDE COMP TIPO L 15KV SAE1010/20 354MM</t>
  </si>
  <si>
    <t>B</t>
  </si>
  <si>
    <t>A</t>
  </si>
  <si>
    <t>CABO ISOL 750V COBRE PVC/BWF 10MM2 1F CL2 PT</t>
  </si>
  <si>
    <t>CARTUCHO FERRAM CONECTOR CUNHA AMARELO 24,30MM</t>
  </si>
  <si>
    <t>CARTUCHO FERRAM CONECTOR CUNHA AZUL 14,80MM</t>
  </si>
  <si>
    <t>CARTUCHO FERRAM CONECTOR CUNHA VERMELHO 14,80MM</t>
  </si>
  <si>
    <t>CJ CONECTOR ESTRIBO CAPA CABO 336,4MCM</t>
  </si>
  <si>
    <t>COMPOSTO TRATAM SOLO BENTONITA/ARG/GRAF/CARVAO MIN 12KG</t>
  </si>
  <si>
    <t>PAC</t>
  </si>
  <si>
    <t>CON CUNHA DER CN12 AL 5,1-8,3X4,1-6,5MM</t>
  </si>
  <si>
    <t>CON CUNHA DER CN15 AL 9,2-14,5X9,2-14MM</t>
  </si>
  <si>
    <t>CON CUNHA DER CN2 AL 15,2-17,3X11-17MM</t>
  </si>
  <si>
    <t>CONECTOR CUNHA ALUMINIO 10,11MM/ 8,38MM VM</t>
  </si>
  <si>
    <t>CONECTOR CUNHA ALUMINIO 14,53MM/ 11,79MM AZ</t>
  </si>
  <si>
    <t>CONECTOR CUNHA ALUMINIO 14,53MM/ 14,53MM AZ</t>
  </si>
  <si>
    <t>CONECTOR CUNHA ALUMINIO 15,24MM/ 14,27MM AZ</t>
  </si>
  <si>
    <t>CONECTOR CUNHA ALUMINIO 336,4MCM/ 1/0AWG AM ESTRIBO</t>
  </si>
  <si>
    <t>CONECTOR CUNHA COBRE 25MM2/ 14,30MM AM</t>
  </si>
  <si>
    <t>CONECTOR CUNHA COBRE 8,12MM/ 5,21MM VD</t>
  </si>
  <si>
    <t xml:space="preserve">ELETRODUTO RIGIDO PVC PRETO BSP 1/2 </t>
  </si>
  <si>
    <t>ELO FUSIVEL DISTRIBUICAO H 0,75A 500MM</t>
  </si>
  <si>
    <t>PEÇ</t>
  </si>
  <si>
    <t>FIO ALUMINIO 6 AWG 1F MOLE</t>
  </si>
  <si>
    <t>FITA AMARRACAO CABOS LISA ALUMINIO 10,0MM 1,00MM</t>
  </si>
  <si>
    <t>FITA ISOL AUTOFUSAO EPR PT 750V 19X10M</t>
  </si>
  <si>
    <t>GRAMPO LINHA VIVA COBRE 6AWG-250MCM/ 6-2/0AWG</t>
  </si>
  <si>
    <t>HASTE ANCORA CERCA SAE1045 GALV 5100KGF 16,0MM 2,40M</t>
  </si>
  <si>
    <t>ISOLADOR PINO POR 15KV P57MM</t>
  </si>
  <si>
    <t>ISOLADOR PINO POR 34,5KV P102MM</t>
  </si>
  <si>
    <t>LACO PREFORMADO LATERAL 2AWG 500,0MM</t>
  </si>
  <si>
    <t>OLHAL PARAFUSO ACO FORJ M16 16,0MM 5000DAN</t>
  </si>
  <si>
    <t>PARAFUSO ABAU FENDA SAE1010 RP MG M16X 100MM</t>
  </si>
  <si>
    <t>PARAFUSO ABAU FENDA SAE1010 RP MG M16X 50MM</t>
  </si>
  <si>
    <t>PARAFUSO PRIS SAE1010 RP MG M16X 450MM</t>
  </si>
  <si>
    <t>PARAFUSO PRIS SAE1020 RP MG M16X 400MM</t>
  </si>
  <si>
    <t>PARAFUSO PRIS SAE1020 RP MG M16X 500MM</t>
  </si>
  <si>
    <t>PARAFUSO PRIS SAE1020 RP MG M16X 600MM</t>
  </si>
  <si>
    <t>PARAFUSO ROSCA DUPLA AC 16X650MM</t>
  </si>
  <si>
    <t>PINO ISOLADOR SAE 1010/20 16,0MM 150X 38X 192MM</t>
  </si>
  <si>
    <t>PLACA CONCRETO ESTAI SUBSOLO 10X20X100CM</t>
  </si>
  <si>
    <t>POSTE CIRCULAR CONCR C-17 12M 300DAN</t>
  </si>
  <si>
    <t>POSTE CIRCULAR CONCRETO 10M 150 DAN 340MM 140MM</t>
  </si>
  <si>
    <t>POSTE CIRCULAR CONCRETO 11M 200 DAN 370MM 150MM</t>
  </si>
  <si>
    <t>POSTE CIRCULAR CONCRETO 11M 300 DAN 390MM 170MM</t>
  </si>
  <si>
    <t>POSTE CIRCULAR CONCRETO 12M 200 DAN 390MM 150MM</t>
  </si>
  <si>
    <t>POSTE DUP T CONCRETO 11M 200DAN 210X296MM 100X120MM</t>
  </si>
  <si>
    <t>RELIGADOR 15KV 630A 12,5KA REDE</t>
  </si>
  <si>
    <t>SAPATILHA PESADA ACO CARB 9,5MM</t>
  </si>
  <si>
    <t>SELA CRUZETA ACO CARB 1 FURO 18,0MM CRUZ TP L/T ALT 116,0MM</t>
  </si>
  <si>
    <t>SUPORTE FORMATO L ENERGISA EPD-57035-053</t>
  </si>
  <si>
    <t>SUPORTE T ENERGISA DES EPD-57035-058 540MM</t>
  </si>
  <si>
    <t>SUPORTE T ENERGISA DES EPD-57035-058 800MM</t>
  </si>
  <si>
    <t>SUPORTE TRANSFORM POSTE CIRC SAE1020 225MM</t>
  </si>
  <si>
    <t>SUPORTE TRANSFORM POSTE CIRC SAE1020 255MM</t>
  </si>
  <si>
    <t>TERMINAL ESP 2F 336,4MCM 336,4-556,5MCM</t>
  </si>
  <si>
    <t>TERMINAL PRESS ESTRANG ALUM 2F 15MM 120MM2-4/0 AWG(CA)</t>
  </si>
  <si>
    <t>CODIGO NÃO UTILIZADO (SUSBTITUIDO POR OUTRO)</t>
  </si>
  <si>
    <t>MAO FRANCESA PLANA SAE 1020 32X 5X 710MM</t>
  </si>
  <si>
    <t>CAPA ISOL CONECTOR CUNHA 15KV PE</t>
  </si>
  <si>
    <t>CONECTOR ATERR CUNHA COBRE CB/HST 16-25MM2 14,3MM</t>
  </si>
  <si>
    <t>U N</t>
  </si>
  <si>
    <t>VALOR</t>
  </si>
  <si>
    <t>VALOR R$  2021</t>
  </si>
  <si>
    <t>Nº CONTRATO</t>
  </si>
  <si>
    <t>Inst.</t>
  </si>
  <si>
    <t>Ret.</t>
  </si>
  <si>
    <t>ABER-FECH VALETA RECOM PISO CALCADA LM</t>
  </si>
  <si>
    <t>x</t>
  </si>
  <si>
    <t>ABERT DE FAIXA CERRADO/MATA LM</t>
  </si>
  <si>
    <t>ABERTURA FAIXA COM PLANTACAO GRAMINEAS</t>
  </si>
  <si>
    <t>ABERTURA FAIXA VEGETACAO DENSA C/TRATOR</t>
  </si>
  <si>
    <t>ABRIR CAVA EM TERRA NORMAL</t>
  </si>
  <si>
    <t>ABRIR CAVA ROCHA SEM USO EXPLOSIVO LM</t>
  </si>
  <si>
    <t>ABRIR CAVA ROCHA USO EXPLOS EQUIP LM</t>
  </si>
  <si>
    <t>ARRASTAR PST LOC DIS A PT INS LM</t>
  </si>
  <si>
    <t>CODIF EQUIP DISTRIBUICAO LM</t>
  </si>
  <si>
    <t>CONFECC BASE CONC SIMPLES</t>
  </si>
  <si>
    <t>CONFECC BASE CONC TOTAL / SOLO CIMENTO</t>
  </si>
  <si>
    <t>CONST CXS PASS LM</t>
  </si>
  <si>
    <t>DES CRZ DUP BAS EQ ESP CONC LM</t>
  </si>
  <si>
    <t>DESAT AFASTADOR 500MM LM</t>
  </si>
  <si>
    <t>DESAT AMARRAÇÃO DE MT / BT NO POSTE LM</t>
  </si>
  <si>
    <t>DESAT BANCO CAPACITOR 300KVAR LM</t>
  </si>
  <si>
    <t>DESAT BANCO CAPACITOR 600KVAR LM</t>
  </si>
  <si>
    <t>DESAT BANCO CAPACITOR 900KVAR LM</t>
  </si>
  <si>
    <t>DESAT CABO AL CA PROTEGIDO  =&lt;95MM2 LM</t>
  </si>
  <si>
    <t>KM</t>
  </si>
  <si>
    <t>DESAT CABO AL CA PROTEGIDO &gt; 95MM2 LM</t>
  </si>
  <si>
    <t>DESAT CABO AL NU  =&lt;2/0AWG LM</t>
  </si>
  <si>
    <t>DESAT CABO AL NU &gt; 2/0AWG LM</t>
  </si>
  <si>
    <t>DESAT CABO AL NU CA/CAA &gt;2/0AWG LM</t>
  </si>
  <si>
    <t>DESAT CADEIA DE DISCO COMPLETA LM</t>
  </si>
  <si>
    <t>DESAT CAPACITOR CELULA 50/100KVAR LM</t>
  </si>
  <si>
    <t>DESAT CB AL MULT TODOS LM</t>
  </si>
  <si>
    <t>DESAT CH TRIP O RUP AB CARG 13,8&lt;69KV LM</t>
  </si>
  <si>
    <t>DESAT CHAVE FUSIVEL &lt; 34,5 KV LM</t>
  </si>
  <si>
    <t>DESAT CHAVE FUSIVEL =&gt; 34,5 KV LM</t>
  </si>
  <si>
    <t>DESAT CHAVE FUSIVEL 3 OP &lt; 34,5 KV</t>
  </si>
  <si>
    <t>DESAT CHAVE FUSIVEL 3 OP =&gt; 34,5 KV</t>
  </si>
  <si>
    <t>DESAT CONECTOR NA BT LM</t>
  </si>
  <si>
    <t>DESAT CONECTOR NA REDE MT/BT LM</t>
  </si>
  <si>
    <t>DESAT CRUZAMENTO AEREO BT FLY TAP LM</t>
  </si>
  <si>
    <t>DESAT CRUZAMENTO AEREO MT FLY TAP LM</t>
  </si>
  <si>
    <t>DESAT CRUZETA DUPLA LM</t>
  </si>
  <si>
    <t>DESAT CRUZETA SIMPLES LM</t>
  </si>
  <si>
    <t>DESAT CX CP-TRAFO LM</t>
  </si>
  <si>
    <t>DESAT CX MED CP-REDE CONEX RAMAI UC LM</t>
  </si>
  <si>
    <t>DESAT CX MED CP-REDE P/ 3 OU 4 MEDID LM</t>
  </si>
  <si>
    <t>DESAT CX MED CP-REDE P/1 MEDIDOR LM</t>
  </si>
  <si>
    <t>DESAT CX MED CP-REDE P/6 OU 8 MEDID LM</t>
  </si>
  <si>
    <t>DESAT ESPAC LOSANG 35A185MM² LM</t>
  </si>
  <si>
    <t>DESAT ESPAC RD BT LM</t>
  </si>
  <si>
    <t>DESAT ESPAC VERTL REDE MT COMP LM</t>
  </si>
  <si>
    <t>DESAT EST  N4, M4, B4 CRZ CONC LM</t>
  </si>
  <si>
    <t>DESAT EST PRI N4/N4E/M4/B4/B4E C/CHAV LM</t>
  </si>
  <si>
    <t>DESAT EST PRIM CE-1/CE-1A/CE-2 LM</t>
  </si>
  <si>
    <t>DESAT EST PRIM CE3/CE4 LM</t>
  </si>
  <si>
    <t>DESAT EST PRIM HT LM</t>
  </si>
  <si>
    <t>DESAT EST PRIM N3-1/M3-1/B3-1 LM</t>
  </si>
  <si>
    <t>DESAT EST PRIM N3-2/M3-2/N2-3/M2-3 LM</t>
  </si>
  <si>
    <t>DESAT EST PRIM N3-CE LM</t>
  </si>
  <si>
    <t>DESAT EST PRIM N3-N3/M3-M3 LM</t>
  </si>
  <si>
    <t>DESAT EST PRIM N3/B3/T3 LM</t>
  </si>
  <si>
    <t>DESAT EST PRIM N3/N3-E/M3/B3/B3-E LM</t>
  </si>
  <si>
    <t>DESAT EST PRIM N4/B4/T4 LM</t>
  </si>
  <si>
    <t>DESAT EST PRIM P1,PT1,PTA1 LM</t>
  </si>
  <si>
    <t>DESAT EST PRIM P2,PT2 LM</t>
  </si>
  <si>
    <t>DESAT EST PRIM P3 LM</t>
  </si>
  <si>
    <t>DESAT EST PRIM P4 LM</t>
  </si>
  <si>
    <t>DESAT EST PRIM TE LM</t>
  </si>
  <si>
    <t>DESAT EST PRIM U1/U2 LM</t>
  </si>
  <si>
    <t>DESAT EST PRIM U3/U4 LM</t>
  </si>
  <si>
    <t>DESAT EST SEC EM REDE CONVENCIONAL LM</t>
  </si>
  <si>
    <t>DESAT EST SEC EM REDE MULTIPLEXADA LM</t>
  </si>
  <si>
    <t>DESAT ESTAI ANCORA CHUMBADO ROCHA LM</t>
  </si>
  <si>
    <t>DESAT ESTR. PRIM –  TE E T4 CRZ CONC LM</t>
  </si>
  <si>
    <t>DESAT ESTR. PRIM N3, M3, B3 CRZ CONC LM</t>
  </si>
  <si>
    <t>DESAT ESTRIBO EM REDE EXISTENTE LM</t>
  </si>
  <si>
    <t>DESAT ESTRUTURA PRIM CE1/CE1-A LM</t>
  </si>
  <si>
    <t>DESAT ESTRUTURA PRIM CE2 LM</t>
  </si>
  <si>
    <t>DESAT ESTRUTURA PRIM CE3 LM</t>
  </si>
  <si>
    <t>DESAT ESTRUTURA PRIM CE4 LM</t>
  </si>
  <si>
    <t>DESAT ESTRUTURA PRIM N1/M1/B1 LM</t>
  </si>
  <si>
    <t>DESAT ESTRUTURA PRIM N2/M2/B2/B2-E LM</t>
  </si>
  <si>
    <t>DESAT IP CJ ILUM PST ORNAM</t>
  </si>
  <si>
    <t>DESAT ISOLADOR CADEIA LM</t>
  </si>
  <si>
    <t>DESAT ISOLADOR PILAR LM</t>
  </si>
  <si>
    <t>DESAT ISOLADOR PINO FIM DE REDE LM</t>
  </si>
  <si>
    <t>DESAT ISOLADOR PINO LM</t>
  </si>
  <si>
    <t>DESAT ISOLADOR PINO TANGENTE LM</t>
  </si>
  <si>
    <t>DESAT JUMPER NA REDE MT/BT LM</t>
  </si>
  <si>
    <t>DESAT MAO FRANC LM</t>
  </si>
  <si>
    <t>DESAT MED EM CAIXA CP-REDE BIFASICO LM</t>
  </si>
  <si>
    <t>DESAT MED EM CAIXA CP-REDE MONOFAS LM</t>
  </si>
  <si>
    <t>DESAT MED EM CAIXA CP-REDE TRIFASICO LM</t>
  </si>
  <si>
    <t>DESAT MED EM CAIXA CP-TRAFO LM</t>
  </si>
  <si>
    <t>DESAT N1, M1, B1 CRZ DE CONC LM</t>
  </si>
  <si>
    <t>DESAT N2, M2, B2 CRZ DE CONC LM</t>
  </si>
  <si>
    <t>DESAT PADRAO CONCR M1/T1 COM ATERRAM LM</t>
  </si>
  <si>
    <t>DESAT PARA-RAIOS RD &lt; 34,5 KV LM</t>
  </si>
  <si>
    <t>DESAT POSTE ACIMA 13 LM</t>
  </si>
  <si>
    <t>DESAT POSTE ATE 13 &lt;69KV GUIND LM</t>
  </si>
  <si>
    <t>DESAT POSTE ATE 13 &lt;69KV MANUAL LM</t>
  </si>
  <si>
    <t>DESAT RAMAL SERVICO BIFASICO LM</t>
  </si>
  <si>
    <t>DESAT RAMAL SERVICO MONOFASICO LM</t>
  </si>
  <si>
    <t>DESAT RAMAL SERVICO TRIFASICO LM</t>
  </si>
  <si>
    <t>DESAT REGUL NA REDE MT LM</t>
  </si>
  <si>
    <t>DESAT RELIGADOR NA REDE MT LM</t>
  </si>
  <si>
    <t>DESAT TRANSF DIST AEREO MONOFASICO LM</t>
  </si>
  <si>
    <t>DESAT TRANSF DISTRIBUIC AEREO 3F LM</t>
  </si>
  <si>
    <t>DESATIVAR CHAVE SECC FACA =&gt; 15 KV LM</t>
  </si>
  <si>
    <t>HORA</t>
  </si>
  <si>
    <t>DISTR PST RUR LM</t>
  </si>
  <si>
    <t>EFET LEVANTAM GEOREF RDR LM</t>
  </si>
  <si>
    <t>EFET LIG RUR FORA REDE REGIONAL ELETROM</t>
  </si>
  <si>
    <t>EFET LOCACAO PST AREA RUR LM</t>
  </si>
  <si>
    <t>EFET LOCACAO PST AREA URBANA LM</t>
  </si>
  <si>
    <t>EFET MAN CX CP REDE LM</t>
  </si>
  <si>
    <t>EFET MANOBRA CHAV FACA AB/FEC LM</t>
  </si>
  <si>
    <t>EFET MANOBRA CHAV FUS AB/FEC LM</t>
  </si>
  <si>
    <t>EFET MED INSTANT TRANSFORM LM</t>
  </si>
  <si>
    <t>EFET RECUPER CX CP REDE LM</t>
  </si>
  <si>
    <t>EFET REP CALC COM COM FORNEC MAT LM</t>
  </si>
  <si>
    <t>EFET REP CALC ESPEC COM FORN MAT LM</t>
  </si>
  <si>
    <t>EFETUAR MEDICAO ATERR TRANSFORMADOR</t>
  </si>
  <si>
    <t>ELAB PLANO CONTR AMB C/DES LM</t>
  </si>
  <si>
    <t>ELAB PLANO CONTR AMB S/DES LM</t>
  </si>
  <si>
    <t>EMEND CABO MENS REDE COMPACTA LM</t>
  </si>
  <si>
    <t>EMEND CABO MULTIP LM</t>
  </si>
  <si>
    <t>EMEND COND PRIM PROTEG LM</t>
  </si>
  <si>
    <t>EST  ILUM INST LUMIN SIMPLES LM</t>
  </si>
  <si>
    <t>EST ILUM DESAT LUMIN SIMPLES LM</t>
  </si>
  <si>
    <t>EST ILUM SUBST LUMIN FECHADA LM</t>
  </si>
  <si>
    <t>ESTRUT ILUM REMANEJAR LUMIN SIMPLES LM</t>
  </si>
  <si>
    <t>FORN/INST PLACA DE OBRA</t>
  </si>
  <si>
    <t>INS RAMAL ENTR C/ELETR CX CP RD LM</t>
  </si>
  <si>
    <t>INSPEC ESTR RDR P/MANUT PREV LM</t>
  </si>
  <si>
    <t>INSPEC ESTR RDU P/MANUT PREV LM</t>
  </si>
  <si>
    <t>INSPEC LDR P/LOCALIZ DEF LM</t>
  </si>
  <si>
    <t>INSPEC POST TRAN RUR LM</t>
  </si>
  <si>
    <t>INSPEC RDU P/LOCALIZ DEF LM</t>
  </si>
  <si>
    <t>INST AFAST RD SEC 500MM LM</t>
  </si>
  <si>
    <t>INST AMARRACAO MT/BT LM</t>
  </si>
  <si>
    <t>INST ATER POR HASTE LM</t>
  </si>
  <si>
    <t>INST BANCO CAPACITOR 300KVAR LM</t>
  </si>
  <si>
    <t>INST BANCO CAPACITOR 600KVAR LM</t>
  </si>
  <si>
    <t>INST BANCO CAPACITOR 900KVAR LM</t>
  </si>
  <si>
    <t>INST CABO AL NU  =&lt;2/0CA/CAAAWG LM</t>
  </si>
  <si>
    <t>INST CABO AL NU &gt;2/0CA/CAAAWG LM</t>
  </si>
  <si>
    <t>INST CABO ALUM NU  =&lt; 2/0AWG LM</t>
  </si>
  <si>
    <t>INST CABO ALUM NU &gt; 2/0 LM</t>
  </si>
  <si>
    <t>INST CAIXA MED CP TRAFO ELETROM LM</t>
  </si>
  <si>
    <t>INST CAIXA MED CP-REDE CONEX/RAMAIS LM</t>
  </si>
  <si>
    <t>INST CAIXA MED CPREDE 1 MEDID ELETROM LM</t>
  </si>
  <si>
    <t>INST CAPACITOR DE MT MONOPOLAR LM</t>
  </si>
  <si>
    <t>INST CB AL MULTIPLEX TODOS LM</t>
  </si>
  <si>
    <t>INST CB AL PROTEG =&lt;95MM² LM</t>
  </si>
  <si>
    <t>INST CB AL PROTEG &gt;95MM² LM</t>
  </si>
  <si>
    <t>INST CB MENSAG REDE PROTEG CORDO9,5MM LM</t>
  </si>
  <si>
    <t>INST CH SECC S/LAM TER MONO MAN &lt;69KV</t>
  </si>
  <si>
    <t>INST CHAVE FUSIVEL &lt; 34,5 KV LM</t>
  </si>
  <si>
    <t>INST CHAVE FUSIVEL =&gt; 34,5KV LM</t>
  </si>
  <si>
    <t>INST CHAVE FUSIVEL 3 OP &lt; 34,5 KV</t>
  </si>
  <si>
    <t>INST CHAVE FUSIVEL 3 OP =&gt; 34,5 KV</t>
  </si>
  <si>
    <t>INST CINTA CX CP REDE PST LM</t>
  </si>
  <si>
    <t>INST COBERTURA REDE MT/FASE LM</t>
  </si>
  <si>
    <t>INST CONEC RD PRIM LM</t>
  </si>
  <si>
    <t>INST CONEC RD SEC LM</t>
  </si>
  <si>
    <t>INST CRUZAMENTO AEREO BT FLY TAP LM</t>
  </si>
  <si>
    <t>INST CRUZAMENTO AEREO MT FLY TAP  LM</t>
  </si>
  <si>
    <t>INST CRZ DUP BAS DE EQ ESP MAD OU FIB LM</t>
  </si>
  <si>
    <t>INST CRZ DUP BAS EQ ESP CONC LM</t>
  </si>
  <si>
    <t>INST ELETRODUTO REDE SUBTERRANEA TODOS</t>
  </si>
  <si>
    <t>INST EMENDA COND C/LUVA PREF LM</t>
  </si>
  <si>
    <t>INST EMENDA COND PRIM/SEC NU LM</t>
  </si>
  <si>
    <t>INST ESCORA SUBSOLO PST A IMPLANT-02 ESC</t>
  </si>
  <si>
    <t>INST ESCORA SUBSOLO PST EXISTENTE-02 ESC</t>
  </si>
  <si>
    <t>INST ESPAC REDE BT TUBO DE PVC LM</t>
  </si>
  <si>
    <t>INST ESPACADOR LOSANG 35A185MM² LM</t>
  </si>
  <si>
    <t>INST ESPACADOR REDE BT LM</t>
  </si>
  <si>
    <t>INST EST SEC EM REDE CONVENCIONAL LM</t>
  </si>
  <si>
    <t>INST EST SEC EM REDE MULTIPLEXADA LM</t>
  </si>
  <si>
    <t>INST ESTAI ANCORA CAVA SIMPLES LM</t>
  </si>
  <si>
    <t>INST ESTAI ANCORA EQUIP S/EXPLOSIVO LM</t>
  </si>
  <si>
    <t>INST ESTAI CRUZETA LM</t>
  </si>
  <si>
    <t>INST ESTR PRIM CE-CF LM</t>
  </si>
  <si>
    <t>INST ESTR PRIM CE-CS LM</t>
  </si>
  <si>
    <t>INST ESTR PRIM CE1-A LM</t>
  </si>
  <si>
    <t>INST ESTR PRIM CE1-C LM</t>
  </si>
  <si>
    <t>INST ESTR PRIM CE1/CE1-A/CE2 LM</t>
  </si>
  <si>
    <t>INST ESTR PRIM CE2 LM</t>
  </si>
  <si>
    <t>INST ESTR PRIM CE3 LM</t>
  </si>
  <si>
    <t>INST ESTR PRIM CE3/CE4 LM</t>
  </si>
  <si>
    <t>INST ESTR PRIM CEE-CS LM</t>
  </si>
  <si>
    <t>INST ESTR PRIM DN1 LM</t>
  </si>
  <si>
    <t>INST ESTR PRIM DN2 LM</t>
  </si>
  <si>
    <t>INST ESTR PRIM DN3 LM</t>
  </si>
  <si>
    <t>INST ESTR PRIM DN4-SEM CHAVE LM</t>
  </si>
  <si>
    <t>INST ESTR PRIM HT LM</t>
  </si>
  <si>
    <t>INST ESTR PRIM N3-2/M3-2/N2-3/M2-3 LM</t>
  </si>
  <si>
    <t>INST ESTR PRIM N3-N3/M3-M3 LM</t>
  </si>
  <si>
    <t>INST ESTR PRIM N3/B3/T3 LM</t>
  </si>
  <si>
    <t>INST ESTR PRIM N4/B4/T4 LM</t>
  </si>
  <si>
    <t>INST ESTR PRIM N4/N4E/M4/B4/B4E C/CH LM</t>
  </si>
  <si>
    <t>INST ESTR PRIM P1,PT1,PTA1 LM</t>
  </si>
  <si>
    <t>INST ESTR PRIM P2,PT2 LM</t>
  </si>
  <si>
    <t>INST ESTR PRIM P3 LM</t>
  </si>
  <si>
    <t>INST ESTR PRIM P4 LM</t>
  </si>
  <si>
    <t>INST ESTR PRIM U1/U2 LM</t>
  </si>
  <si>
    <t>INST ESTR PRIM U3-2/U2-3 LM</t>
  </si>
  <si>
    <t>INST ESTR PRIM U3/U4 LM</t>
  </si>
  <si>
    <t>INST ESTR. PRIM –  TE E T4 CRZ CONC LM</t>
  </si>
  <si>
    <t>INST ESTR. PRIM N3, M3, B3 CRZ CONC LM</t>
  </si>
  <si>
    <t>INST ESTR. PRIM N4, M4, B4 CRZ CONC LM</t>
  </si>
  <si>
    <t>INST ESTRIBO REDE BT LM</t>
  </si>
  <si>
    <t>INST ESTRIBO REDE MT LM</t>
  </si>
  <si>
    <t>INST ESTRUT PRIM N23/M23/B23 LM</t>
  </si>
  <si>
    <t>INST ESTRUTURA PRIM HS LM</t>
  </si>
  <si>
    <t>INST ESTRUTURA PRIM N1/M1/B1 LM</t>
  </si>
  <si>
    <t>INST ESTRUTURA PRIM N2/M2/B2/B2-E LM</t>
  </si>
  <si>
    <t>INST GRAMPO LINHA VIVA COM JUMPER LM</t>
  </si>
  <si>
    <t>INST ISOLADOR CADEIA LM</t>
  </si>
  <si>
    <t>INST ISOLADOR DISCO LM</t>
  </si>
  <si>
    <t>INST ISOLADOR PILAR LM</t>
  </si>
  <si>
    <t>INST ISOLADOR PINO FIM DE REDE LM</t>
  </si>
  <si>
    <t>INST ISOLADOR PINO LM</t>
  </si>
  <si>
    <t>INST ISOLADOR PINO TANGENTE LM</t>
  </si>
  <si>
    <t>INST JUMPER NA REDE MT/BT LM</t>
  </si>
  <si>
    <t>INST KIT INST ELET RES INT BAIX RENDA LM</t>
  </si>
  <si>
    <t>INST LACRE MED E/OU CX MED LM</t>
  </si>
  <si>
    <t>INST MAO FRANC LM</t>
  </si>
  <si>
    <t>INST MED EM CAIXA CP-TRAFO LM</t>
  </si>
  <si>
    <t>INST MED MEDIA TENSAO CONJ TCS E TPS</t>
  </si>
  <si>
    <t>INST MED PADRAO AREA RUR ELETROMECANICO</t>
  </si>
  <si>
    <t>INST N1, M1, B1 CRZ DE CONC LM</t>
  </si>
  <si>
    <t>INST N2-3 / M2-3 CRZ DE CONC LM</t>
  </si>
  <si>
    <t>INST N2, M2, B2 CRZ DE CONC LM</t>
  </si>
  <si>
    <t>INST PADR ENERG BIFASICO LM</t>
  </si>
  <si>
    <t>INST PADR ENERG MONOFASICO LM</t>
  </si>
  <si>
    <t>INST PADR ENERG TRIF T5/T6/T7-INDIR LM</t>
  </si>
  <si>
    <t>INST PADR ENERG TRIFASICO LM</t>
  </si>
  <si>
    <t>INST PARA-RAIOS RD &lt; 34,5 KV LM</t>
  </si>
  <si>
    <t>INST PARA-RAIOS RD &lt;34,5 KV LM</t>
  </si>
  <si>
    <t>INST PARA-RAIOS RD =&gt; 34,5 KV LM</t>
  </si>
  <si>
    <t>INST PLACA ALUS LM</t>
  </si>
  <si>
    <t>INST POSTE ACIMA 13M LM</t>
  </si>
  <si>
    <t>INST POSTE ATE 13M &lt;69KV GUIN LM</t>
  </si>
  <si>
    <t>INST POSTE ATE 13M &lt;69KV MANUAL LM</t>
  </si>
  <si>
    <t>INST POSTO TRANSF ESTRUT MT1 LM</t>
  </si>
  <si>
    <t>INST POSTO TRANSF ESTRUT MT2 LM</t>
  </si>
  <si>
    <t>INST RAMAL SERVICO BIFASICO LM</t>
  </si>
  <si>
    <t>INST RAMAL SERVICO MONOFASICO LM</t>
  </si>
  <si>
    <t>INST RAMAL SERVICO TRIFASICO LM</t>
  </si>
  <si>
    <t>INST REGULADOR TENSAO NA REDE MT LM</t>
  </si>
  <si>
    <t>INST RELIG TRIP NA REDE MT LM</t>
  </si>
  <si>
    <t>INST SAPATA PANTANO COM MANILHA</t>
  </si>
  <si>
    <t>INST SAPATA PANTANO COM TAMBOR</t>
  </si>
  <si>
    <t>INST SAPATA PANTANO COM TORA</t>
  </si>
  <si>
    <t>INST SEPARADOR VERTICAL 50/185MM² LM</t>
  </si>
  <si>
    <t>INST SERV TEC COM BALANC CARGA REDE BT</t>
  </si>
  <si>
    <t>INST SUP P/TRANSF &lt;69KV LM</t>
  </si>
  <si>
    <t>INST TRANSF DISTRIBUIC AEREO MONO LM</t>
  </si>
  <si>
    <t>INST TRANSF DISTRIBUIC AEREO TRIF LM</t>
  </si>
  <si>
    <t>LANCAR COND ELETR SUBTER LM</t>
  </si>
  <si>
    <t>LIMP FAIXA CAMPO-10M LARGURA</t>
  </si>
  <si>
    <t>LIMP FAIXA CERRADO E CAPOEIRA</t>
  </si>
  <si>
    <t>LIMP FAIXA SERVIDAO MECANIZADA</t>
  </si>
  <si>
    <t>LIMP FAIXA VEGETACAO DENSA</t>
  </si>
  <si>
    <t>MUDAR TAP TRANSF LM</t>
  </si>
  <si>
    <t>NIVELAR COND AT P/FASE LM</t>
  </si>
  <si>
    <t>NIVELAR COND BT P/FASE LM</t>
  </si>
  <si>
    <t>NIVELAR COND RAMAL SERV LM</t>
  </si>
  <si>
    <t>NIVELAR COND TODAS FASES LM</t>
  </si>
  <si>
    <t>NIVELAR CRUZETA LM</t>
  </si>
  <si>
    <t>OPER CHAVE FACA AB E FC EMERG LM</t>
  </si>
  <si>
    <t>OPER CHAVE FUS AB E FC EMERG LM</t>
  </si>
  <si>
    <t>OPER RELIG/DISJ AB E FC LM</t>
  </si>
  <si>
    <t>PINT NUM PST C/FORNEC MAT LM</t>
  </si>
  <si>
    <t>PINTAR Nº PATR EQU INST LM</t>
  </si>
  <si>
    <t>PODAR ARV GRANDE LM</t>
  </si>
  <si>
    <t>REAP CONEXOES PRIMARIAS LM</t>
  </si>
  <si>
    <t>REAP CONEXOES SECUNDARIAS LM</t>
  </si>
  <si>
    <t>REAP E REG CHAVE FUS LM</t>
  </si>
  <si>
    <t>REAP PARAFUSO ESTRUT PRIM LM</t>
  </si>
  <si>
    <t>REEMB ATEST ALINH POR PST LM</t>
  </si>
  <si>
    <t>REEMB ATEST ALINH POR RUA LM</t>
  </si>
  <si>
    <t>REFAZ AMARR BT LM</t>
  </si>
  <si>
    <t>REFAZ AMARR MT LM</t>
  </si>
  <si>
    <t>REINS N2, M2, B2 CRZ DE CONC LM</t>
  </si>
  <si>
    <t>REINST  N4, M4, B4 CRZ CONC LM</t>
  </si>
  <si>
    <t>REINST  RELIG NA REDE MT LM</t>
  </si>
  <si>
    <t>REINST AFASTADOR 500MM LM</t>
  </si>
  <si>
    <t>REINST CADEIA DISCO COMPLETA LM</t>
  </si>
  <si>
    <t>REINST CH MONO FACA LM</t>
  </si>
  <si>
    <t>REINST CH MONO FUSIVEL 3 OPERACOES LM</t>
  </si>
  <si>
    <t>REINST CH MONO FUSIVEL LM</t>
  </si>
  <si>
    <t>REINST CH TRIP OMNI RUPTER ABER CARGA LM</t>
  </si>
  <si>
    <t>REINST COND AL SECUND MULTIPLEX TODOS LM</t>
  </si>
  <si>
    <t>REINST CONDUT AL ATE 2/0 AWG INCLUS LM</t>
  </si>
  <si>
    <t>REINST CONDUT ALUMIN ACIMA DE 2/0 AWG LM</t>
  </si>
  <si>
    <t>REINST CONDUTOR ALUM PROT =&lt; 95 MM² LM</t>
  </si>
  <si>
    <t>REINST CONDUTOR ALUM PROT &gt; 95 MM² LM</t>
  </si>
  <si>
    <t>REINST CRUZAMENTO AEREO FLY TAP BT LM</t>
  </si>
  <si>
    <t>REINST CRUZAMENTO AEREO FLY TAP MT LM</t>
  </si>
  <si>
    <t>REINST ESP LO / VERT CB 35 A 185 LM</t>
  </si>
  <si>
    <t>REINST ESTAI CON-PST/CRUZ-PST/PST-PST LM</t>
  </si>
  <si>
    <t>REINST ESTAI CRUZETA A CRUZETA LM</t>
  </si>
  <si>
    <t>REINST ESTR PRIM TIPO P1, PT1 OU PTA1 LM</t>
  </si>
  <si>
    <t>REINST ESTR. PRIM –  T4 E TE CRZ CONC LM</t>
  </si>
  <si>
    <t>REINST ESTR. PRIM N3, M3, B3 CRZ CONC LM</t>
  </si>
  <si>
    <t>REINST ESTRUTURA PRIM CE1/CE1-A LM</t>
  </si>
  <si>
    <t>REINST ESTRUTURA PRIM CE2 LM</t>
  </si>
  <si>
    <t>REINST ESTRUTURA PRIM CE3 LM</t>
  </si>
  <si>
    <t>REINST ESTRUTURA PRIM CE4 LM</t>
  </si>
  <si>
    <t>REINST ESTRUTURA PRIM HT/HTE LM</t>
  </si>
  <si>
    <t>REINST ESTRUTURA PRIM N1/M1/B1 CONC LM</t>
  </si>
  <si>
    <t>REINST ESTRUTURA PRIM N2/M2/B2/B2-E LM</t>
  </si>
  <si>
    <t>REINST ESTRUTURA PRIM N4/M4/B4 LM</t>
  </si>
  <si>
    <t>REINST ESTRUTURA PRIM T4/TE/T4-T LM</t>
  </si>
  <si>
    <t>REINST ESTRUTURA PRIMARIA MRT U1,U2 LM</t>
  </si>
  <si>
    <t>REINST ESTRUTURA PRIMARIA MRT U3,U4 LM</t>
  </si>
  <si>
    <t>REINST ESTRUTURA PRIMARIA TIPO P3 LM</t>
  </si>
  <si>
    <t>REINST ESTRUTURA PRIMARIA TIPO P4 LM</t>
  </si>
  <si>
    <t>REINST ESTRUTURA SECUNDARIA CONVENCIONAL</t>
  </si>
  <si>
    <t>REINST ISOLADOR DE PINO LM</t>
  </si>
  <si>
    <t>REINST PARA-RAIO RD &lt; 34,5KV LM</t>
  </si>
  <si>
    <t>REINST PARA-RAIO RD &gt; = 34,5KV LM</t>
  </si>
  <si>
    <t>REINST POSTE ACIMA DE 13M LM</t>
  </si>
  <si>
    <t>REINST POSTE DE 8,5 ATE 13M LM</t>
  </si>
  <si>
    <t>REINST RAMAL SERVICO CONSUM BIFASICO LM</t>
  </si>
  <si>
    <t>REINST RAMAL SERVICO CONSUM MONOF LM</t>
  </si>
  <si>
    <t>REINST RAMAL SERVICO CONSUM TRIFASICO LM</t>
  </si>
  <si>
    <t>REINST REGULADOR TENSAO MONOPOLAR LM</t>
  </si>
  <si>
    <t>REINST SERV TEC ESPACADOR BT LM</t>
  </si>
  <si>
    <t>REINST TRANSF DIST AEREO MONOFASICO LM</t>
  </si>
  <si>
    <t>REINST TRANSF DIST TRIFASICO LM</t>
  </si>
  <si>
    <t>REMAN BANCO CAPACITOR 300 KVAR LM</t>
  </si>
  <si>
    <t>REMAN BANCO CAPACITOR 600 KVAR LM</t>
  </si>
  <si>
    <t>REMAN BANCO CAPACITOR 900 KVAR LM</t>
  </si>
  <si>
    <t>REMAN CADEIA ISOLADOR DISCO REDE LM</t>
  </si>
  <si>
    <t>REMAN PST C/USO GUIND LM</t>
  </si>
  <si>
    <t>REMAN PST MANUAL LM</t>
  </si>
  <si>
    <t>REMAN REG TENS MONO LM</t>
  </si>
  <si>
    <t>REMAN RELIG LM</t>
  </si>
  <si>
    <t>REMAN TRANSF MON LM</t>
  </si>
  <si>
    <t>REMAN TRANSF TRIF LM</t>
  </si>
  <si>
    <t>REPAR COND C/PREFORM LM</t>
  </si>
  <si>
    <t>REPOSIC CRUZ N1/N2 OU B1/B2 LM</t>
  </si>
  <si>
    <t>REPOSIC CRUZ N3,N4 OU B3,B4,T3/T4 LM</t>
  </si>
  <si>
    <t>RET CASA JOAO BARRO LM</t>
  </si>
  <si>
    <t>RET DESMANTELAR ATER LM</t>
  </si>
  <si>
    <t>RET ESTAI DE QUALQUER TIPO CORD LM</t>
  </si>
  <si>
    <t>RET OBJ ESTRANHO REDE LM</t>
  </si>
  <si>
    <t>RET RAMAL ENTR C ELETROD CAIXA CP REDE</t>
  </si>
  <si>
    <t>RET. COND ISOL. DE BAR. DE TRANSF. LM</t>
  </si>
  <si>
    <t>SECCIONAR CERCA POR FIO LM</t>
  </si>
  <si>
    <t>SERC OFIC SUBS CABO ACO EM ESTAI LM</t>
  </si>
  <si>
    <t>SERV AB/FEC VAL ATER EM TERRA</t>
  </si>
  <si>
    <t>SERV INSPECAO EM REDE RURAL LM</t>
  </si>
  <si>
    <t>SERV OFIC APRUMAR PST LM</t>
  </si>
  <si>
    <t>SERV OFIC DESAT ESTAI POSTE-ESTRUT LM</t>
  </si>
  <si>
    <t>SERV OFIC INST CABO MENS CORD ACO LM</t>
  </si>
  <si>
    <t>SERV OFIC INST CRUZETA LM</t>
  </si>
  <si>
    <t>SERV OFIC PODAR ARVORE RURAL LM</t>
  </si>
  <si>
    <t>SERV OFIC RETENS ESTAI POSTE-ESTRUT LM</t>
  </si>
  <si>
    <t>SERV TEC DE LM ATERRAR CERCA LM</t>
  </si>
  <si>
    <t>SERV TEC LM DIST PST OBRA LM (URBANO)</t>
  </si>
  <si>
    <t>SERV TRANSFORMAR TIPO N1 PARA N2</t>
  </si>
  <si>
    <t>SERV TRANSFORMAR TIPO N1 PARA N4</t>
  </si>
  <si>
    <t>SERV TRANSFORMAR TIPO N2 PARA N1</t>
  </si>
  <si>
    <t>SERV TRANSFORMAR TIPO N4 PARA N1</t>
  </si>
  <si>
    <t>SERV. EMERG. DOMINGO E FERIADO - ADICIONAL 50%</t>
  </si>
  <si>
    <t>ADIC</t>
  </si>
  <si>
    <t>SERV. EMERG. FORA DO HORARIO COMERCIAL-ADICIONAL 30%</t>
  </si>
  <si>
    <t>SERV. EMERG. MOBILIZAÇÃO/DESMOBILIZAÇÃO (1 HORA)</t>
  </si>
  <si>
    <t>SERVIÇO EXCLUSIVO DE PODA DE ARVORE URB/RUR  C/RECOLHA</t>
  </si>
  <si>
    <t>SERVIÇO EXCLUSIVO DE PODA DE ARVORE URB/RUR  S/RECOLHA</t>
  </si>
  <si>
    <t>SIST ILUM SUBST REATOR EXTERNO LM</t>
  </si>
  <si>
    <t>SIST ILUM SUBST RELE FOTOELETRICO LM</t>
  </si>
  <si>
    <t>SUBST ELO FUSIVEL LM</t>
  </si>
  <si>
    <t>SUBST MAO FRANCESA LM</t>
  </si>
  <si>
    <t>SUBST PARA-RAIO &lt; 34,5 kV LM</t>
  </si>
  <si>
    <t>SUBST PINO PARA ISOLADOR LM</t>
  </si>
  <si>
    <t>SUBST PORTA FUSIVEL ELO FUSIVEL LM</t>
  </si>
  <si>
    <t>TRAT HST ATERR TR QU LABORGEL/SIMILAR LM</t>
  </si>
  <si>
    <t>VER SEQU FASE LM</t>
  </si>
  <si>
    <t xml:space="preserve">  </t>
  </si>
  <si>
    <t>LOTE ENVIADO</t>
  </si>
  <si>
    <t>DATA ENVIO LOTE</t>
  </si>
  <si>
    <t>DATA EXECUÇÃO</t>
  </si>
  <si>
    <t>EQUIPE</t>
  </si>
  <si>
    <t>ENCARREGADO</t>
  </si>
  <si>
    <t>IDENTIFICAÇÃO EQUIPAMENTO</t>
  </si>
  <si>
    <t>OS COI</t>
  </si>
  <si>
    <t>OS PRIMARIA</t>
  </si>
  <si>
    <t>OS SECUNDARIA</t>
  </si>
  <si>
    <t>CONTROLE CRS</t>
  </si>
  <si>
    <t>Apoio Linha Viva</t>
  </si>
  <si>
    <t>Nº DA OBRA  EMERGENCIAL</t>
  </si>
  <si>
    <t>VALOR CRS</t>
  </si>
  <si>
    <t xml:space="preserve"> VALOR NÚCLEO  </t>
  </si>
  <si>
    <t>DIFERENÇA</t>
  </si>
  <si>
    <t>OBSERVAÇÕES ENERGISA</t>
  </si>
  <si>
    <t>OBSERVAÇÕES DINAMO</t>
  </si>
  <si>
    <t>FERNANDO</t>
  </si>
  <si>
    <t>ELIEZER</t>
  </si>
  <si>
    <t>Nº DA OBRA EMERGENCIAL</t>
  </si>
  <si>
    <t>VALOR NÚCLEO</t>
  </si>
  <si>
    <t>EQUIPE=&gt;</t>
  </si>
  <si>
    <t>ENCARREGADO:</t>
  </si>
  <si>
    <t>DATA SAÍDA=&gt;</t>
  </si>
  <si>
    <t>DATA RETORNO=&gt;</t>
  </si>
  <si>
    <t>TÉCNICO DIN:</t>
  </si>
  <si>
    <t>ARINEY</t>
  </si>
  <si>
    <t>ENDEREÇO=&gt;</t>
  </si>
  <si>
    <t>NR</t>
  </si>
  <si>
    <t>ELETRICISTAS=&gt;</t>
  </si>
  <si>
    <t>SAIDA BASE =&gt;</t>
  </si>
  <si>
    <t>RETORNO BASE =&gt;</t>
  </si>
  <si>
    <t>KM INICIAL=&gt;</t>
  </si>
  <si>
    <t>INICIO SERVIÇO =&gt;</t>
  </si>
  <si>
    <t>RETORNO SERVIÇO =&gt;</t>
  </si>
  <si>
    <t>KM FINAL=&gt;</t>
  </si>
  <si>
    <t>CÓD. ACIONAMENTO=&gt;</t>
  </si>
  <si>
    <t>Nº INTERVENÇÃO=&gt;</t>
  </si>
  <si>
    <t>NOTA (SS)=&gt;</t>
  </si>
  <si>
    <t>OS TABLET =&gt;</t>
  </si>
  <si>
    <t>OBSERVAÇÃO =&gt;</t>
  </si>
  <si>
    <t>TRANSFORMADOR RETIRADO POTENCIA =&gt;</t>
  </si>
  <si>
    <t>MARCA =&gt;</t>
  </si>
  <si>
    <t>FABRICAÇÃO =&gt;</t>
  </si>
  <si>
    <t>TENSÃO SEGUNDARIA=&gt;</t>
  </si>
  <si>
    <t>V</t>
  </si>
  <si>
    <t>TENSÃO PRIMARIA=&gt;</t>
  </si>
  <si>
    <t>KV</t>
  </si>
  <si>
    <t>Nº SERIE =&gt;</t>
  </si>
  <si>
    <t>PATRIMONIO =&gt;</t>
  </si>
  <si>
    <t>TRANSFORMADOR INSTALADO POTENCIA =&gt;</t>
  </si>
  <si>
    <t>A-N=&gt;</t>
  </si>
  <si>
    <t>B-N=&gt;</t>
  </si>
  <si>
    <t>C-N=&gt;</t>
  </si>
  <si>
    <t>A-B=&gt;</t>
  </si>
  <si>
    <t>A-C=&gt;</t>
  </si>
  <si>
    <t>B-C=&gt;</t>
  </si>
  <si>
    <t>A=&gt;</t>
  </si>
  <si>
    <t>B=&gt;</t>
  </si>
  <si>
    <t>C=&gt;</t>
  </si>
  <si>
    <t>N=&gt;</t>
  </si>
  <si>
    <t>ALIMENTADOR =&gt;</t>
  </si>
  <si>
    <t>SUBESTAÇÃO =&gt;</t>
  </si>
  <si>
    <t>Nº TRANSFORMADOR =&gt;</t>
  </si>
  <si>
    <t>Nº ID POSTE =&gt;</t>
  </si>
  <si>
    <t>ITEM</t>
  </si>
  <si>
    <t>CÓD</t>
  </si>
  <si>
    <t xml:space="preserve">Un </t>
  </si>
  <si>
    <t>R$</t>
  </si>
  <si>
    <t>OPERAÇÕES</t>
  </si>
  <si>
    <t>TOTAL</t>
  </si>
  <si>
    <t>SUB-TOTAL</t>
  </si>
  <si>
    <t>MATERIAL APLICADO</t>
  </si>
  <si>
    <t>MATERIAL RETIRADO</t>
  </si>
  <si>
    <t>SUCATA</t>
  </si>
  <si>
    <t>REFORMA</t>
  </si>
  <si>
    <t>BOM</t>
  </si>
  <si>
    <t>DESCARTE</t>
  </si>
  <si>
    <t>127/220</t>
  </si>
  <si>
    <t>126</t>
  </si>
  <si>
    <t xml:space="preserve">45 KVA	</t>
  </si>
  <si>
    <t>75 KVA</t>
  </si>
  <si>
    <t>ITAIPU</t>
  </si>
  <si>
    <t>02 / 2022</t>
  </si>
  <si>
    <t>08:35</t>
  </si>
  <si>
    <t>10:45</t>
  </si>
  <si>
    <t>WEG</t>
  </si>
  <si>
    <t>GESSER / LUCICLAUDIO</t>
  </si>
  <si>
    <t>112,5 KVA</t>
  </si>
  <si>
    <t>Segunda-feira, 2 de maio de 2022</t>
  </si>
  <si>
    <t>Rua Radialista Reinaldo Veiga, 8 - Coophamil, Cuiabá - MT, 78028-180</t>
  </si>
  <si>
    <t>DINEM20220***</t>
  </si>
  <si>
    <t>JOILSON / RONILSON</t>
  </si>
  <si>
    <t>EMT-RD-ME002901/2022</t>
  </si>
  <si>
    <t>12 / 1990</t>
  </si>
  <si>
    <t>N/A</t>
  </si>
  <si>
    <t>275400</t>
  </si>
  <si>
    <t>Terça-feira, 3 de maio de 2022</t>
  </si>
  <si>
    <t>Av. Flamboiant, 2-118 - Res. Sao Carlos, Cuiabá - MT, 78051-035</t>
  </si>
  <si>
    <t>07 / 1992</t>
  </si>
  <si>
    <t>10004</t>
  </si>
  <si>
    <t>06 / 2021</t>
  </si>
  <si>
    <t>270154</t>
  </si>
  <si>
    <t>cod_grupo</t>
  </si>
  <si>
    <t>descricao</t>
  </si>
  <si>
    <t>cod_mobra</t>
  </si>
  <si>
    <t>instalar</t>
  </si>
  <si>
    <t>retirar</t>
  </si>
  <si>
    <t>instalar_emergencial</t>
  </si>
  <si>
    <t>retirar_emergencial</t>
  </si>
  <si>
    <t>SAP</t>
  </si>
  <si>
    <t>HEC</t>
  </si>
  <si>
    <t>METROS</t>
  </si>
  <si>
    <t>MANUTENÇÃO</t>
  </si>
  <si>
    <t>cod_material</t>
  </si>
  <si>
    <t>und_medida</t>
  </si>
  <si>
    <t>val_material</t>
  </si>
  <si>
    <t>situacao</t>
  </si>
  <si>
    <t>qtd_item_prev</t>
  </si>
  <si>
    <t>qtd_rma</t>
  </si>
  <si>
    <t>qtd_outros</t>
  </si>
  <si>
    <t>qtd_dma</t>
  </si>
  <si>
    <t>qtdmat_apl</t>
  </si>
  <si>
    <t>qtdmat_apl_fsc</t>
  </si>
  <si>
    <t>NORMAL</t>
  </si>
  <si>
    <t>DESPADRONIZADO</t>
  </si>
  <si>
    <t>ALCA PREFORMADA SERVICO 8AWG 355,0MM</t>
  </si>
  <si>
    <t>CARTUCHO FERRAM CONECTOR CUNHA VERMELHO</t>
  </si>
  <si>
    <t>CONECTOR CUNHA ALUMINIO 4/0AWG/ 4/0AWG AZ</t>
  </si>
  <si>
    <t>FIO ATERRAMENTO ACO ALUM NU 8AWG 1F</t>
  </si>
  <si>
    <t>ISOLADOR PILAR PORCELANA CINZA CL VERT/HORIZ 300,0MM 800DAN</t>
  </si>
  <si>
    <t>CRUZETA POSTE MADEIRA RETANGULAR 2400MM</t>
  </si>
  <si>
    <t>CONECTOR CUNHA ALUMINIO 1/0 - 2/0 AWG / 2 AWG AZ</t>
  </si>
  <si>
    <t xml:space="preserve">LUVA EMENDA HASTE ATERRAMENTO COBRE ROSCA UNC 5/8 </t>
  </si>
  <si>
    <t>HASTE ATERRAMENTO CIRC C/ROSCA 5/8 2400,0MM</t>
  </si>
  <si>
    <t>POSTE DT CONCR TIPO B 11M 400DAN</t>
  </si>
  <si>
    <t>CONECTOR CUNHA ALUMINIO 4/0AWG/ 2AWG AZ</t>
  </si>
  <si>
    <t>POSTE CIRCULAR CONCRETO 11M 800 DAN 420MM 220MM</t>
  </si>
  <si>
    <t>PARAFUSO SEXT NORMAL A394 RP UNC 1/2X 2.3/8</t>
  </si>
  <si>
    <t>ALCA PREF CORD ACO-ZN 9,50MM 6X2.54MM 965MM LRJ</t>
  </si>
  <si>
    <t>TRANSF DISTR AER OMI 3F 13,8KV 220/127V 112,5KVA CL2 4TP</t>
  </si>
  <si>
    <t>TRANSF DISTR AER OMI 3F 13,8KV 220/127V 45KVA CL2 4TP</t>
  </si>
  <si>
    <t>TRANSF DISTR AER OMI 3F 13,8KV 220/127V 75KVA CL2 4TP</t>
  </si>
  <si>
    <t>TRANSF DISTR AER OMI 1F/N 7,969KV 254/127V 10KVA CL2 5TP</t>
  </si>
  <si>
    <t>CONECTOR CUNHA ALUM CN-01 16,30-18,50/15,00-18,50MM AZL</t>
  </si>
  <si>
    <t>EMENDA PREF COND LIGA ALUM TCAA 336,40MCM 910MM</t>
  </si>
  <si>
    <t>POSTE CONCR CIRC 10M 600DAN 390MM 190MM CL II</t>
  </si>
  <si>
    <t>POSTE CONCR CIRC 11M 1000DAN 450MM 230MM CL II</t>
  </si>
  <si>
    <t>POSTE CONCR CIRC 11M 600DAN 410MM 190MM CL II</t>
  </si>
  <si>
    <t>POSTE CONCR CIRC 12M 600DAN 430MM 190MM CL II</t>
  </si>
  <si>
    <t>POSTE CONCR DUPL T 10M 150DAN 200X280MM 100X120MM CL II</t>
  </si>
  <si>
    <t>POSTE CONCR DUPL T 10M 300DAN 310X420MM 110X140MM CL II</t>
  </si>
  <si>
    <t>POSTE CONCR DUPL T 11M 1000DAN 360X490MM 140X182MM CL II</t>
  </si>
  <si>
    <t>POSTE CONCR DUPL T 11M 300DAN 330X448MM 110X140MM CL II</t>
  </si>
  <si>
    <t>POSTE CONCR DUPL T 11M 600DAN 330X448MM 110X140MM CL II</t>
  </si>
  <si>
    <t>POSTE CONCR DUPL T 12M 600DAN 350X476MM 110X140MM CL II</t>
  </si>
  <si>
    <t>PARA-RAIOS DISTR BT POLIM 127V 10KA OX MT S/CENT RSI</t>
  </si>
  <si>
    <t>PARA-RAIOS DISTR MT POLIM 13,8KV 10KA OX ZN S/CENT S/FERR</t>
  </si>
  <si>
    <t>PARA-RAIOS DISTR MT POLIM 34,5KV 10KA OX ZN S/CENT S/FERR</t>
  </si>
  <si>
    <t>CINTA POSTE CIRCULAR ACO GALV 160MM 6MM 5000DAN</t>
  </si>
  <si>
    <t>CINTA POSTE CIRCULAR ACO GALV 170MM 6MM 5000DAN</t>
  </si>
  <si>
    <t>CINTA POSTE CIRCULAR ACO GALV 180MM 6MM 5000DAN</t>
  </si>
  <si>
    <t>CINTA POSTE CIRCULAR ACO GALV 190MM 6MM 5000DAN</t>
  </si>
  <si>
    <t>CINTA POSTE CIRCULAR ACO GALV 200MM 6MM 5000DAN</t>
  </si>
  <si>
    <t>CINTA POSTE CIRCULAR ACO GALV 220MM 6MM 5000DAN</t>
  </si>
  <si>
    <t>CINTA POSTE CIRCULAR ACO GALV 230MM 6MM 5000DAN</t>
  </si>
  <si>
    <t>CINTA POSTE CIRCULAR ACO GALV 240MM 6MM 5000DAN</t>
  </si>
  <si>
    <t>CINTA POSTE CIRCULAR ACO GALV 250MM 6MM 5000DAN</t>
  </si>
  <si>
    <t>CINTA POSTE CIRCULAR ACO GALV 270MM 6MM 5000DAN</t>
  </si>
  <si>
    <t>CINTA POSTE CIRCULAR ACO GALV 280MM 6MM 5000DAN</t>
  </si>
  <si>
    <t>CINTA POSTE CIRCULAR ACO GALV 300MM 6MM 5000DAN</t>
  </si>
  <si>
    <t>CINTA POSTE CIRCULAR ACO GALV 310MM 6MM 5000DAN</t>
  </si>
  <si>
    <t>CINTA POSTE CIRCULAR ACO GALV 210MM 6MM 5000DAN</t>
  </si>
  <si>
    <t>CINTA POSTE CIRCULAR ACO GALV 260MM 6MM 5000DAN</t>
  </si>
  <si>
    <t>CINTA POSTE CIRCULAR ACO GALV 290MM 6MM 5000DAN</t>
  </si>
  <si>
    <t>CINTA POSTE CIRCULAR ACO GALV 340MM 6MM 5000DAN</t>
  </si>
  <si>
    <t>PINO ISOLADOR CRUZETA ACO M16 294X140X150MM 15KV</t>
  </si>
  <si>
    <t>PINO ISOLADOR AUTOTRAVANTE ACO M20/M16 168,5MM</t>
  </si>
  <si>
    <t>PINO ISOLADOR AUTOTRAVANTE ACO M20/M16 85,0MM</t>
  </si>
  <si>
    <t>ISOLADOR PILAR PORC 8KN 220MM 300MM 15,0KV PL8CC</t>
  </si>
  <si>
    <t>CORDOALHA ACO CARB CL A 7 FIOS MR 6,4MM 1430DAN</t>
  </si>
  <si>
    <t>CORDOALHA ACO CARB CL A 7 FIOS MR 9,5MM 3160DAN</t>
  </si>
  <si>
    <t>CABO ALUM NU 1F CA/AAC 2AWG IRIS</t>
  </si>
  <si>
    <t>CABO ALUM NU 1F CA/AAC 1/0AWG POPPY</t>
  </si>
  <si>
    <t>CABO ALUM NU CAA 2AWG 1F SPARROW</t>
  </si>
  <si>
    <t>CABO ALUM NU CAA 1/0AWG 1F RAVEN</t>
  </si>
  <si>
    <t>CABO ALUM PROT SPL 120MM2 15,0KV 1F 15 FIOS</t>
  </si>
  <si>
    <t>CABO ALUM PROT SPL 15,0KV 185MM2 1F 30 FIOS</t>
  </si>
  <si>
    <t xml:space="preserve">CABO ALUM MULTIPLEX 0,6/1KV XLPE 2F 10MM2+10MM2 </t>
  </si>
  <si>
    <t>ISOLADOR PINO POLIMERICO CINZA 15,0KV 280MM 25MM ANEL</t>
  </si>
  <si>
    <t>ISOLADOR SUSP BASTAO POLIM 15.0KV 370MM 380MM 50KN GO</t>
  </si>
  <si>
    <t>ISOLADOR SUSP BASTAO POLIM 36.2KV 550MM 745MM 50KN GO</t>
  </si>
  <si>
    <t>CABO ALUM MULTIPLEX 0,6/1KV XLPE 3F 35MM2+35MM2</t>
  </si>
  <si>
    <t>CABO ALUM MULTIPLEX 0,6/1KV XLPE 3F 70MM2+70MM2</t>
  </si>
  <si>
    <t>CABO ALUM MULTIPLEX 0,6/1KV XLPE 3F 120MM2+70MM2</t>
  </si>
  <si>
    <t>CABO PROT SPL COBRE 16MM2 15,0KV 1F 6 FIOS</t>
  </si>
  <si>
    <t>ISOLADOR ROLDANA PORC MARROM 79X76MM 1350DAN</t>
  </si>
  <si>
    <t>ARAME REDOND ACO-GALV DURA 2,77MM BWG12</t>
  </si>
  <si>
    <t>ALCA PREF SERV ACO-ZINC 6,00-6,70MM 330MM LRJ</t>
  </si>
  <si>
    <t>ALCA PREF DISTR ACO-ZINC 13,10-14,65MM 865MM VRM</t>
  </si>
  <si>
    <t>ALCA PREF DISTR ACO-ALUM 9,27-10,40MM 660MM AMR</t>
  </si>
  <si>
    <t>LACO PREF DISTR ACO-AL TOPO 7,30-8,20MM 700MM VRM COX</t>
  </si>
  <si>
    <t>LACO PREF DISTR ACO-AL TOPO 13,10-14,65MM 800MM VRM COX</t>
  </si>
  <si>
    <t>CONECTOR CUNHA CB-EST ALUM 5,88-8,01MM 2AWG VM</t>
  </si>
  <si>
    <t>CONECTOR CUNHA CB-EST ALUM 14,88-16,30MM 1/0AWG AM</t>
  </si>
  <si>
    <t xml:space="preserve">CONECTOR DERIV PERFURAT C/C 1,0KV 16-120MM2/4-35MM2 </t>
  </si>
  <si>
    <t xml:space="preserve">CONECTOR DERIV PERFURAT C/C 1,0KV 70-240MM2/70-240MM2 </t>
  </si>
  <si>
    <t>PARAFUSO CAB QUAD ACO CARB M16 100MM</t>
  </si>
  <si>
    <t>PARAFUSO CAB QUAD ACO CARB M16 125MM</t>
  </si>
  <si>
    <t>PARAFUSO CAB QUAD ACO CARB M16 150MM</t>
  </si>
  <si>
    <t>PARAFUSO CAB QUAD ACO CARB M16 200MM</t>
  </si>
  <si>
    <t>PARAFUSO CAB QUAD ACO CARB M16 250MM</t>
  </si>
  <si>
    <t>PARAFUSO CAB QUAD ACO CARB M16 300MM</t>
  </si>
  <si>
    <t>PARAFUSO CAB QUAD ACO CARB M16 400MM</t>
  </si>
  <si>
    <t>PARAFUSO CAB QUAD ACO CARB M16 450MM</t>
  </si>
  <si>
    <t>PARAFUSO CAB ABAU ACO CARB M16 70MM</t>
  </si>
  <si>
    <t>PARAFUSO CAB ABAU ACO CARB M16 150MM</t>
  </si>
  <si>
    <t>PARAFUSO ROSC TOTAL ACO CARB M16 450MM</t>
  </si>
  <si>
    <t>PARAFUSO ROSC TOTAL ACO CARB M16 500MM</t>
  </si>
  <si>
    <t>ARRUELA QUADRADA ACO GALV 38X18X3MM</t>
  </si>
  <si>
    <t>ARMACAO SECUNDARIA ACO GALV 1 ESTRIBO 110X50X5,0MM 125X16MM</t>
  </si>
  <si>
    <t xml:space="preserve"> ESTRIBO P/ BRACO TIPO L ACO GALV 140X70X50MM 400DAN</t>
  </si>
  <si>
    <t>CRUZETA DISTR PRFV TIPO RET 2400MM 90X112,5MM 400DAN CL2</t>
  </si>
  <si>
    <t>ESPACADOR LOSANG PEAD 15,0KV 340X460MM ANEL 3 COND</t>
  </si>
  <si>
    <t>SUPORTE TRANSF ESP PST DT ACO GALV 360X76X10MM 3000DAN</t>
  </si>
  <si>
    <t>MANILHA SAPATILHA ACO GALV 110X60X34MM 5000DAN</t>
  </si>
  <si>
    <t>MAO FRANCESA PERFIL ACO 5X38X1534MM 3000DAN</t>
  </si>
  <si>
    <t>MAO FRANCESA PERFIL ACO 5X48X1971MM 3000DAN</t>
  </si>
  <si>
    <t>MAO FRANCESA PLANA ACO 6X32X619MM 3000DAN</t>
  </si>
  <si>
    <t>MAO FRANCESA PLANA ACO 6X32X726MM 3000DAN</t>
  </si>
  <si>
    <t>MAO FRANCESA PLANA ACO 6X32X1053MM 3000DAN</t>
  </si>
  <si>
    <t>PERFIL U ACO GALV 900MM 76X37X6MM 400DAN</t>
  </si>
  <si>
    <t>GANCHO OLHAL ACO GALV 130X88X13MM 50KN S/TRAVA</t>
  </si>
  <si>
    <t>GRAMPO ANCOR DIELETR 15,0KV 21,8-24,3MM 185MM2 400DAN</t>
  </si>
  <si>
    <t>CONECTOR GRAMPO LINHA VIVA COBRE 2-1/0AWG/ 8-2/0AWG 100A</t>
  </si>
  <si>
    <t>CONECTOR GRAMPO LINHA VIVA ALUM 35-120MM2/ 10-95MM2 400A</t>
  </si>
  <si>
    <t>HASTE ATERRAMENTO CIRC 2400X14,3MM S/ ROSCA</t>
  </si>
  <si>
    <t>CONEC CUNHA RML COBR TP I 3,17-8,12/3,17-7,42MM CZ</t>
  </si>
  <si>
    <t>CONEC CUNHA RML COBR TP II 3,17-8,12/3,17-5,21MM VD</t>
  </si>
  <si>
    <t>ELO FUSIVEL DISTRIBUICAO TIPO H 1A 500MM</t>
  </si>
  <si>
    <t>ELO FUSIVEL DISTRIBUICAO TIPO H 5A 500MM</t>
  </si>
  <si>
    <t>ELO FUSIVEL DISTRIBUICAO TIPO K 25A 500MM</t>
  </si>
  <si>
    <t>FIXADOR PERFIL U ACO GALV 37X76X176MM 150DAN</t>
  </si>
  <si>
    <t>SUPORTE P/CHAVE FACA INCLINADO 45 15KV 220X169X220MM</t>
  </si>
  <si>
    <t>SUPORTE P/CHAVE FACA INCLINADO 45 25/35KV 320X245X320MM</t>
  </si>
  <si>
    <t>SUPORTE TRANSF PST CIRC ACO GALV 250MM 76X8MM 3000DAN</t>
  </si>
  <si>
    <t>ANEL AMAR ELASTOMERICO P/ISOLADOR 15,0KV 45X110X160MM VRM</t>
  </si>
  <si>
    <t>BRACO ANTI-BALANCO PEAD 15,0KV 305MM</t>
  </si>
  <si>
    <t>CHAVE FUS DIST PRC BASE C 15,0KV 315A 1F MAN SEC</t>
  </si>
  <si>
    <t>CHAVE FUS DIST PRC BASE C 36,2KV 315A 1F MAN SEC</t>
  </si>
  <si>
    <t>CHAVE FUS RELIG DIST PRC BASE C 36,2KV 315A 1F MAN SEC 3INT</t>
  </si>
  <si>
    <t>CHAVE SECC FACA PORC EXT 34,5-36,2KV 400A 1F MAN SECO CENT</t>
  </si>
  <si>
    <t>CHAVE SECC FACA PORC EXT 11,4-13,8-15KV 630A 1F MAN SECO CEN</t>
  </si>
  <si>
    <t>CABO ALUM NU CAA 4AWG 1F SWAN</t>
  </si>
  <si>
    <t>ESPACADOR LOSANG PEAD 15,0KV 340X460MM TRAV 3 COND</t>
  </si>
  <si>
    <t>ISOLADOR PILAR PORC 8KN 400MM 720MM 36,2KV PL8CC</t>
  </si>
  <si>
    <t>CAPA PROT PEAD TRANSF MT 15/36,2KV 135X110MM</t>
  </si>
  <si>
    <t>PINO ISOLADOR AUTOTRAVANTE ACO M20/M16 228,5MM</t>
  </si>
  <si>
    <t>HASTE ATERRAMENTO CIRC 2400X14,3MM C/ ROSCA</t>
  </si>
  <si>
    <t>ELO FUSIVEL DISTRIBUICAO TIPO K 6A 500MM AMARELA</t>
  </si>
  <si>
    <t>CONECTOR CUNHA ALUM CN-06 9,25-14,53/6,55-14,53MM AZL</t>
  </si>
  <si>
    <t>CONECTOR CUNHA ALUM CN-10 8,23-14,53/4,11-11,79MM AZL</t>
  </si>
  <si>
    <t>CONECTOR CUNHA ALUM CN-16 16,90-18,30/11,80-14,31MM AZL</t>
  </si>
  <si>
    <t>CONECTOR CUNHA ALUM CN-03 15,24-17,37/8,23-15,24MM AZL</t>
  </si>
  <si>
    <t>CONECTOR CUNHA ALUM CN-17 16,90-18,30/7,42-11,35MM AZL</t>
  </si>
  <si>
    <t>TERMINAL COMPRESSAO ANEL 25,0X 145,0MM 2 FUROS 10,00MM2</t>
  </si>
  <si>
    <t>CAPA PROT PEAD TRANSF BT 1,2 KV 247X85X70MM 2X24MM</t>
  </si>
  <si>
    <t>CABO COBRE ISOLAD 450/750V BWF/PVC 120MM2 CL2/4/5 PRT</t>
  </si>
  <si>
    <t>CABO CONTROLE 1KV COBRE PVC 2X2,5MM2 CL2</t>
  </si>
  <si>
    <t>SUPORTE DESENHO CH SECCIONADORA</t>
  </si>
  <si>
    <t>CABO ALUM NU 1F CA/AAC 336,4MCM TULIP</t>
  </si>
  <si>
    <t>codigo</t>
  </si>
  <si>
    <t>TÉCNICO ENG:</t>
  </si>
  <si>
    <t>CONEC CUNHA RML COBRE TP VII-10/1,6-8,30MM</t>
  </si>
  <si>
    <t>ISOLADOR SUSPENSAO ESFERICO PORC MR 178MM</t>
  </si>
  <si>
    <t>CRUZETA DISTR CONCR TIPO QUADR 90X90MM 2000MM 250DAN CL 2</t>
  </si>
  <si>
    <t>EMENDA PREF COM MET CAA 2AWG 7,89-8,27MM</t>
  </si>
  <si>
    <t>GRAMPO ANCOR DIELETR SINGLE 15KV 14,0-10,5MM 50MM2  400DAN</t>
  </si>
  <si>
    <t>CRUZETA MAD 90X100X1.22MM FUR</t>
  </si>
  <si>
    <t>POSTE DISTR CONCR DT 12M 300N 350X476MM 110X140MM CL2</t>
  </si>
  <si>
    <t>CABO COBRE ISOLAD 450/750V BWF/PVC 10MM2 CL2/4/5</t>
  </si>
  <si>
    <t>PARA RAIO DISTRIB PORCELANA 30</t>
  </si>
  <si>
    <t>TRANSF DISTR AER OMI 3F 34,5KV 220/127V 75KVA</t>
  </si>
  <si>
    <t>TRANSF DISTR AER OMI 34,5KV 220/127V 112,5KVA</t>
  </si>
  <si>
    <t>PARA RAIO DISTRIB PORCELANA 12KV S/ CENTELHADOR</t>
  </si>
  <si>
    <t>ELO FUSIVEL DISTRIBUICAO TIPO H 3A 500MM</t>
  </si>
  <si>
    <t>LACO PREF DISTR ACO-AL TOPO 16,20-18,15MM 840MM VRD COX</t>
  </si>
  <si>
    <t>ALCA PREF CORD ACO-ZN 6,40MM 5X2.18MM 460MM AMR</t>
  </si>
  <si>
    <t xml:space="preserve">SUPORTE TIPO L CRUZETA ACO-GALV 205X85X38X8MM 200DAN </t>
  </si>
  <si>
    <t>MISCELÂNEA</t>
  </si>
  <si>
    <t>AA_PRONIZADO</t>
  </si>
  <si>
    <t>SERVIÇO DE FRETE-IÇAMENTO DE CARGA</t>
  </si>
  <si>
    <t>LINHA VIVA - ESTRUTURAS COMPLETAS</t>
  </si>
  <si>
    <t>DESAT ISOLADOR DISCO LV</t>
  </si>
  <si>
    <t>INST CAPACITOR MT MONOPOLAR LV</t>
  </si>
  <si>
    <t>SUBST ISOLADOR PINO PILAR LV</t>
  </si>
  <si>
    <t>DESAT CABO AL CA PROTEG 50MM2 LV</t>
  </si>
  <si>
    <t>DESAT CABO AL NU PRIM CA/CAA 4/0A336 LV</t>
  </si>
  <si>
    <t>DESAT CHAVE FUS &lt;69KV 1F LV</t>
  </si>
  <si>
    <t>DESAT EST PRIM N3-2/M3-2/N2-3/M2-3 LV 2C</t>
  </si>
  <si>
    <t>DESAT ESTRUTURA PRIM U4 LV</t>
  </si>
  <si>
    <t>INST BANCO CAPACITOR 600KVAR LV</t>
  </si>
  <si>
    <t>INST BANCO CAPACITOR 900KVAR LV</t>
  </si>
  <si>
    <t>INST CONEC RD SEC LV</t>
  </si>
  <si>
    <t>INST ESTAI CRUZETA A CRUZETA LV</t>
  </si>
  <si>
    <t>INST ESTRUTURA PRIM N1/M1/B1 LV</t>
  </si>
  <si>
    <t>INST ESTRUTURA PRIM U1 LV</t>
  </si>
  <si>
    <t>INSTAL ESTR PRIM N3-2/M3-2/N2-3/M2-3  LV</t>
  </si>
  <si>
    <t>INSTALACAO ESTRIBO EM REDE EXIST AT  LV</t>
  </si>
  <si>
    <t>REINST CH FUSIVEL RELIG &lt;34,5KV LV</t>
  </si>
  <si>
    <t>REINST CRUZAM AER FLY TAP MT JUMP LV</t>
  </si>
  <si>
    <t>REMAN ESPACADOR NA REDE BT LV</t>
  </si>
  <si>
    <t>SERV TEC INST MAO FRANCESA LV</t>
  </si>
  <si>
    <t>SERV TEC LV REAP REGULAR CHAVE SECCION</t>
  </si>
  <si>
    <t>SERV TEC LV REFAZER AMARRACAO DE BT</t>
  </si>
  <si>
    <t>SUBST CHAVE FUSIV RELIG &lt;34,5KV LV</t>
  </si>
  <si>
    <t>SUBST CONECTOR NA REDE MT/BT LV</t>
  </si>
  <si>
    <t>Alteração de US - Item a ser utilizado para pagamento da diferença na medição de mão de obra quando houver ajuste no valor da US.</t>
  </si>
  <si>
    <t>VISITA IMPRODUTIVA - SEM ATUAÇÃO</t>
  </si>
  <si>
    <t>DESAT EST PRIM CE2-CE3 LV</t>
  </si>
  <si>
    <t>REINST TRANSF DIST TRIFASICO LV</t>
  </si>
  <si>
    <t>REMAN CH FUS MONO &lt; 34,5 KV RELIG LV</t>
  </si>
  <si>
    <t>REMAN CH TRIP OLEO TRIP A CAR &lt; 69 KV LV</t>
  </si>
  <si>
    <t>SUBST CRUZ EST TIPO 4 COM CH SEC FACA LV</t>
  </si>
  <si>
    <t>SUBST CRUZAM AEREO FLY TAP MT JAMP LV</t>
  </si>
  <si>
    <t>SUBST MAO FRANCESA LV</t>
  </si>
  <si>
    <t>DESAT EST PRIM CE1 LV</t>
  </si>
  <si>
    <t>DESAT EST PRIM N3-2/M3-2/N2-3/M2-3 LV 1C</t>
  </si>
  <si>
    <t>DESAT ESTR PRIM N3/N3-E/M3/B3/B3-E LV</t>
  </si>
  <si>
    <t>DESAT ISOLADOR PINO FIM DE REDE LV</t>
  </si>
  <si>
    <t>INST EST PRIM N4/N4-E/M4/B4/B4-E C CH LV</t>
  </si>
  <si>
    <t>INST EST SEC EM REDE CONVENCIONAL LV</t>
  </si>
  <si>
    <t>INST ESTRUT PRIM N4/N4-E/M4/B4/B4-E LV</t>
  </si>
  <si>
    <t>INST ESTRUTURA PRIM N2/M2/B2/B2-E LV</t>
  </si>
  <si>
    <t>INST ISOLADOR PILAR LV</t>
  </si>
  <si>
    <t>INST ISOLADOR PINO FIM DE REDE LV</t>
  </si>
  <si>
    <t>INST OLHAL LV</t>
  </si>
  <si>
    <t>INST CHAVE FUSIVEL &gt;= 34,5KV LV</t>
  </si>
  <si>
    <t>REINST CHAVE SECC FACA &gt; =15KV LV</t>
  </si>
  <si>
    <t>REINST REGULADOR TENSAO NA REDE MT LV</t>
  </si>
  <si>
    <t>SERV TEC LV MONTAR PLATAFORMA</t>
  </si>
  <si>
    <t>SERV TEC LV REAP REGULAR CHAVE FUSIVEL</t>
  </si>
  <si>
    <t>SUBST CONDUTORES  ISOL BAR TRANSFORMADOR</t>
  </si>
  <si>
    <t xml:space="preserve">HORA DO COLABORADOR EM DISPONIBILIDADE PARA OUTRA REGIONAL - LV_x000D_
</t>
  </si>
  <si>
    <t>DESAT TRANSF DISTRIBUIC AEREO 1F LV</t>
  </si>
  <si>
    <t>REMAN TRANSF DIST TRIFASICO LV</t>
  </si>
  <si>
    <t>DESAT CH SECCIONADORA  =&gt;15KV BY PASS LM</t>
  </si>
  <si>
    <t>SUBST ESPACADOR LOSAN RD MT COMP LV</t>
  </si>
  <si>
    <t>DESAT CABO AL NU PRIM CA/CAA 4A1/0 LV</t>
  </si>
  <si>
    <t>DESAT ESPAC RD BT LV</t>
  </si>
  <si>
    <t>DESAT ESTRUTURA PRIM HS LV</t>
  </si>
  <si>
    <t>DESAT PARA-RAIOS RD &lt; 34,5 KV LV</t>
  </si>
  <si>
    <t>DESAT REGUL TENSAO NA REDE MT</t>
  </si>
  <si>
    <t>INST CHAVE FUSIVEL 3 OP =&gt; 34,5 KV - LV</t>
  </si>
  <si>
    <t>INST ESTR PRIM CE1-A LV</t>
  </si>
  <si>
    <t>REMAN CADEIA ISOLADOR DISCO REDE LV</t>
  </si>
  <si>
    <t>SERV SUBST ESTRUTURA TIPO4 C/CH FUSIV LV</t>
  </si>
  <si>
    <t>SERV TEC LV EMENDAR CONDUTOR PRIMARIO NU</t>
  </si>
  <si>
    <t>SERVICOS TRANSFORMAR ESTR N4 PARA N1 LV</t>
  </si>
  <si>
    <t>DESAT ESTRUTURA PRIM CE3 LV</t>
  </si>
  <si>
    <t>DESAT POSTE DE 8,5 ATE 13 M LV</t>
  </si>
  <si>
    <t>DISP H-MAQ P/EXEC SERV LM</t>
  </si>
  <si>
    <t>SUBST CRUZ 1 DE 2000-2400MM EST TP 1 LV</t>
  </si>
  <si>
    <t>SUBST CRUZ 2 DE 2000-2400MM EST TP 4 LV</t>
  </si>
  <si>
    <t>SUBST CRUZ EST TIPO 2 COM TRANSF LV</t>
  </si>
  <si>
    <t>SUBST EMENDA DE COND MT NU LV</t>
  </si>
  <si>
    <t>DESAT CABO AL CA PROTEG 185MM2 LV</t>
  </si>
  <si>
    <t>DESAT CH SECCIONADORA  =&gt;15KV BY PASS LV</t>
  </si>
  <si>
    <t>DESAT RELIGADOR NA REDE MT LV</t>
  </si>
  <si>
    <t>DESATIVAR ESTRUT PRIM N1 COM MUFLA LV</t>
  </si>
  <si>
    <t>INST CONECTOR REDE PRIMARIA LV</t>
  </si>
  <si>
    <t>INST ESTRUTURA PRIM U2 LV</t>
  </si>
  <si>
    <t>INST ESTRUTURA PRIM U4 LV</t>
  </si>
  <si>
    <t>INST PARA-RAIOS RD &lt; 34,5 KV LV</t>
  </si>
  <si>
    <t>INST POSTE ACIMA DE 13 M LV</t>
  </si>
  <si>
    <t>REINST CH TRIP DESLIGAM EM CARGA LV</t>
  </si>
  <si>
    <t>REMAN REG TENS MONOPOL &lt;69KV LV</t>
  </si>
  <si>
    <t>SERV TEC INST COBERTURA REDE BT FASE LV</t>
  </si>
  <si>
    <t xml:space="preserve">DIÁRIA HOSPEDAGEM ALIMENTAÇÃO FORA DA REGIONAL (POR COLABORADOR) - LV_x000D_
</t>
  </si>
  <si>
    <t xml:space="preserve">HORA DO COLABORADOR EM DISPONIBILIDADE PARA OUTRA REGIONAL - LM_x000D_
</t>
  </si>
  <si>
    <t xml:space="preserve">KM RODADO EM DESLOCAMENTO PARA OUTRA REGIONAL (POR COLABORADOR) - LV_x000D_
</t>
  </si>
  <si>
    <t>DESAT CRUZ DUPLA P BASE EQUIPAM ESPEC LV</t>
  </si>
  <si>
    <t>SERV OFIC PODAR ARVORE URB</t>
  </si>
  <si>
    <t>SUBST CRUZ 2 DE 2000-2400MM EST TP 3 LV</t>
  </si>
  <si>
    <t>SUBST EMENDA DE COND MT PROTEGIDO LV</t>
  </si>
  <si>
    <t>SUBST ESTAI CRUZETA LV</t>
  </si>
  <si>
    <t>SUBST ISOLADOR PINO FIM REDE LV</t>
  </si>
  <si>
    <t>SUBST ISOLADOR PINO TANGENTE LV</t>
  </si>
  <si>
    <t>VISIT PREV CANT OBRA EXTE MENO OU=0,5KM</t>
  </si>
  <si>
    <t>DESAT ESTRUTURA PRIM CE4 LV</t>
  </si>
  <si>
    <t>DESAT ESTRUTURA PRIM HT/HTE LV</t>
  </si>
  <si>
    <t>DESAT ESTRUTURA PRIM U3/U3-2/U2-3 LV</t>
  </si>
  <si>
    <t>DESAT ISOLADOR PINO TANGENTE LV</t>
  </si>
  <si>
    <t>DESATIVAR MAO FRANCESA LV</t>
  </si>
  <si>
    <t>INST CHAVE FUSIVEL 3 OP &lt; 34,5 KV - LV</t>
  </si>
  <si>
    <t>INST ESTRUTURA PRIM HT/HTE LV</t>
  </si>
  <si>
    <t>INST ISOLADOR DISCO LV</t>
  </si>
  <si>
    <t>INST MEDICAO MT CONJUNTO TC E TP LV</t>
  </si>
  <si>
    <t>INST TRANSF DISTRIBUIC AEREO TRIF LV</t>
  </si>
  <si>
    <t>PODAR ARVORE LINHA VIVA</t>
  </si>
  <si>
    <t>REINST CHAVE FUSIVEL &lt;34,5KV LV</t>
  </si>
  <si>
    <t>REINST PARA-RAIO RD &gt; = 34,5KV LV</t>
  </si>
  <si>
    <t>REMAN BANCO CAPACIT 300 KVAR &lt; 69 KV LV</t>
  </si>
  <si>
    <t>REMAN CH SECC FACA &gt;= 15KV LV</t>
  </si>
  <si>
    <t>REMAN TRANSF DIST MONOFASICO LV</t>
  </si>
  <si>
    <t>REPOSIC CRUZ N3,N4 OU B3,B4,T3/T4 LV</t>
  </si>
  <si>
    <t>SERV TEC LV EMENDAR COND PRIMAR PROTEG</t>
  </si>
  <si>
    <t>SERVICOS TRANSFORMAR ESTR N1 PARA N4 LV</t>
  </si>
  <si>
    <t>SUBST BARRAMENTO DE PARA-RAIOS</t>
  </si>
  <si>
    <t>DIÁRIA HOSPEDAGEM ALIMENTAÇÃO FORA DA REGIONAL (POR COLABORADOR) - LM - UN</t>
  </si>
  <si>
    <t>DESAT ESTRUTURA PRIM N2/M2/B2/B2-E LV</t>
  </si>
  <si>
    <t>REMAN PARA-RAIO &gt; = 34,5KV LV</t>
  </si>
  <si>
    <t>SUBST CRUZ 2 DE 2000-2400MM EST TP 2 LV</t>
  </si>
  <si>
    <t>SUBST ISOLADOR DISCO LV</t>
  </si>
  <si>
    <t>Transporte de postes com carreta por KM</t>
  </si>
  <si>
    <t>DESAT EST PRIM CE1-A LV</t>
  </si>
  <si>
    <t>DESAT ESTRUTURA PRIM U1 LV</t>
  </si>
  <si>
    <t>DESAT ISOLADOR PILAR LV</t>
  </si>
  <si>
    <t>DESAT CONECT E/OU TERM &lt; 69 KV LV</t>
  </si>
  <si>
    <t>IDENTIFICAR SEQUENCIA FASES EM ALIM LV</t>
  </si>
  <si>
    <t>INST CRUZETA DUPLA LV</t>
  </si>
  <si>
    <t>INST ESPAC REDE BT LV</t>
  </si>
  <si>
    <t>INST ESTR PRIM N3/N3-E/M3/B3/B3-E LV</t>
  </si>
  <si>
    <t>INST POSTE ATE 13M &lt;69KV GUIN LV</t>
  </si>
  <si>
    <t>INST TRANSF DISTRIBUIC AEREO MONO LV</t>
  </si>
  <si>
    <t>REINST TRANSF DIST MONOFASICO LV</t>
  </si>
  <si>
    <t>REMAN PARA-RAIO &lt; 34,5KV LV</t>
  </si>
  <si>
    <t>SERV OFIC DESAT BCO CAPAC 300 KVAR LV</t>
  </si>
  <si>
    <t>SERV OFIC INST BCO CAPAC 300 KVAR LV</t>
  </si>
  <si>
    <t>SERV TEC INST COBERT REDE FASE LV</t>
  </si>
  <si>
    <t>SUBST CABO ACO EM ESTAI ANCORA LV</t>
  </si>
  <si>
    <t>SERV. EMERG. HORARIO COMERCIAL - ADICIONAL 12%</t>
  </si>
  <si>
    <t>REMAN BANCO CAPACIT 600 KVAR &lt; 69 KV LV</t>
  </si>
  <si>
    <t>REMAN CH FUSIVEL &gt; = 34,5 KV LV</t>
  </si>
  <si>
    <t>SERV PROJ INSPECIONAR REDE RURAL KM</t>
  </si>
  <si>
    <t>SUBST CRUZ 2 DE 5000MM EST TP HT/HTE LV</t>
  </si>
  <si>
    <t>SUBST CRUZ DUPLA P BASE EQUIPAM ESPEC LV</t>
  </si>
  <si>
    <t>SUBST ISOLADOR PILAR PILAR LV</t>
  </si>
  <si>
    <t>DESAT CH 1P DS CARG-NR-MAN 3PC =&gt;69KV LV</t>
  </si>
  <si>
    <t>DESAT CHAVE FUS RELIG &gt;= 34,5 KV 1F LV</t>
  </si>
  <si>
    <t>DESAT ESPAC LOSANG 50/185MM² LV</t>
  </si>
  <si>
    <t>DESAT ESTRUTURA PRIM N1/M1/B1 LV</t>
  </si>
  <si>
    <t>DESAT POSTE ACIMA DE 13 M LV</t>
  </si>
  <si>
    <t>DESAT SEPARADOR VERTICAL 50/185MM² LV</t>
  </si>
  <si>
    <t>DESATIVAR BANCO CAPACITOR 600 KVAR LV</t>
  </si>
  <si>
    <t>DESATIVAR BANCO CAPACITOR 900 KVAR LV</t>
  </si>
  <si>
    <t>INST ESPACADOR LOSANG 50/185MM² LV</t>
  </si>
  <si>
    <t>INST ESTR PRIM CE1-C LV</t>
  </si>
  <si>
    <t>INST ISOLADOR PINO TANGENTE LV</t>
  </si>
  <si>
    <t xml:space="preserve"> INST REGULADOR TENSAO NA REDE MT LV</t>
  </si>
  <si>
    <t>INST SEPARADOR VERTICAL 50/185MM² LV</t>
  </si>
  <si>
    <t>INST CHAVE FUSIVEL &lt; 34,5KV LV</t>
  </si>
  <si>
    <t>REAPERT CONEXOES SECUNDARIAS LV</t>
  </si>
  <si>
    <t>REINST CHAVE FUSIVEL &gt; = 34,5KV LV</t>
  </si>
  <si>
    <t>REINST CRUZAM AER FLY TAP BT JUMP LV</t>
  </si>
  <si>
    <t>REINST POSTE ACIMA DE 13M LV</t>
  </si>
  <si>
    <t>REMAN BANCO CAPACIT 900 KVAR &lt; 69 KV LV</t>
  </si>
  <si>
    <t>REMAN CH FUS MONO &gt; = 34,5 KV RELIG LV</t>
  </si>
  <si>
    <t>REMAN CH FUSIVEL &lt; 34,5 KV LV</t>
  </si>
  <si>
    <t>REMAN POSTE &lt; 69 KV COM USO GUIND LV</t>
  </si>
  <si>
    <t>REPOSIC CRUZ N1/N2 OU B1/B2 LV</t>
  </si>
  <si>
    <t>SERV TEC LV EMENDAR CONDUTOR SECUNDAR NU</t>
  </si>
  <si>
    <t>SERV TEC LV REFAZER AMARRACAO DE MT</t>
  </si>
  <si>
    <t>SUBST CAPACITOR CELULA 50 100 KVAR LV</t>
  </si>
  <si>
    <t>SUBST CHAVE FUSIV UNIP &lt;34,5KV LV</t>
  </si>
  <si>
    <t xml:space="preserve">CAVALO MECÂNICO COM CARRETA 2 EIXOS CAPACIDADE DE 24 TON_x000D_
</t>
  </si>
  <si>
    <t>KM RODADO EM DESLOCAMENTO PARA OUTRA REGIONAL (POR COLABORADOR) - LM - KM</t>
  </si>
  <si>
    <t>REMAN RELIGADOR TRIP NA REDE LV</t>
  </si>
  <si>
    <t>SUBST TERMINAL CHAVE FACA LV</t>
  </si>
  <si>
    <t>SUBST PARA-RAIO RD &lt;34,5KV LV</t>
  </si>
  <si>
    <t>SUBST PORTA FUSIVEL LV</t>
  </si>
  <si>
    <t>Transporte de postes com caminhão Toco/truck por KM</t>
  </si>
  <si>
    <t>VISIT PREV CANT OBRA EXTE MAIO QUE 0,5KM</t>
  </si>
  <si>
    <t>DESAT CAPACITOR MT MONOPOLAR LV</t>
  </si>
  <si>
    <t>DESAT CH TRIP OLEO ABER CARGA &lt; 69 KV LV</t>
  </si>
  <si>
    <t>DESAT ESTRUT PRIM N4/N4-E/M4/B4/B4-E LV</t>
  </si>
  <si>
    <t>DESAT ESTRUTURA PRIM CE2 LV</t>
  </si>
  <si>
    <t>DESAT ESTRUTURA PRIM U2 LV</t>
  </si>
  <si>
    <t>EMEND CABO MENS REDE PROTEGIDA LV</t>
  </si>
  <si>
    <t>INST CH SECC S/LAM TER MONO MAN &lt;69KV - LV</t>
  </si>
  <si>
    <t>INST ESTR PRIM CE1 LV</t>
  </si>
  <si>
    <t>INST ESTRUTURA PRIM CE3 LV</t>
  </si>
  <si>
    <t>INST ESTRUTURA PRIM CE4 LV</t>
  </si>
  <si>
    <t>INST ESTRUTURA PRIM U3/U3-2/U2-3 LV</t>
  </si>
  <si>
    <t xml:space="preserve"> INST RELIGADOR TENSAO NA REDE MT LV</t>
  </si>
  <si>
    <t>INSTALACAO ESTRUT PRIM N1 MUFLA LV</t>
  </si>
  <si>
    <t>REAPERT CONEXOES PRIMARIAS LV</t>
  </si>
  <si>
    <t>REINST CAPACITOR MT MONOPOLAR LV</t>
  </si>
  <si>
    <t>REINST CH FUSIVEL RELIG &gt; = 34,5KV LV</t>
  </si>
  <si>
    <t>REINST POSTE DE 8,5 ATE 13M LV</t>
  </si>
  <si>
    <t>RETIRAR OBJETO ESTRANHO DA REDE LV</t>
  </si>
  <si>
    <t>SERV SUBST ESTRUTURA PRIM HS LV</t>
  </si>
  <si>
    <t>SERV TEC LV NIVELAR CRUZ/COLOC BISSETRIZ</t>
  </si>
  <si>
    <t>SERVICOS TRANSFORMAR ESTR N2 PARA N1 LV</t>
  </si>
  <si>
    <t>SUBST BRACO ANTI-BAL REDE COMPACTA LV</t>
  </si>
  <si>
    <t>SERV TRANSFORMAR TIPO N1 PARA N2 - LV</t>
  </si>
  <si>
    <t>PÇ</t>
  </si>
  <si>
    <t>SAPATILHA PESADA ACO</t>
  </si>
  <si>
    <t>TRANSF DISTR AER OMI 3F 13,8KV 220/127V 150KVA CL2 4TP</t>
  </si>
  <si>
    <t>CABO ALUM NU CA 6AWG 1F SWAN</t>
  </si>
  <si>
    <t>TRANSF DISTR AER OMI 3F 13,8KV 380/220V 112,5KVA CL2 4TP</t>
  </si>
  <si>
    <t>MÃO DE OBRA</t>
  </si>
  <si>
    <t>CABO ALUM PROT SPL 15,0KV 50MM2 1F</t>
  </si>
  <si>
    <t>CONECTOR CUNHA CB-EST ALUM 9,06-11,34MM 2AWG AZ</t>
  </si>
  <si>
    <t>FECHO DENTADO FITA METALICA POSTE 19,0X24,0 X 1,2MM</t>
  </si>
  <si>
    <t>RL</t>
  </si>
  <si>
    <t>FITA AMARRAÇÃO AÇO INOX ANSI304 FE-3 19X0,8MM 1520</t>
  </si>
  <si>
    <t>PARAFUSO CAB QUAD ACO CARB M16 350MM</t>
  </si>
  <si>
    <t>PARA-RAIO PORCELANA 15 KV</t>
  </si>
  <si>
    <t xml:space="preserve">CONECTOR DERIV PERFURAT C/C 1,0KV 70-120MM2/70-120MM2 </t>
  </si>
  <si>
    <t>CONECTOR CUNHA AL CN-13</t>
  </si>
  <si>
    <t>ELO FUSIVEL DISTRIBUICAO TIPO H 2A 500MM</t>
  </si>
  <si>
    <t>TRANSF DISTR AER OMI 3F 13,8KV 220/127V 30KVA CL2 4TP</t>
  </si>
  <si>
    <t>CABO COBRE ISOLADOR 120MM</t>
  </si>
  <si>
    <t>CONECTOR TERMINAL ESTRANGULADOR CB/BARRAMENTO</t>
  </si>
  <si>
    <t>PARA-RAIOS DISTR MT PORC 13,8KV 10KA OX ZN S/CENT S/FERR</t>
  </si>
  <si>
    <t>PARAFUSO ROSC TOTAL ACO CARB M16 600MM</t>
  </si>
  <si>
    <t>ISOLADOR PORCELANA CINZA CL VERT/HORIZ 300,0MM 800DAN</t>
  </si>
  <si>
    <t>CINTA POSTE CIRCULAR ACO GALV 140MM 6MM 5000DAN</t>
  </si>
  <si>
    <t>CINTA POSTE CIRCULAR ACO GALV 150MM 6MM 5000DAN</t>
  </si>
  <si>
    <t xml:space="preserve">TRANSF DISTR AER OMI 1F 13,8KV 254/220V 25KVA </t>
  </si>
  <si>
    <t>CONECTOR CUNHA ALUM CN-14AZL</t>
  </si>
  <si>
    <t>CAVO ALUM MULTIPLEX 0,6/1,0KV XLPE 3F3X1X25MM2+25MM2</t>
  </si>
  <si>
    <t>EMENDA PRED CON MET CAA 2AWG 7,89-8,27MM</t>
  </si>
  <si>
    <t>AFASTADOR ISOLADOR PILAR ACO GALV 100X320MM 10MM 320DAN</t>
  </si>
  <si>
    <t>ALCA PREF DIS CA/CAA 2/0AWG 10,4-11,69MM</t>
  </si>
  <si>
    <t>ALCA PREF DIS CA/CAA 6AWG 4,62-5,15MM</t>
  </si>
  <si>
    <t>ALCA PREF DISTR ACO-ZINC 16,20-18,15MM 980MM VRD</t>
  </si>
  <si>
    <t>ALCA PREF DISTR ACO-ZINC 9,15-10,25MM 670MM AMR</t>
  </si>
  <si>
    <t>ALCA PREF SERV ACO-ZINC 3,90-4,30MM 345MM MRM</t>
  </si>
  <si>
    <t>ANEL AMAR ELASTOMERICO P/ESPACADOR 45X90X140MM CNZ</t>
  </si>
  <si>
    <t>ARRUELA ESPACADORA FERRO FUND 50X18X30MM</t>
  </si>
  <si>
    <t>BRACO ANTIBALANCO PEAD 15,0KV 305MM CNZ/PRT 180/50DAN</t>
  </si>
  <si>
    <t>BRACO COMP TIPO C 15KV ACO-GALV 580X365X362MM</t>
  </si>
  <si>
    <t>BRACO COMP TIPO L 15KV ACO-GALV 354X241MM</t>
  </si>
  <si>
    <t>BRACO COMP TIPO L 36,2KV ACO-GALV 600X241MM</t>
  </si>
  <si>
    <t>CABO ALUM MULTIPLEX 0,6/1,0KV XLPE 1F 1X1X10MM2+10MM2</t>
  </si>
  <si>
    <t>CABO ALUM MULTIPLEX 0,6/1,0KV XLPE 3F 3X1X120MM2+70MM2</t>
  </si>
  <si>
    <t>CABO ALUM MULTIPLEX 0,6/1,0KV XLPE 3F 3X1X25MM2+25MM2</t>
  </si>
  <si>
    <t>CABO ALUM MULTIPLEX 0,6/1,0KV XLPE 3F 3X1X35MM2+35MM2</t>
  </si>
  <si>
    <t>CABO ALUM MULTIPLEX 0,6/1,0KV XLPE 3F 3X1X70MM2+70MM2</t>
  </si>
  <si>
    <t>CABO ALUM NU CAA/ASCR 1F 1/0AWG RAVEN</t>
  </si>
  <si>
    <t>CABO ALUM NU CAA/ASCR 1F 2AWG SPARROW</t>
  </si>
  <si>
    <t>CABO ALUM NU CAA/ASCR 1F 4/0AWG PENGUIN</t>
  </si>
  <si>
    <t>CABO ALUM PROT SPL XLPE 1F 15,0KV 120MM2 BLOQ CNZ</t>
  </si>
  <si>
    <t>CABO ALUM PROT SPL XLPE 1F 15,0KV 50MM2 BLOQ CNZ</t>
  </si>
  <si>
    <t>CABO ALUM PROT SPL XLPE 1F 36,2KV 120MM2 BLOQ CNZ</t>
  </si>
  <si>
    <t>CABO ALUM PROT SPL XLPE 1F 36,2KV 70MM2 BLOQ CNZ</t>
  </si>
  <si>
    <t>CABO COBR PROT SPL XLPE 1F 15,0KV 16MM2 BLOQ CNZ</t>
  </si>
  <si>
    <t>CAPA PROT CONECTOR CUNHA 15KV 131X80MM SERIE VERM</t>
  </si>
  <si>
    <t>CAPA PROT CONECTOR CUNHA 15KV 166X100MM SERIE AZUL</t>
  </si>
  <si>
    <t>CHAPA ESTAI ACO GALV 76X60X70MM 8MM 5000DAN</t>
  </si>
  <si>
    <t>CHAVE SECC FACA PORC EXT 34,5-36,2KV 630A 1F MAN SECO CENT</t>
  </si>
  <si>
    <t xml:space="preserve">CINTA POSTE CIRCULAR ACO GALV 140MM 6MM 5000DAN </t>
  </si>
  <si>
    <t>CINTA POSTE CIRCULAR ACO GALV 320MM 6MM 5000DAN</t>
  </si>
  <si>
    <t>CINTA POSTE CIRCULAR ACO GALV 350MM 6MM 5000DAN</t>
  </si>
  <si>
    <t>COM CUNHA DER CN2 AL 15,2-17,3X11-17MM</t>
  </si>
  <si>
    <t>CON CUNHA DER CN17 AL 16,9-18,3X7-11MM</t>
  </si>
  <si>
    <t>CONEC CUNHA RML COBR TP III 2,54-6,55/1,27-4,65MM VM</t>
  </si>
  <si>
    <t>CONEC CUNHA RML COBR TP IV 2,54-6,55/1,27-4,65MM AZ</t>
  </si>
  <si>
    <t>CONEC CUNHA RML COBR TP VI 8,01-10,61/6,64-9,36MM BR/AZ</t>
  </si>
  <si>
    <t>CONEC CUNHA RML COBR TP VII 4,66-10,11/4,66-8,30MM BR/VM</t>
  </si>
  <si>
    <t>CONEC CUNHA RML COBR TP VIII 8,01-10,11/8,0-10,11MM BR/VD</t>
  </si>
  <si>
    <t>CONECT TERM COMPR CB/BAR ALUM 2F 3,09-4,10MM 145X25X14MM</t>
  </si>
  <si>
    <t>CONECT TERM ESTRANG CB/BAR ALUM 2F 123X25MM 11.20-12.30MM</t>
  </si>
  <si>
    <t>CONECTOR CUNHA ALUM CN-04 15,24-17,37/6,55-14,27MM AZL</t>
  </si>
  <si>
    <t>CONECTOR CUNHA ALUM CN-12 5,18-8,38/4,11-6,55MM VRM</t>
  </si>
  <si>
    <t>CONECTOR CUNHA ALUM CN-13 6,55-10,11/5,18-8,38MM VRM</t>
  </si>
  <si>
    <t>CONECTOR CUNHA ALUM CN-15 10,40-14,53/10,40-14,53MM AZL</t>
  </si>
  <si>
    <t>CONECTOR CUNHA COBRE 35,00MM2/ 14,30MM</t>
  </si>
  <si>
    <t xml:space="preserve">CONECTOR DERIV PERFURAT C/C 1,0KV 35-120MM2/10-35MM2 </t>
  </si>
  <si>
    <t xml:space="preserve">CONECTOR DERIV PERFURAT C/C 1,0KV 35-120MM2/35-120MM2 </t>
  </si>
  <si>
    <t>CONECTOR GRAMPO LINHA VIVA COBR 2-1/0AWG/8-2/0AWG 100A</t>
  </si>
  <si>
    <t xml:space="preserve">CRUZETA DE MADEIRA </t>
  </si>
  <si>
    <t>CRUZETA DISTR PRFV RETANG 90X112,5MM 2400MM 400DAN</t>
  </si>
  <si>
    <t>CRUZETA DISTR PRFV RETANG 90X112,5MM 3500MM 400DAN</t>
  </si>
  <si>
    <t>ELO FUSIVEL DISTRIBUICAO TIPO H 0,5A 500MM</t>
  </si>
  <si>
    <t>ELO FUSIVEL DISTRIBUICAO TIPO K 10A 500MM VERMELHO</t>
  </si>
  <si>
    <t>ELO FUSIVEL DISTRIBUICAO TIPO K 15A 500MM VERDE</t>
  </si>
  <si>
    <t>ELO FUSIVEL DISTRIBUICAO TIPO K 25A 500MM BRANCO</t>
  </si>
  <si>
    <t>EMENDA PREF CON MET CAA 1/0AWG9,6-10,1MM</t>
  </si>
  <si>
    <t>EMENDA PREFORMADA CONDUTORA ACO CARB 4AWG 635MM</t>
  </si>
  <si>
    <t>EMENDA PREFORMADA TOTAL ACO CARB 1/0AWG 1475MM</t>
  </si>
  <si>
    <t>ESPACADOR LOSANGULAR PEAD 15KV 340X460MM TRAV CNZ/PRT</t>
  </si>
  <si>
    <t>ESTRIBO P/ BRACO TIPO L ACO GALV 140X70X50MM 400DAN</t>
  </si>
  <si>
    <t>FIO AMARRACAO ALUMINIO MOLE 1F 6AWG 4.11MM 80DAN</t>
  </si>
  <si>
    <t>FITA LISA P/ AMARRACAO CABO ALUM 1F 10,0X1,0MM</t>
  </si>
  <si>
    <t>GRAMPO ANCOR DIELETR SINGLE 15KV 18,8-21,3MM 120MM2 400DAN</t>
  </si>
  <si>
    <t>GRAMPO ANCOR DIELETR SINGLE 15KV 21,8-24,3MM 185MM2 400DAN</t>
  </si>
  <si>
    <t>GRAMPO ANCOR DIELETR SINGLE 36,2KV 25,3-28,6MM 70MM2 400DAN</t>
  </si>
  <si>
    <t>GRAMPO ANCOR DIELETR SINGLE 36,2KV 28,6-31,9MM 120MM2 400DAN</t>
  </si>
  <si>
    <t>HASTE ATERRAMENTO PERF L 2400X25X25X5MM CHANF</t>
  </si>
  <si>
    <t>ISOLADOR BASTAO POLIM ANCOR 15.0KV 370MM 380MM 50KN GO</t>
  </si>
  <si>
    <t>ISOLADOR BASTAO POLIM ANCOR 36.2KV 550MM 745MM 50KN GO</t>
  </si>
  <si>
    <t>ISOLADOR PILAR PORCEL 15,0KV 220MM 300MM 8.0KN M20 CTC</t>
  </si>
  <si>
    <t>ISOLADOR PILAR PORCEL 36,2KV 400MM 720MM 8.0KN M20 CTC</t>
  </si>
  <si>
    <t>ISOLADOR PINO POLIMERICO CINZA 36,2KV 530MM 35MM ANEL</t>
  </si>
  <si>
    <t>ISOLADOR PINO POR 15KV ANTIGO</t>
  </si>
  <si>
    <t>ISOLADOR ROLDANA PORCELANA 79X76MM 1350DAN MRM</t>
  </si>
  <si>
    <t>LACO PREF DISTR ACO-AL LAT SIMP 7,30-8,20MM 525MM VRM COX 2AWG</t>
  </si>
  <si>
    <t>LACO PREF DISTR ACO-AL TOPO 13,10-14,65MM 800MM VRM COX 4/0AWG</t>
  </si>
  <si>
    <t>LACO PREF DISTR ACO-AL TOPO 16,20-18,15MM 840MM VRD COX 336AWG</t>
  </si>
  <si>
    <t>LACO PREF DISTR ACO-AL TOPO 7,30-8,20MM 700MM VRM COX 2AWG</t>
  </si>
  <si>
    <t>LACO PREF DISTR ACO-AL TOPO 9,15-10,25MM 750MM AMR COX 1/0AWG</t>
  </si>
  <si>
    <t>LACO PREF LAT AC CAA 4AWG P60MM</t>
  </si>
  <si>
    <t>LUVA EMENDA HASTE ATERRAMENTO BRONZE ROSCA UNC 5/8</t>
  </si>
  <si>
    <t>MAO FRANCESA PERFILADA ACO GALV 1534X38MM 5MM 3000DAN</t>
  </si>
  <si>
    <t>MAO FRANCESA PERFILADA ACO GALV 1971X48MM 5MM 3000DAN</t>
  </si>
  <si>
    <t>MAO FRANCESA PLANA ACO GALV 1053X32MM 5MM 3000DAN</t>
  </si>
  <si>
    <t>MAO FRANCESA PLANA ACO GALV 619X32MM 5MM 3000DAN</t>
  </si>
  <si>
    <t>MAO FRANCESA PLANA ACO GALV 726X32MM 5MM 3000DAN</t>
  </si>
  <si>
    <t>PARAFUSO CAB ABAU ACO CARB M16 45MM</t>
  </si>
  <si>
    <t>PARAFUSO PRIS SAE1020 RP MG M16X 550MM</t>
  </si>
  <si>
    <t>PARAFUSO ROSC TOTAL ACO CARB M16 400MM</t>
  </si>
  <si>
    <t>PARA-RAIO DISTRIB PORCELANA 12KV S/ CENTELHADOR</t>
  </si>
  <si>
    <t>PARA-RAIO DISTRIB PORCELANA 30KV S/ CENTELHADOR</t>
  </si>
  <si>
    <t>PARA-RAIOS DISTR BT POLIM 127V 10KA OX MT S/CENT RSC</t>
  </si>
  <si>
    <t>PARA-RAIOS DISTR MT POLIM 12KV 10KA OX ZN S/CENT S/FERR</t>
  </si>
  <si>
    <t>PARA-RAIOS DISTR MT POLIM 30KV 10KA OX ZN S/CENT S/FERR</t>
  </si>
  <si>
    <t>PINO ISOLADOR AUTOTRAVANTE ACO M20/M16 228,5MM - P/ POSTE</t>
  </si>
  <si>
    <t>PINO ISOLADOR AUTOTRAVANTE ACO M20/M16 85,0MM - P/SUPORTE ISOLADOR PILAR TOPO</t>
  </si>
  <si>
    <t>PINO ISOLADOR CRUZETA ACO M16 294X140X150MM 15KV - P/CRUZETA</t>
  </si>
  <si>
    <t>PINO ISOLADOR SAE 1010/20 16,0MM 150X 38X 192MM - PINO CURTO</t>
  </si>
  <si>
    <t>PINO NORMAL AC 344MM 35X45MM</t>
  </si>
  <si>
    <t>PORCA QUADR PESADA ACO CARB GALV DIN557 MG M16</t>
  </si>
  <si>
    <t xml:space="preserve">POSTE CIRCULAR CONCR C-17 10M 300DAN </t>
  </si>
  <si>
    <t>POSTE CONCR CIRC 11M 1500DAN 510MM 290MM CL II</t>
  </si>
  <si>
    <t>POSTE CONCR CIRC 12M 1000DAN 470MM 230MM CL II</t>
  </si>
  <si>
    <t>POSTE CONCR CIRC 12M 1500DAN 530MM 290MM CL II</t>
  </si>
  <si>
    <t>POSTE CONCR CIRC 13M 1000DAN 490MM 230MM CL II</t>
  </si>
  <si>
    <t>POSTE CONCR CIRC 13M 1500DAN 550MM 290MM CL II</t>
  </si>
  <si>
    <t>POSTE CONCR CIRC 13M 600DAN 450MM 190MM CL II</t>
  </si>
  <si>
    <t>POSTE CONCR DUPL T 10M 600DAN 310X420MM 110X140MM CL II</t>
  </si>
  <si>
    <t>POSTE CONCR DUPL T 11M 1500DAN 390X532MM 170X224MM CL II</t>
  </si>
  <si>
    <t>POSTE CONCR DUPL T 12M 1000DAN 380X518MM 140X182MM CL II</t>
  </si>
  <si>
    <t>POSTE CONCR DUPL T 12M 1500DAN 410X560MM 170X224MM CL II</t>
  </si>
  <si>
    <t>POSTE CONCR DUPL T 12M 300DAN 350X476MM 110X140MM CL II</t>
  </si>
  <si>
    <t>POSTE CONCR DUPL T 13M 1000DAN 410X560MM 140X182MM CL II</t>
  </si>
  <si>
    <t>POSTE CONCR DUPL T 13M 1500DAN 430X588MM 170X224MM CL II</t>
  </si>
  <si>
    <t>POSTE CONCR DUPL T 13M 600DAN 370X504MM 110X140MM CL II</t>
  </si>
  <si>
    <t>POSTE MADEIRA EUC PRESS 8,5MM PESADO</t>
  </si>
  <si>
    <t>SECCIONADOR PREFORMADO ACO CARB 2,60-5,00MM 800MM 900KG</t>
  </si>
  <si>
    <t>SEPARADOR VERTICAL PEAD 15KV 750MM TRAV CNZ/PRT</t>
  </si>
  <si>
    <t>SEPARADOR VERTICAL PEAD 36,2KV 950MM TRAV CNZ/PRT</t>
  </si>
  <si>
    <t>SUPORTE HORIZONTAL 15 KV 300X200X300MM 200 DAN</t>
  </si>
  <si>
    <t>SUPORTE L ENERGISA DES EPD- 57035-054</t>
  </si>
  <si>
    <t>SUPORTE L ISOLADOR PILAR 265X107X5MM</t>
  </si>
  <si>
    <t>SUPORTE TRANSF ESP PST DT ACO GALV 230X150X10MM 3000DAN</t>
  </si>
  <si>
    <t>SUPORTE TRANSF PST CIRC ACO GALV 230MM 76X8MM 3000DAN</t>
  </si>
  <si>
    <t>SUPORTE TRANSF PST CIRC ACO GALV 270MM 76X8MM 3000DAN</t>
  </si>
  <si>
    <t>SUPORTE TRANSFORM POSTE CIRC SAE1020 240MM</t>
  </si>
  <si>
    <t>TERMINAL COMPRESSAO ANEL TUB 12,0X 32,00MM 10,00MM2</t>
  </si>
  <si>
    <t>TRANSF DISTR AER OMI 1F/N 19,919KV 254/127V 10KVA CL2 5TP</t>
  </si>
  <si>
    <t>TRANSF DISTR AER OMI 1F/N 19,919KV 254/127V 15KVA CL2 5TP</t>
  </si>
  <si>
    <t>TRANSF DISTR AER OMI 1F/N 19,919KV 254/127V 25KVA CL2 5TP</t>
  </si>
  <si>
    <t>TRANSF DISTR AER OMI 1F/N 19,919KV 254/127V 5KVA CL2 5TP</t>
  </si>
  <si>
    <t>TRANSF DISTR AER OMI 1F/N 7,969KV 254/127V 15KVA CL2 5TP</t>
  </si>
  <si>
    <t>TRANSF DISTR AER OMI 1F/N 7,969KV 254/127V 25KVA CL2 5TP</t>
  </si>
  <si>
    <t>TRANSF DISTR AER OMI 1F/N 7,969KV 254/127V 5KVA CL2 5TP</t>
  </si>
  <si>
    <t>TRANSF DISTR AER OMI 3F 13,8KV 220/127V 15KVA CL2 4TP</t>
  </si>
  <si>
    <t>TRANSF DISTR AER OMI 3F 13,8KV 220/127V 225KVA CL2 4TP</t>
  </si>
  <si>
    <t>TRANSF DISTR AER OMI 3F 34,5KV 220/127V 45KVA CL2 4TP</t>
  </si>
  <si>
    <t>TRANSF DISTR AER OMI 3F 34,5KV 220/127V 75KVA CL2 4TP</t>
  </si>
  <si>
    <t>SUPORTE L ISOLADOR PILAR AÇO-GALV 36,2 KV</t>
  </si>
  <si>
    <t>MAO FRANCESA SIMPLES SAE 1020 32X5X619MM</t>
  </si>
  <si>
    <t>CRUZETA POSTE FIBRA DE VIDRO OCA QUADRADA 2000MM</t>
  </si>
  <si>
    <t>ISOLADOR SUSP BASTAO POLIM 15 KV Z GARF-OLH 350MM 700 DAN</t>
  </si>
  <si>
    <t>ARMACAO SECUNDARIA ACO GALV 2 ESTRIBO 310X50X5,0MM 325X16MM</t>
  </si>
  <si>
    <t>SAPATILHA DIST.AÇO GALV.9.5MM 3/8 POL 3160 DAN</t>
  </si>
  <si>
    <t>PLACA CONCRETO ESTAI/ESC PLANA 200X1000MM 100MM 1600 DAN CL2</t>
  </si>
  <si>
    <t>CABO ALUM PROT SPL XLPE 1F 15,0KV 150MM2 BLOQ CNZ</t>
  </si>
  <si>
    <t>CONECTOR CUNHA CB-EST ALUM 11,20-13,30MM 2AWG AZ</t>
  </si>
  <si>
    <t>ANEL AMARR ELASTOMERICO P/ISOLADOR 15,0KV 45X110X160MM VRM</t>
  </si>
  <si>
    <t>EMENDA PREF TOTAL METAL ALMU LDMT/BT CAA 1/0AWG 1475 MM AMR</t>
  </si>
  <si>
    <t xml:space="preserve">ISOLADOR DISCO POR 36KV </t>
  </si>
  <si>
    <t>POSTE CIRCULAR CONCR C-17 10M 400DAN 380MM 180MM</t>
  </si>
  <si>
    <t>BRACO COMP.TIPO J 15/36,2 KV ACO-GALV 1650X550MM</t>
  </si>
  <si>
    <t>;</t>
  </si>
  <si>
    <t>TRANSF DISTR AER OMI 3F 34,5KV 220/127V 30KVA CL2 4TP</t>
  </si>
  <si>
    <t>CONECTOR CUNHA ALUM CN-02 15,24-17,37/11,68,17,37MM AZL</t>
  </si>
  <si>
    <t>POSTE CONCRETO DT 7/150 DAN</t>
  </si>
  <si>
    <t>GRAMPO ANCOR DIELETR SINGLE 36,2KV 31,6-34,9MM 185MM2 400DAN</t>
  </si>
  <si>
    <t>SUPORTE ISOLADOR PILAR ACO-GALV 15KV 305X 90X 35MM 210 DAN</t>
  </si>
  <si>
    <t>POSTE DIST PRFV BS CIRC TP QUAD 2P 11MM 300 DAN 373 MM 168 MM</t>
  </si>
  <si>
    <t>CABO ALUM NU 1F CA/AAC 1/0AWG POPPY -NEUTRO-</t>
  </si>
  <si>
    <t>CABO ALUM NU 1F CA/AAC 2AWG IRIS- FASES-</t>
  </si>
  <si>
    <t>POSTE DISTR CONCR CIRC 10M 300DAN 370 X 370MM 170MM CL2</t>
  </si>
  <si>
    <t>SUPORTE L ISOLADOR PILAR 15 KV (SUPORTE DE TOPO)</t>
  </si>
  <si>
    <t>003</t>
  </si>
  <si>
    <t>011</t>
  </si>
  <si>
    <t>MOBILIZAÇÃO E DESMOBILIZAÇÃO EQUIPE</t>
  </si>
  <si>
    <t>DESLOC EQUIP PESADA ACIMA 50 KM DA BASE</t>
  </si>
  <si>
    <t>ALCA PREF DISTR ACO-ZINC 13,10-14,65MM 865MM VRM   4/0</t>
  </si>
  <si>
    <t>DESCRIÇÃO BÁSICA</t>
  </si>
  <si>
    <t>CÓDIGOS SIAGO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</si>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</sst>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_);\(0\)"/>
    <numFmt numFmtId="165" formatCode="_-&quot;R$&quot;\ * #,##0.00_-;\-&quot;R$&quot;\ * #,##0.00_-;_-&quot;R$&quot;\ * &quot;-&quot;??_-;_-@"/>
    <numFmt numFmtId="166" formatCode="_-* #,##0.00_-;\-* #,##0.00_-;_-* &quot;-&quot;??_-;_-@"/>
    <numFmt numFmtId="167" formatCode="&quot;R$&quot;\ #,##0.00_);[Red]\(&quot;R$&quot;\ #,##0.00\)"/>
    <numFmt numFmtId="168" formatCode="[$R$ -416]#,##0.00"/>
    <numFmt numFmtId="169" formatCode="&quot;R$&quot;#,##0.00_);[Red]\(&quot;R$&quot;#,##0.00\)"/>
    <numFmt numFmtId="170" formatCode="[$-416]d\-mmm\-yy"/>
    <numFmt numFmtId="171" formatCode="_(* #,##0.00_);_(* \(#,##0.00\);_(* &quot;-&quot;??_);_(@_)"/>
    <numFmt numFmtId="172" formatCode="0.0"/>
    <numFmt numFmtId="173" formatCode="0.00_);[Red]\(0.00\)"/>
    <numFmt numFmtId="174" formatCode="d\.m"/>
    <numFmt numFmtId="175" formatCode="mmmm\,\ yyyy;@"/>
  </numFmts>
  <fonts count="6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</font>
    <font>
      <sz val="16"/>
      <color rgb="FF000000"/>
      <name val="Arial"/>
      <family val="2"/>
    </font>
    <font>
      <sz val="16"/>
      <color rgb="FF666666"/>
      <name val="Trebuchet MS"/>
      <family val="2"/>
    </font>
    <font>
      <sz val="16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50"/>
      <color theme="1"/>
      <name val="Calibri"/>
      <family val="2"/>
    </font>
    <font>
      <b/>
      <u/>
      <sz val="40"/>
      <color rgb="FF000000"/>
      <name val="Calibri"/>
      <family val="2"/>
    </font>
    <font>
      <b/>
      <sz val="40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4"/>
      <color theme="1"/>
      <name val="Arial"/>
      <family val="2"/>
    </font>
    <font>
      <sz val="11"/>
      <name val="Calibri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i/>
      <sz val="30"/>
      <color theme="1"/>
      <name val="Arial"/>
      <family val="2"/>
    </font>
    <font>
      <b/>
      <i/>
      <sz val="30"/>
      <color rgb="FFFF0000"/>
      <name val="Arial"/>
      <family val="2"/>
    </font>
    <font>
      <b/>
      <sz val="30"/>
      <color theme="1"/>
      <name val="Arial"/>
      <family val="2"/>
    </font>
    <font>
      <sz val="14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&quot;Arial Black&quot;"/>
    </font>
    <font>
      <sz val="12"/>
      <color theme="1"/>
      <name val="Arial"/>
      <family val="2"/>
    </font>
    <font>
      <b/>
      <sz val="45"/>
      <color theme="1"/>
      <name val="Comic Sans MS"/>
      <family val="4"/>
    </font>
    <font>
      <b/>
      <i/>
      <sz val="20"/>
      <color rgb="FFFF0000"/>
      <name val="Arial"/>
      <family val="2"/>
    </font>
    <font>
      <sz val="20"/>
      <name val="Calibri"/>
      <family val="2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66666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rgb="FF5B95F9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9C9C9"/>
        <bgColor rgb="FFC9C9C9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6">
    <xf numFmtId="0" fontId="0" fillId="0" borderId="0"/>
    <xf numFmtId="0" fontId="21" fillId="0" borderId="13"/>
    <xf numFmtId="0" fontId="20" fillId="0" borderId="13"/>
    <xf numFmtId="0" fontId="19" fillId="0" borderId="13"/>
    <xf numFmtId="0" fontId="18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7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16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57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5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4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3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1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10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8" fillId="0" borderId="13"/>
    <xf numFmtId="0" fontId="58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58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7" fillId="0" borderId="13"/>
    <xf numFmtId="0" fontId="58" fillId="0" borderId="13"/>
    <xf numFmtId="0" fontId="58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0" fontId="6" fillId="0" borderId="13"/>
    <xf numFmtId="44" fontId="58" fillId="0" borderId="0" applyFont="0" applyFill="0" applyBorder="0" applyAlignment="0" applyProtection="0"/>
    <xf numFmtId="0" fontId="5" fillId="0" borderId="13"/>
    <xf numFmtId="0" fontId="1" fillId="0" borderId="13"/>
  </cellStyleXfs>
  <cellXfs count="995">
    <xf numFmtId="0" fontId="0" fillId="0" borderId="0" xfId="0"/>
    <xf numFmtId="0" fontId="23" fillId="2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3" xfId="0" applyFont="1" applyFill="1" applyBorder="1"/>
    <xf numFmtId="0" fontId="24" fillId="2" borderId="4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4" fillId="2" borderId="5" xfId="0" applyFont="1" applyFill="1" applyBorder="1" applyAlignment="1">
      <alignment horizontal="center" vertical="center"/>
    </xf>
    <xf numFmtId="0" fontId="24" fillId="2" borderId="0" xfId="0" applyFont="1" applyFill="1"/>
    <xf numFmtId="0" fontId="24" fillId="2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4" fillId="2" borderId="2" xfId="0" applyFont="1" applyFill="1" applyBorder="1"/>
    <xf numFmtId="0" fontId="24" fillId="2" borderId="1" xfId="0" applyFont="1" applyFill="1" applyBorder="1"/>
    <xf numFmtId="0" fontId="22" fillId="2" borderId="0" xfId="0" applyFont="1" applyFill="1" applyAlignment="1">
      <alignment horizontal="center"/>
    </xf>
    <xf numFmtId="49" fontId="25" fillId="2" borderId="1" xfId="0" applyNumberFormat="1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0" fontId="24" fillId="0" borderId="1" xfId="0" applyFont="1" applyBorder="1"/>
    <xf numFmtId="0" fontId="26" fillId="5" borderId="2" xfId="0" applyFont="1" applyFill="1" applyBorder="1" applyAlignment="1">
      <alignment horizontal="center" wrapText="1"/>
    </xf>
    <xf numFmtId="0" fontId="24" fillId="2" borderId="2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4" fillId="0" borderId="10" xfId="0" applyFont="1" applyBorder="1"/>
    <xf numFmtId="0" fontId="24" fillId="0" borderId="2" xfId="0" applyFont="1" applyBorder="1"/>
    <xf numFmtId="0" fontId="24" fillId="2" borderId="1" xfId="0" applyFont="1" applyFill="1" applyBorder="1" applyAlignment="1">
      <alignment wrapText="1"/>
    </xf>
    <xf numFmtId="0" fontId="27" fillId="2" borderId="1" xfId="0" applyFont="1" applyFill="1" applyBorder="1" applyAlignment="1">
      <alignment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wrapText="1"/>
    </xf>
    <xf numFmtId="0" fontId="27" fillId="2" borderId="2" xfId="0" applyFont="1" applyFill="1" applyBorder="1" applyAlignment="1">
      <alignment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vertical="center" wrapText="1"/>
    </xf>
    <xf numFmtId="0" fontId="27" fillId="2" borderId="3" xfId="0" applyFont="1" applyFill="1" applyBorder="1" applyAlignment="1">
      <alignment vertical="center" wrapText="1"/>
    </xf>
    <xf numFmtId="0" fontId="24" fillId="2" borderId="12" xfId="0" applyFont="1" applyFill="1" applyBorder="1"/>
    <xf numFmtId="0" fontId="25" fillId="2" borderId="0" xfId="0" applyFont="1" applyFill="1" applyAlignment="1">
      <alignment horizontal="center" vertical="center" wrapText="1"/>
    </xf>
    <xf numFmtId="0" fontId="22" fillId="2" borderId="13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65" fontId="28" fillId="7" borderId="1" xfId="0" applyNumberFormat="1" applyFont="1" applyFill="1" applyBorder="1" applyAlignment="1">
      <alignment horizontal="center" vertical="center" wrapText="1"/>
    </xf>
    <xf numFmtId="0" fontId="29" fillId="6" borderId="0" xfId="0" applyFont="1" applyFill="1"/>
    <xf numFmtId="0" fontId="28" fillId="6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4" fontId="29" fillId="0" borderId="1" xfId="0" applyNumberFormat="1" applyFont="1" applyBorder="1"/>
    <xf numFmtId="0" fontId="29" fillId="0" borderId="0" xfId="0" applyFont="1"/>
    <xf numFmtId="0" fontId="29" fillId="0" borderId="0" xfId="0" applyFont="1" applyAlignment="1">
      <alignment horizontal="center"/>
    </xf>
    <xf numFmtId="2" fontId="29" fillId="0" borderId="0" xfId="0" applyNumberFormat="1" applyFont="1"/>
    <xf numFmtId="166" fontId="29" fillId="0" borderId="0" xfId="0" applyNumberFormat="1" applyFont="1"/>
    <xf numFmtId="169" fontId="3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34" fillId="8" borderId="1" xfId="0" applyNumberFormat="1" applyFont="1" applyFill="1" applyBorder="1" applyAlignment="1">
      <alignment horizontal="center" vertical="center" wrapText="1"/>
    </xf>
    <xf numFmtId="170" fontId="34" fillId="8" borderId="1" xfId="0" applyNumberFormat="1" applyFont="1" applyFill="1" applyBorder="1" applyAlignment="1">
      <alignment horizontal="center" vertical="center" wrapText="1"/>
    </xf>
    <xf numFmtId="170" fontId="34" fillId="8" borderId="1" xfId="0" applyNumberFormat="1" applyFont="1" applyFill="1" applyBorder="1" applyAlignment="1">
      <alignment horizontal="center" vertical="center"/>
    </xf>
    <xf numFmtId="49" fontId="34" fillId="8" borderId="1" xfId="0" applyNumberFormat="1" applyFont="1" applyFill="1" applyBorder="1" applyAlignment="1">
      <alignment horizontal="center" vertical="center"/>
    </xf>
    <xf numFmtId="2" fontId="34" fillId="8" borderId="1" xfId="0" applyNumberFormat="1" applyFont="1" applyFill="1" applyBorder="1" applyAlignment="1">
      <alignment horizontal="center" vertical="center"/>
    </xf>
    <xf numFmtId="2" fontId="34" fillId="8" borderId="11" xfId="0" applyNumberFormat="1" applyFont="1" applyFill="1" applyBorder="1" applyAlignment="1">
      <alignment horizontal="center" vertical="center" wrapText="1"/>
    </xf>
    <xf numFmtId="168" fontId="34" fillId="8" borderId="1" xfId="0" applyNumberFormat="1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169" fontId="34" fillId="8" borderId="1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/>
    </xf>
    <xf numFmtId="170" fontId="33" fillId="0" borderId="1" xfId="0" applyNumberFormat="1" applyFont="1" applyBorder="1" applyAlignment="1">
      <alignment horizontal="center" vertical="center"/>
    </xf>
    <xf numFmtId="49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9" fontId="34" fillId="0" borderId="1" xfId="0" applyNumberFormat="1" applyFont="1" applyBorder="1" applyAlignment="1">
      <alignment horizontal="center" vertical="center"/>
    </xf>
    <xf numFmtId="168" fontId="34" fillId="0" borderId="1" xfId="0" applyNumberFormat="1" applyFont="1" applyBorder="1" applyAlignment="1">
      <alignment horizontal="center" vertical="center"/>
    </xf>
    <xf numFmtId="0" fontId="36" fillId="0" borderId="0" xfId="0" applyFont="1"/>
    <xf numFmtId="49" fontId="37" fillId="0" borderId="0" xfId="0" applyNumberFormat="1" applyFont="1"/>
    <xf numFmtId="168" fontId="37" fillId="0" borderId="0" xfId="0" applyNumberFormat="1" applyFont="1"/>
    <xf numFmtId="0" fontId="37" fillId="0" borderId="0" xfId="0" applyFont="1"/>
    <xf numFmtId="0" fontId="37" fillId="0" borderId="0" xfId="0" applyFont="1" applyAlignment="1">
      <alignment wrapText="1"/>
    </xf>
    <xf numFmtId="0" fontId="38" fillId="8" borderId="0" xfId="0" applyFont="1" applyFill="1" applyAlignment="1">
      <alignment horizontal="center"/>
    </xf>
    <xf numFmtId="49" fontId="38" fillId="8" borderId="0" xfId="0" applyNumberFormat="1" applyFont="1" applyFill="1" applyAlignment="1">
      <alignment horizontal="center"/>
    </xf>
    <xf numFmtId="49" fontId="39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39" fillId="9" borderId="0" xfId="0" applyFont="1" applyFill="1" applyAlignment="1">
      <alignment horizontal="center"/>
    </xf>
    <xf numFmtId="170" fontId="39" fillId="9" borderId="0" xfId="0" applyNumberFormat="1" applyFont="1" applyFill="1" applyAlignment="1">
      <alignment horizontal="center"/>
    </xf>
    <xf numFmtId="49" fontId="38" fillId="9" borderId="0" xfId="0" applyNumberFormat="1" applyFont="1" applyFill="1" applyAlignment="1">
      <alignment horizontal="center"/>
    </xf>
    <xf numFmtId="49" fontId="39" fillId="9" borderId="0" xfId="0" applyNumberFormat="1" applyFont="1" applyFill="1" applyAlignment="1">
      <alignment horizontal="center"/>
    </xf>
    <xf numFmtId="0" fontId="39" fillId="6" borderId="0" xfId="0" applyFont="1" applyFill="1" applyAlignment="1">
      <alignment horizontal="center"/>
    </xf>
    <xf numFmtId="0" fontId="38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170" fontId="39" fillId="5" borderId="0" xfId="0" applyNumberFormat="1" applyFont="1" applyFill="1" applyAlignment="1">
      <alignment horizontal="center"/>
    </xf>
    <xf numFmtId="49" fontId="38" fillId="5" borderId="0" xfId="0" applyNumberFormat="1" applyFont="1" applyFill="1" applyAlignment="1">
      <alignment horizontal="center"/>
    </xf>
    <xf numFmtId="49" fontId="39" fillId="5" borderId="0" xfId="0" applyNumberFormat="1" applyFont="1" applyFill="1" applyAlignment="1">
      <alignment horizontal="center"/>
    </xf>
    <xf numFmtId="0" fontId="38" fillId="5" borderId="0" xfId="0" applyFont="1" applyFill="1" applyAlignment="1">
      <alignment horizontal="center"/>
    </xf>
    <xf numFmtId="0" fontId="35" fillId="5" borderId="0" xfId="0" applyFont="1" applyFill="1" applyAlignment="1">
      <alignment horizontal="center"/>
    </xf>
    <xf numFmtId="170" fontId="35" fillId="5" borderId="0" xfId="0" applyNumberFormat="1" applyFont="1" applyFill="1" applyAlignment="1">
      <alignment horizontal="center" vertical="center"/>
    </xf>
    <xf numFmtId="49" fontId="35" fillId="5" borderId="0" xfId="0" applyNumberFormat="1" applyFont="1" applyFill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49" fontId="35" fillId="5" borderId="0" xfId="0" applyNumberFormat="1" applyFont="1" applyFill="1" applyAlignment="1">
      <alignment horizontal="center"/>
    </xf>
    <xf numFmtId="0" fontId="40" fillId="5" borderId="0" xfId="0" applyFont="1" applyFill="1"/>
    <xf numFmtId="0" fontId="43" fillId="10" borderId="17" xfId="0" applyFont="1" applyFill="1" applyBorder="1" applyAlignment="1">
      <alignment horizontal="center" vertical="center"/>
    </xf>
    <xf numFmtId="0" fontId="41" fillId="10" borderId="2" xfId="0" applyFont="1" applyFill="1" applyBorder="1" applyAlignment="1">
      <alignment horizontal="center" vertical="center"/>
    </xf>
    <xf numFmtId="14" fontId="44" fillId="10" borderId="17" xfId="0" applyNumberFormat="1" applyFont="1" applyFill="1" applyBorder="1" applyAlignment="1">
      <alignment vertical="center"/>
    </xf>
    <xf numFmtId="0" fontId="44" fillId="10" borderId="17" xfId="0" applyFont="1" applyFill="1" applyBorder="1" applyAlignment="1">
      <alignment horizontal="center" vertical="center"/>
    </xf>
    <xf numFmtId="0" fontId="44" fillId="10" borderId="17" xfId="0" applyFont="1" applyFill="1" applyBorder="1" applyAlignment="1">
      <alignment vertical="center"/>
    </xf>
    <xf numFmtId="0" fontId="43" fillId="10" borderId="2" xfId="0" applyFont="1" applyFill="1" applyBorder="1" applyAlignment="1">
      <alignment horizontal="center" vertical="center"/>
    </xf>
    <xf numFmtId="0" fontId="41" fillId="10" borderId="2" xfId="0" applyFont="1" applyFill="1" applyBorder="1" applyAlignment="1">
      <alignment vertical="center"/>
    </xf>
    <xf numFmtId="0" fontId="41" fillId="10" borderId="10" xfId="0" applyFont="1" applyFill="1" applyBorder="1" applyAlignment="1">
      <alignment vertical="center"/>
    </xf>
    <xf numFmtId="49" fontId="41" fillId="10" borderId="2" xfId="0" applyNumberFormat="1" applyFont="1" applyFill="1" applyBorder="1" applyAlignment="1">
      <alignment vertical="center"/>
    </xf>
    <xf numFmtId="0" fontId="44" fillId="10" borderId="10" xfId="0" applyFont="1" applyFill="1" applyBorder="1" applyAlignment="1">
      <alignment vertical="center"/>
    </xf>
    <xf numFmtId="0" fontId="44" fillId="10" borderId="2" xfId="0" applyFont="1" applyFill="1" applyBorder="1" applyAlignment="1">
      <alignment vertical="center"/>
    </xf>
    <xf numFmtId="0" fontId="44" fillId="10" borderId="17" xfId="0" applyFont="1" applyFill="1" applyBorder="1" applyAlignment="1">
      <alignment horizontal="right" vertical="center"/>
    </xf>
    <xf numFmtId="0" fontId="44" fillId="10" borderId="17" xfId="0" applyFont="1" applyFill="1" applyBorder="1" applyAlignment="1">
      <alignment horizontal="right" vertical="center" wrapText="1"/>
    </xf>
    <xf numFmtId="49" fontId="41" fillId="10" borderId="1" xfId="0" applyNumberFormat="1" applyFont="1" applyFill="1" applyBorder="1" applyAlignment="1">
      <alignment vertical="center"/>
    </xf>
    <xf numFmtId="0" fontId="43" fillId="10" borderId="1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vertical="center"/>
    </xf>
    <xf numFmtId="2" fontId="41" fillId="10" borderId="1" xfId="0" applyNumberFormat="1" applyFont="1" applyFill="1" applyBorder="1" applyAlignment="1">
      <alignment vertical="center"/>
    </xf>
    <xf numFmtId="2" fontId="45" fillId="0" borderId="1" xfId="0" applyNumberFormat="1" applyFont="1" applyBorder="1" applyAlignment="1">
      <alignment horizontal="center" vertical="center"/>
    </xf>
    <xf numFmtId="2" fontId="41" fillId="0" borderId="1" xfId="0" applyNumberFormat="1" applyFont="1" applyBorder="1" applyAlignment="1">
      <alignment vertical="center"/>
    </xf>
    <xf numFmtId="171" fontId="41" fillId="10" borderId="1" xfId="0" applyNumberFormat="1" applyFont="1" applyFill="1" applyBorder="1" applyAlignment="1">
      <alignment horizontal="right" vertical="center" wrapText="1"/>
    </xf>
    <xf numFmtId="172" fontId="45" fillId="0" borderId="1" xfId="0" applyNumberFormat="1" applyFont="1" applyBorder="1" applyAlignment="1">
      <alignment horizontal="center" vertical="center"/>
    </xf>
    <xf numFmtId="171" fontId="41" fillId="10" borderId="1" xfId="0" applyNumberFormat="1" applyFont="1" applyFill="1" applyBorder="1" applyAlignment="1">
      <alignment vertical="center"/>
    </xf>
    <xf numFmtId="2" fontId="41" fillId="0" borderId="1" xfId="0" applyNumberFormat="1" applyFont="1" applyBorder="1" applyAlignment="1">
      <alignment horizontal="center" vertical="center"/>
    </xf>
    <xf numFmtId="0" fontId="41" fillId="5" borderId="1" xfId="0" applyFont="1" applyFill="1" applyBorder="1" applyAlignment="1">
      <alignment vertical="center"/>
    </xf>
    <xf numFmtId="171" fontId="43" fillId="10" borderId="1" xfId="0" applyNumberFormat="1" applyFont="1" applyFill="1" applyBorder="1" applyAlignment="1">
      <alignment horizontal="right" vertical="center" wrapText="1"/>
    </xf>
    <xf numFmtId="173" fontId="43" fillId="10" borderId="1" xfId="0" applyNumberFormat="1" applyFont="1" applyFill="1" applyBorder="1" applyAlignment="1">
      <alignment horizontal="right" vertical="center" wrapText="1"/>
    </xf>
    <xf numFmtId="173" fontId="41" fillId="10" borderId="1" xfId="0" applyNumberFormat="1" applyFont="1" applyFill="1" applyBorder="1" applyAlignment="1">
      <alignment vertical="center"/>
    </xf>
    <xf numFmtId="49" fontId="33" fillId="10" borderId="1" xfId="0" applyNumberFormat="1" applyFont="1" applyFill="1" applyBorder="1"/>
    <xf numFmtId="0" fontId="51" fillId="10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3" fillId="10" borderId="1" xfId="0" applyFont="1" applyFill="1" applyBorder="1" applyAlignment="1">
      <alignment vertical="center"/>
    </xf>
    <xf numFmtId="2" fontId="41" fillId="0" borderId="1" xfId="0" applyNumberFormat="1" applyFont="1" applyBorder="1" applyAlignment="1">
      <alignment horizontal="center"/>
    </xf>
    <xf numFmtId="2" fontId="33" fillId="0" borderId="1" xfId="0" applyNumberFormat="1" applyFont="1" applyBorder="1"/>
    <xf numFmtId="171" fontId="52" fillId="10" borderId="1" xfId="0" applyNumberFormat="1" applyFont="1" applyFill="1" applyBorder="1" applyAlignment="1">
      <alignment horizontal="center"/>
    </xf>
    <xf numFmtId="172" fontId="33" fillId="0" borderId="1" xfId="0" applyNumberFormat="1" applyFont="1" applyBorder="1"/>
    <xf numFmtId="172" fontId="29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49" fontId="43" fillId="10" borderId="1" xfId="0" applyNumberFormat="1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horizontal="center" vertical="center"/>
    </xf>
    <xf numFmtId="171" fontId="41" fillId="0" borderId="1" xfId="0" applyNumberFormat="1" applyFont="1" applyBorder="1" applyAlignment="1">
      <alignment vertical="center"/>
    </xf>
    <xf numFmtId="2" fontId="43" fillId="10" borderId="1" xfId="0" applyNumberFormat="1" applyFont="1" applyFill="1" applyBorder="1" applyAlignment="1">
      <alignment horizontal="center" vertical="center"/>
    </xf>
    <xf numFmtId="172" fontId="43" fillId="10" borderId="1" xfId="0" applyNumberFormat="1" applyFont="1" applyFill="1" applyBorder="1" applyAlignment="1">
      <alignment horizontal="center" vertical="center"/>
    </xf>
    <xf numFmtId="172" fontId="41" fillId="0" borderId="1" xfId="0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172" fontId="41" fillId="0" borderId="1" xfId="0" applyNumberFormat="1" applyFont="1" applyBorder="1" applyAlignment="1">
      <alignment horizontal="center"/>
    </xf>
    <xf numFmtId="0" fontId="41" fillId="5" borderId="15" xfId="0" applyFont="1" applyFill="1" applyBorder="1" applyAlignment="1">
      <alignment vertical="center"/>
    </xf>
    <xf numFmtId="0" fontId="41" fillId="5" borderId="16" xfId="0" applyFont="1" applyFill="1" applyBorder="1" applyAlignment="1">
      <alignment vertical="center"/>
    </xf>
    <xf numFmtId="0" fontId="29" fillId="0" borderId="31" xfId="0" applyFont="1" applyBorder="1" applyAlignment="1">
      <alignment horizontal="center"/>
    </xf>
    <xf numFmtId="172" fontId="41" fillId="0" borderId="31" xfId="0" applyNumberFormat="1" applyFont="1" applyBorder="1" applyAlignment="1">
      <alignment horizontal="center"/>
    </xf>
    <xf numFmtId="0" fontId="41" fillId="0" borderId="3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32" xfId="4" applyBorder="1" applyAlignment="1" applyProtection="1">
      <alignment horizontal="center" vertical="center"/>
      <protection locked="0"/>
    </xf>
    <xf numFmtId="0" fontId="18" fillId="0" borderId="13" xfId="4" applyAlignment="1" applyProtection="1">
      <alignment horizontal="center" vertical="center"/>
      <protection locked="0"/>
    </xf>
    <xf numFmtId="0" fontId="18" fillId="0" borderId="13" xfId="4" applyAlignment="1">
      <alignment horizontal="center" vertical="center"/>
    </xf>
    <xf numFmtId="0" fontId="16" fillId="0" borderId="13" xfId="24"/>
    <xf numFmtId="49" fontId="33" fillId="0" borderId="1" xfId="39" applyNumberFormat="1" applyFont="1" applyBorder="1" applyAlignment="1">
      <alignment horizontal="center" vertical="center"/>
    </xf>
    <xf numFmtId="170" fontId="33" fillId="0" borderId="1" xfId="39" applyNumberFormat="1" applyFont="1" applyBorder="1" applyAlignment="1">
      <alignment horizontal="center" vertical="center"/>
    </xf>
    <xf numFmtId="49" fontId="34" fillId="0" borderId="1" xfId="39" applyNumberFormat="1" applyFont="1" applyBorder="1" applyAlignment="1">
      <alignment horizontal="center" vertical="center"/>
    </xf>
    <xf numFmtId="2" fontId="33" fillId="2" borderId="1" xfId="39" applyNumberFormat="1" applyFont="1" applyFill="1" applyBorder="1" applyAlignment="1">
      <alignment horizontal="center" vertical="center"/>
    </xf>
    <xf numFmtId="2" fontId="33" fillId="0" borderId="1" xfId="39" applyNumberFormat="1" applyFont="1" applyBorder="1" applyAlignment="1">
      <alignment horizontal="center" vertical="center"/>
    </xf>
    <xf numFmtId="168" fontId="34" fillId="0" borderId="1" xfId="39" applyNumberFormat="1" applyFont="1" applyBorder="1" applyAlignment="1">
      <alignment horizontal="center" vertical="center"/>
    </xf>
    <xf numFmtId="0" fontId="34" fillId="0" borderId="1" xfId="39" applyFont="1" applyBorder="1" applyAlignment="1">
      <alignment horizontal="center" vertical="center"/>
    </xf>
    <xf numFmtId="8" fontId="34" fillId="0" borderId="1" xfId="39" applyNumberFormat="1" applyFont="1" applyBorder="1" applyAlignment="1">
      <alignment horizontal="center" vertical="center"/>
    </xf>
    <xf numFmtId="0" fontId="33" fillId="0" borderId="1" xfId="39" applyFont="1" applyBorder="1" applyAlignment="1">
      <alignment horizontal="center" vertical="center" wrapText="1"/>
    </xf>
    <xf numFmtId="49" fontId="33" fillId="0" borderId="1" xfId="40" applyNumberFormat="1" applyFont="1" applyBorder="1" applyAlignment="1">
      <alignment horizontal="center" vertical="center"/>
    </xf>
    <xf numFmtId="170" fontId="33" fillId="0" borderId="1" xfId="40" applyNumberFormat="1" applyFont="1" applyBorder="1" applyAlignment="1">
      <alignment horizontal="center" vertical="center"/>
    </xf>
    <xf numFmtId="2" fontId="33" fillId="2" borderId="1" xfId="40" applyNumberFormat="1" applyFont="1" applyFill="1" applyBorder="1" applyAlignment="1">
      <alignment horizontal="center" vertical="center"/>
    </xf>
    <xf numFmtId="2" fontId="33" fillId="0" borderId="1" xfId="40" applyNumberFormat="1" applyFont="1" applyBorder="1" applyAlignment="1">
      <alignment horizontal="center" vertical="center"/>
    </xf>
    <xf numFmtId="168" fontId="34" fillId="0" borderId="1" xfId="40" applyNumberFormat="1" applyFont="1" applyBorder="1" applyAlignment="1">
      <alignment horizontal="center" vertical="center"/>
    </xf>
    <xf numFmtId="0" fontId="34" fillId="0" borderId="1" xfId="40" applyFont="1" applyBorder="1" applyAlignment="1">
      <alignment horizontal="center" vertical="center"/>
    </xf>
    <xf numFmtId="8" fontId="34" fillId="0" borderId="1" xfId="40" applyNumberFormat="1" applyFont="1" applyBorder="1" applyAlignment="1">
      <alignment horizontal="center" vertical="center"/>
    </xf>
    <xf numFmtId="0" fontId="33" fillId="0" borderId="1" xfId="40" applyFont="1" applyBorder="1" applyAlignment="1">
      <alignment horizontal="center" vertical="center" wrapText="1"/>
    </xf>
    <xf numFmtId="49" fontId="34" fillId="0" borderId="1" xfId="40" applyNumberFormat="1" applyFont="1" applyBorder="1" applyAlignment="1">
      <alignment horizontal="center" vertical="center"/>
    </xf>
    <xf numFmtId="49" fontId="33" fillId="0" borderId="1" xfId="41" applyNumberFormat="1" applyFont="1" applyBorder="1" applyAlignment="1">
      <alignment horizontal="center" vertical="center"/>
    </xf>
    <xf numFmtId="170" fontId="33" fillId="0" borderId="1" xfId="41" applyNumberFormat="1" applyFont="1" applyBorder="1" applyAlignment="1">
      <alignment horizontal="center" vertical="center"/>
    </xf>
    <xf numFmtId="2" fontId="33" fillId="2" borderId="1" xfId="41" applyNumberFormat="1" applyFont="1" applyFill="1" applyBorder="1" applyAlignment="1">
      <alignment horizontal="center" vertical="center"/>
    </xf>
    <xf numFmtId="2" fontId="33" fillId="0" borderId="1" xfId="41" applyNumberFormat="1" applyFont="1" applyBorder="1" applyAlignment="1">
      <alignment horizontal="center" vertical="center"/>
    </xf>
    <xf numFmtId="168" fontId="34" fillId="0" borderId="1" xfId="41" applyNumberFormat="1" applyFont="1" applyBorder="1" applyAlignment="1">
      <alignment horizontal="center" vertical="center"/>
    </xf>
    <xf numFmtId="0" fontId="34" fillId="0" borderId="1" xfId="41" applyFont="1" applyBorder="1" applyAlignment="1">
      <alignment horizontal="center" vertical="center"/>
    </xf>
    <xf numFmtId="8" fontId="34" fillId="0" borderId="1" xfId="41" applyNumberFormat="1" applyFont="1" applyBorder="1" applyAlignment="1">
      <alignment horizontal="center" vertical="center"/>
    </xf>
    <xf numFmtId="0" fontId="33" fillId="0" borderId="1" xfId="41" applyFont="1" applyBorder="1" applyAlignment="1">
      <alignment horizontal="center" vertical="center" wrapText="1"/>
    </xf>
    <xf numFmtId="49" fontId="34" fillId="0" borderId="1" xfId="41" applyNumberFormat="1" applyFont="1" applyBorder="1" applyAlignment="1">
      <alignment horizontal="center" vertical="center"/>
    </xf>
    <xf numFmtId="49" fontId="33" fillId="0" borderId="1" xfId="42" applyNumberFormat="1" applyFont="1" applyBorder="1" applyAlignment="1">
      <alignment horizontal="center" vertical="center"/>
    </xf>
    <xf numFmtId="170" fontId="33" fillId="0" borderId="1" xfId="42" applyNumberFormat="1" applyFont="1" applyBorder="1" applyAlignment="1">
      <alignment horizontal="center" vertical="center"/>
    </xf>
    <xf numFmtId="49" fontId="34" fillId="0" borderId="1" xfId="42" applyNumberFormat="1" applyFont="1" applyBorder="1" applyAlignment="1">
      <alignment horizontal="center" vertical="center"/>
    </xf>
    <xf numFmtId="2" fontId="33" fillId="2" borderId="1" xfId="42" applyNumberFormat="1" applyFont="1" applyFill="1" applyBorder="1" applyAlignment="1">
      <alignment horizontal="center" vertical="center"/>
    </xf>
    <xf numFmtId="2" fontId="33" fillId="0" borderId="1" xfId="42" applyNumberFormat="1" applyFont="1" applyBorder="1" applyAlignment="1">
      <alignment horizontal="center" vertical="center"/>
    </xf>
    <xf numFmtId="168" fontId="34" fillId="0" borderId="1" xfId="42" applyNumberFormat="1" applyFont="1" applyBorder="1" applyAlignment="1">
      <alignment horizontal="center" vertical="center"/>
    </xf>
    <xf numFmtId="0" fontId="34" fillId="0" borderId="1" xfId="42" applyFont="1" applyBorder="1" applyAlignment="1">
      <alignment horizontal="center" vertical="center"/>
    </xf>
    <xf numFmtId="8" fontId="34" fillId="0" borderId="1" xfId="42" applyNumberFormat="1" applyFont="1" applyBorder="1" applyAlignment="1">
      <alignment horizontal="center" vertical="center"/>
    </xf>
    <xf numFmtId="0" fontId="33" fillId="0" borderId="1" xfId="42" applyFont="1" applyBorder="1" applyAlignment="1">
      <alignment horizontal="center" vertical="center" wrapText="1"/>
    </xf>
    <xf numFmtId="49" fontId="33" fillId="0" borderId="1" xfId="46" applyNumberFormat="1" applyFont="1" applyBorder="1" applyAlignment="1">
      <alignment horizontal="center" vertical="center"/>
    </xf>
    <xf numFmtId="170" fontId="33" fillId="0" borderId="1" xfId="46" applyNumberFormat="1" applyFont="1" applyBorder="1" applyAlignment="1">
      <alignment horizontal="center" vertical="center"/>
    </xf>
    <xf numFmtId="2" fontId="33" fillId="2" borderId="1" xfId="46" applyNumberFormat="1" applyFont="1" applyFill="1" applyBorder="1" applyAlignment="1">
      <alignment horizontal="center" vertical="center"/>
    </xf>
    <xf numFmtId="2" fontId="33" fillId="0" borderId="1" xfId="46" applyNumberFormat="1" applyFont="1" applyBorder="1" applyAlignment="1">
      <alignment horizontal="center" vertical="center"/>
    </xf>
    <xf numFmtId="168" fontId="34" fillId="0" borderId="1" xfId="46" applyNumberFormat="1" applyFont="1" applyBorder="1" applyAlignment="1">
      <alignment horizontal="center" vertical="center"/>
    </xf>
    <xf numFmtId="0" fontId="34" fillId="0" borderId="1" xfId="46" applyFont="1" applyBorder="1" applyAlignment="1">
      <alignment horizontal="center" vertical="center"/>
    </xf>
    <xf numFmtId="8" fontId="34" fillId="0" borderId="1" xfId="46" applyNumberFormat="1" applyFont="1" applyBorder="1" applyAlignment="1">
      <alignment horizontal="center" vertical="center"/>
    </xf>
    <xf numFmtId="0" fontId="33" fillId="0" borderId="1" xfId="46" applyFont="1" applyBorder="1" applyAlignment="1">
      <alignment horizontal="center" vertical="center" wrapText="1"/>
    </xf>
    <xf numFmtId="49" fontId="33" fillId="0" borderId="1" xfId="47" applyNumberFormat="1" applyFont="1" applyBorder="1" applyAlignment="1">
      <alignment horizontal="center" vertical="center"/>
    </xf>
    <xf numFmtId="170" fontId="33" fillId="0" borderId="1" xfId="47" applyNumberFormat="1" applyFont="1" applyBorder="1" applyAlignment="1">
      <alignment horizontal="center" vertical="center"/>
    </xf>
    <xf numFmtId="49" fontId="34" fillId="0" borderId="1" xfId="47" applyNumberFormat="1" applyFont="1" applyBorder="1" applyAlignment="1">
      <alignment horizontal="center" vertical="center"/>
    </xf>
    <xf numFmtId="2" fontId="33" fillId="2" borderId="1" xfId="47" applyNumberFormat="1" applyFont="1" applyFill="1" applyBorder="1" applyAlignment="1">
      <alignment horizontal="center" vertical="center"/>
    </xf>
    <xf numFmtId="2" fontId="33" fillId="0" borderId="1" xfId="47" applyNumberFormat="1" applyFont="1" applyBorder="1" applyAlignment="1">
      <alignment horizontal="center" vertical="center"/>
    </xf>
    <xf numFmtId="168" fontId="34" fillId="0" borderId="1" xfId="47" applyNumberFormat="1" applyFont="1" applyBorder="1" applyAlignment="1">
      <alignment horizontal="center" vertical="center"/>
    </xf>
    <xf numFmtId="0" fontId="34" fillId="0" borderId="1" xfId="47" applyFont="1" applyBorder="1" applyAlignment="1">
      <alignment horizontal="center" vertical="center"/>
    </xf>
    <xf numFmtId="8" fontId="34" fillId="0" borderId="1" xfId="47" applyNumberFormat="1" applyFont="1" applyBorder="1" applyAlignment="1">
      <alignment horizontal="center" vertical="center"/>
    </xf>
    <xf numFmtId="0" fontId="33" fillId="0" borderId="1" xfId="47" applyFont="1" applyBorder="1" applyAlignment="1">
      <alignment horizontal="center" vertical="center" wrapText="1"/>
    </xf>
    <xf numFmtId="49" fontId="33" fillId="0" borderId="1" xfId="48" applyNumberFormat="1" applyFont="1" applyBorder="1" applyAlignment="1">
      <alignment horizontal="center" vertical="center"/>
    </xf>
    <xf numFmtId="170" fontId="33" fillId="0" borderId="1" xfId="48" applyNumberFormat="1" applyFont="1" applyBorder="1" applyAlignment="1">
      <alignment horizontal="center" vertical="center"/>
    </xf>
    <xf numFmtId="49" fontId="34" fillId="0" borderId="1" xfId="48" applyNumberFormat="1" applyFont="1" applyBorder="1" applyAlignment="1">
      <alignment horizontal="center" vertical="center"/>
    </xf>
    <xf numFmtId="2" fontId="33" fillId="2" borderId="1" xfId="48" applyNumberFormat="1" applyFont="1" applyFill="1" applyBorder="1" applyAlignment="1">
      <alignment horizontal="center" vertical="center"/>
    </xf>
    <xf numFmtId="2" fontId="33" fillId="0" borderId="1" xfId="48" applyNumberFormat="1" applyFont="1" applyBorder="1" applyAlignment="1">
      <alignment horizontal="center" vertical="center"/>
    </xf>
    <xf numFmtId="168" fontId="34" fillId="0" borderId="1" xfId="48" applyNumberFormat="1" applyFont="1" applyBorder="1" applyAlignment="1">
      <alignment horizontal="center" vertical="center"/>
    </xf>
    <xf numFmtId="0" fontId="34" fillId="0" borderId="1" xfId="48" applyFont="1" applyBorder="1" applyAlignment="1">
      <alignment horizontal="center" vertical="center"/>
    </xf>
    <xf numFmtId="8" fontId="34" fillId="0" borderId="1" xfId="48" applyNumberFormat="1" applyFont="1" applyBorder="1" applyAlignment="1">
      <alignment horizontal="center" vertical="center"/>
    </xf>
    <xf numFmtId="0" fontId="33" fillId="0" borderId="1" xfId="48" applyFont="1" applyBorder="1" applyAlignment="1">
      <alignment horizontal="center" vertical="center" wrapText="1"/>
    </xf>
    <xf numFmtId="49" fontId="33" fillId="0" borderId="1" xfId="49" applyNumberFormat="1" applyFont="1" applyBorder="1" applyAlignment="1">
      <alignment horizontal="center" vertical="center"/>
    </xf>
    <xf numFmtId="170" fontId="33" fillId="0" borderId="1" xfId="49" applyNumberFormat="1" applyFont="1" applyBorder="1" applyAlignment="1">
      <alignment horizontal="center" vertical="center"/>
    </xf>
    <xf numFmtId="49" fontId="34" fillId="0" borderId="1" xfId="49" applyNumberFormat="1" applyFont="1" applyBorder="1" applyAlignment="1">
      <alignment horizontal="center" vertical="center"/>
    </xf>
    <xf numFmtId="2" fontId="33" fillId="2" borderId="1" xfId="49" applyNumberFormat="1" applyFont="1" applyFill="1" applyBorder="1" applyAlignment="1">
      <alignment horizontal="center" vertical="center"/>
    </xf>
    <xf numFmtId="2" fontId="33" fillId="0" borderId="1" xfId="49" applyNumberFormat="1" applyFont="1" applyBorder="1" applyAlignment="1">
      <alignment horizontal="center" vertical="center"/>
    </xf>
    <xf numFmtId="168" fontId="34" fillId="0" borderId="1" xfId="49" applyNumberFormat="1" applyFont="1" applyBorder="1" applyAlignment="1">
      <alignment horizontal="center" vertical="center"/>
    </xf>
    <xf numFmtId="0" fontId="34" fillId="0" borderId="1" xfId="49" applyFont="1" applyBorder="1" applyAlignment="1">
      <alignment horizontal="center" vertical="center"/>
    </xf>
    <xf numFmtId="8" fontId="34" fillId="0" borderId="1" xfId="49" applyNumberFormat="1" applyFont="1" applyBorder="1" applyAlignment="1">
      <alignment horizontal="center" vertical="center"/>
    </xf>
    <xf numFmtId="0" fontId="33" fillId="0" borderId="1" xfId="49" applyFont="1" applyBorder="1" applyAlignment="1">
      <alignment horizontal="center" vertical="center" wrapText="1"/>
    </xf>
    <xf numFmtId="49" fontId="33" fillId="0" borderId="1" xfId="50" applyNumberFormat="1" applyFont="1" applyBorder="1" applyAlignment="1">
      <alignment horizontal="center" vertical="center"/>
    </xf>
    <xf numFmtId="170" fontId="33" fillId="0" borderId="1" xfId="50" applyNumberFormat="1" applyFont="1" applyBorder="1" applyAlignment="1">
      <alignment horizontal="center" vertical="center"/>
    </xf>
    <xf numFmtId="49" fontId="34" fillId="0" borderId="1" xfId="50" applyNumberFormat="1" applyFont="1" applyBorder="1" applyAlignment="1">
      <alignment horizontal="center" vertical="center"/>
    </xf>
    <xf numFmtId="2" fontId="33" fillId="2" borderId="1" xfId="50" applyNumberFormat="1" applyFont="1" applyFill="1" applyBorder="1" applyAlignment="1">
      <alignment horizontal="center" vertical="center"/>
    </xf>
    <xf numFmtId="2" fontId="33" fillId="0" borderId="1" xfId="50" applyNumberFormat="1" applyFont="1" applyBorder="1" applyAlignment="1">
      <alignment horizontal="center" vertical="center"/>
    </xf>
    <xf numFmtId="168" fontId="34" fillId="0" borderId="1" xfId="50" applyNumberFormat="1" applyFont="1" applyBorder="1" applyAlignment="1">
      <alignment horizontal="center" vertical="center"/>
    </xf>
    <xf numFmtId="0" fontId="34" fillId="0" borderId="1" xfId="50" applyFont="1" applyBorder="1" applyAlignment="1">
      <alignment horizontal="center" vertical="center"/>
    </xf>
    <xf numFmtId="8" fontId="34" fillId="0" borderId="1" xfId="50" applyNumberFormat="1" applyFont="1" applyBorder="1" applyAlignment="1">
      <alignment horizontal="center" vertical="center"/>
    </xf>
    <xf numFmtId="0" fontId="33" fillId="0" borderId="1" xfId="50" applyFont="1" applyBorder="1" applyAlignment="1">
      <alignment horizontal="center" vertical="center" wrapText="1"/>
    </xf>
    <xf numFmtId="49" fontId="33" fillId="0" borderId="1" xfId="60" applyNumberFormat="1" applyFont="1" applyBorder="1" applyAlignment="1">
      <alignment horizontal="center" vertical="center"/>
    </xf>
    <xf numFmtId="170" fontId="33" fillId="0" borderId="1" xfId="60" applyNumberFormat="1" applyFont="1" applyBorder="1" applyAlignment="1">
      <alignment horizontal="center" vertical="center"/>
    </xf>
    <xf numFmtId="0" fontId="35" fillId="0" borderId="1" xfId="61" applyFont="1" applyBorder="1" applyAlignment="1">
      <alignment horizontal="center"/>
    </xf>
    <xf numFmtId="49" fontId="34" fillId="0" borderId="1" xfId="60" applyNumberFormat="1" applyFont="1" applyBorder="1" applyAlignment="1">
      <alignment horizontal="center" vertical="center"/>
    </xf>
    <xf numFmtId="2" fontId="33" fillId="0" borderId="1" xfId="60" applyNumberFormat="1" applyFont="1" applyBorder="1" applyAlignment="1">
      <alignment horizontal="center" vertical="center"/>
    </xf>
    <xf numFmtId="168" fontId="34" fillId="0" borderId="1" xfId="60" applyNumberFormat="1" applyFont="1" applyBorder="1" applyAlignment="1">
      <alignment horizontal="center" vertical="center"/>
    </xf>
    <xf numFmtId="0" fontId="34" fillId="0" borderId="1" xfId="60" applyFont="1" applyBorder="1" applyAlignment="1">
      <alignment horizontal="center" vertical="center"/>
    </xf>
    <xf numFmtId="8" fontId="34" fillId="0" borderId="1" xfId="60" applyNumberFormat="1" applyFont="1" applyBorder="1" applyAlignment="1">
      <alignment horizontal="center" vertical="center"/>
    </xf>
    <xf numFmtId="0" fontId="33" fillId="0" borderId="1" xfId="60" applyFont="1" applyBorder="1" applyAlignment="1">
      <alignment horizontal="center" vertical="center" wrapText="1"/>
    </xf>
    <xf numFmtId="49" fontId="33" fillId="0" borderId="1" xfId="62" applyNumberFormat="1" applyFont="1" applyBorder="1" applyAlignment="1">
      <alignment horizontal="center" vertical="center"/>
    </xf>
    <xf numFmtId="170" fontId="33" fillId="0" borderId="1" xfId="62" applyNumberFormat="1" applyFont="1" applyBorder="1" applyAlignment="1">
      <alignment horizontal="center" vertical="center"/>
    </xf>
    <xf numFmtId="49" fontId="34" fillId="0" borderId="1" xfId="62" applyNumberFormat="1" applyFont="1" applyBorder="1" applyAlignment="1">
      <alignment horizontal="center" vertical="center"/>
    </xf>
    <xf numFmtId="2" fontId="33" fillId="0" borderId="1" xfId="62" applyNumberFormat="1" applyFont="1" applyBorder="1" applyAlignment="1">
      <alignment horizontal="center" vertical="center"/>
    </xf>
    <xf numFmtId="168" fontId="34" fillId="0" borderId="1" xfId="62" applyNumberFormat="1" applyFont="1" applyBorder="1" applyAlignment="1">
      <alignment horizontal="center" vertical="center"/>
    </xf>
    <xf numFmtId="0" fontId="34" fillId="0" borderId="1" xfId="62" applyFont="1" applyBorder="1" applyAlignment="1">
      <alignment horizontal="center" vertical="center"/>
    </xf>
    <xf numFmtId="8" fontId="34" fillId="0" borderId="1" xfId="62" applyNumberFormat="1" applyFont="1" applyBorder="1" applyAlignment="1">
      <alignment horizontal="center" vertical="center"/>
    </xf>
    <xf numFmtId="0" fontId="33" fillId="0" borderId="1" xfId="62" applyFont="1" applyBorder="1" applyAlignment="1">
      <alignment horizontal="center" vertical="center" wrapText="1"/>
    </xf>
    <xf numFmtId="49" fontId="33" fillId="0" borderId="1" xfId="63" applyNumberFormat="1" applyFont="1" applyBorder="1" applyAlignment="1">
      <alignment horizontal="center" vertical="center"/>
    </xf>
    <xf numFmtId="49" fontId="33" fillId="0" borderId="1" xfId="64" applyNumberFormat="1" applyFont="1" applyBorder="1" applyAlignment="1">
      <alignment horizontal="center" vertical="center"/>
    </xf>
    <xf numFmtId="170" fontId="33" fillId="0" borderId="1" xfId="64" applyNumberFormat="1" applyFont="1" applyBorder="1" applyAlignment="1">
      <alignment horizontal="center" vertical="center"/>
    </xf>
    <xf numFmtId="2" fontId="33" fillId="0" borderId="1" xfId="64" applyNumberFormat="1" applyFont="1" applyBorder="1" applyAlignment="1">
      <alignment horizontal="center" vertical="center"/>
    </xf>
    <xf numFmtId="168" fontId="34" fillId="0" borderId="1" xfId="64" applyNumberFormat="1" applyFont="1" applyBorder="1" applyAlignment="1">
      <alignment horizontal="center" vertical="center"/>
    </xf>
    <xf numFmtId="0" fontId="34" fillId="0" borderId="1" xfId="64" applyFont="1" applyBorder="1" applyAlignment="1">
      <alignment horizontal="center" vertical="center"/>
    </xf>
    <xf numFmtId="8" fontId="34" fillId="0" borderId="1" xfId="64" applyNumberFormat="1" applyFont="1" applyBorder="1" applyAlignment="1">
      <alignment horizontal="center" vertical="center"/>
    </xf>
    <xf numFmtId="0" fontId="33" fillId="0" borderId="1" xfId="64" applyFont="1" applyBorder="1" applyAlignment="1">
      <alignment horizontal="center" vertical="center" wrapText="1"/>
    </xf>
    <xf numFmtId="49" fontId="34" fillId="0" borderId="1" xfId="64" applyNumberFormat="1" applyFont="1" applyBorder="1" applyAlignment="1">
      <alignment horizontal="center" vertical="center"/>
    </xf>
    <xf numFmtId="49" fontId="33" fillId="0" borderId="1" xfId="65" applyNumberFormat="1" applyFont="1" applyBorder="1" applyAlignment="1">
      <alignment horizontal="center" vertical="center"/>
    </xf>
    <xf numFmtId="170" fontId="33" fillId="0" borderId="1" xfId="65" applyNumberFormat="1" applyFont="1" applyBorder="1" applyAlignment="1">
      <alignment horizontal="center" vertical="center"/>
    </xf>
    <xf numFmtId="49" fontId="34" fillId="0" borderId="1" xfId="65" applyNumberFormat="1" applyFont="1" applyBorder="1" applyAlignment="1">
      <alignment horizontal="center" vertical="center"/>
    </xf>
    <xf numFmtId="2" fontId="33" fillId="0" borderId="1" xfId="65" applyNumberFormat="1" applyFont="1" applyBorder="1" applyAlignment="1">
      <alignment horizontal="center" vertical="center"/>
    </xf>
    <xf numFmtId="168" fontId="34" fillId="0" borderId="1" xfId="65" applyNumberFormat="1" applyFont="1" applyBorder="1" applyAlignment="1">
      <alignment horizontal="center" vertical="center"/>
    </xf>
    <xf numFmtId="0" fontId="34" fillId="0" borderId="1" xfId="65" applyFont="1" applyBorder="1" applyAlignment="1">
      <alignment horizontal="center" vertical="center"/>
    </xf>
    <xf numFmtId="8" fontId="34" fillId="0" borderId="1" xfId="65" applyNumberFormat="1" applyFont="1" applyBorder="1" applyAlignment="1">
      <alignment horizontal="center" vertical="center"/>
    </xf>
    <xf numFmtId="0" fontId="33" fillId="0" borderId="1" xfId="65" applyFont="1" applyBorder="1" applyAlignment="1">
      <alignment horizontal="center" vertical="center" wrapText="1"/>
    </xf>
    <xf numFmtId="49" fontId="33" fillId="0" borderId="1" xfId="66" applyNumberFormat="1" applyFont="1" applyBorder="1" applyAlignment="1">
      <alignment horizontal="center" vertical="center"/>
    </xf>
    <xf numFmtId="0" fontId="33" fillId="11" borderId="1" xfId="67" applyFont="1" applyFill="1" applyBorder="1" applyAlignment="1">
      <alignment horizontal="center" vertical="center"/>
    </xf>
    <xf numFmtId="170" fontId="33" fillId="11" borderId="1" xfId="67" applyNumberFormat="1" applyFont="1" applyFill="1" applyBorder="1" applyAlignment="1">
      <alignment horizontal="center" vertical="center"/>
    </xf>
    <xf numFmtId="0" fontId="35" fillId="12" borderId="1" xfId="67" applyFont="1" applyFill="1" applyBorder="1" applyAlignment="1">
      <alignment horizontal="center"/>
    </xf>
    <xf numFmtId="49" fontId="33" fillId="11" borderId="31" xfId="67" applyNumberFormat="1" applyFont="1" applyFill="1" applyBorder="1" applyAlignment="1">
      <alignment horizontal="center" vertical="center"/>
    </xf>
    <xf numFmtId="49" fontId="33" fillId="11" borderId="1" xfId="67" applyNumberFormat="1" applyFont="1" applyFill="1" applyBorder="1" applyAlignment="1">
      <alignment horizontal="center" vertical="center"/>
    </xf>
    <xf numFmtId="49" fontId="33" fillId="11" borderId="1" xfId="67" applyNumberFormat="1" applyFont="1" applyFill="1" applyBorder="1" applyAlignment="1">
      <alignment horizontal="center" vertical="center" wrapText="1"/>
    </xf>
    <xf numFmtId="2" fontId="33" fillId="2" borderId="1" xfId="67" applyNumberFormat="1" applyFont="1" applyFill="1" applyBorder="1" applyAlignment="1">
      <alignment horizontal="center"/>
    </xf>
    <xf numFmtId="168" fontId="33" fillId="11" borderId="1" xfId="67" applyNumberFormat="1" applyFont="1" applyFill="1" applyBorder="1" applyAlignment="1">
      <alignment horizontal="center" vertical="center"/>
    </xf>
    <xf numFmtId="8" fontId="33" fillId="11" borderId="1" xfId="67" applyNumberFormat="1" applyFont="1" applyFill="1" applyBorder="1" applyAlignment="1">
      <alignment horizontal="center" vertical="center"/>
    </xf>
    <xf numFmtId="0" fontId="33" fillId="11" borderId="1" xfId="67" applyFont="1" applyFill="1" applyBorder="1" applyAlignment="1">
      <alignment horizontal="center" vertical="center" wrapText="1"/>
    </xf>
    <xf numFmtId="0" fontId="14" fillId="0" borderId="13" xfId="67"/>
    <xf numFmtId="49" fontId="33" fillId="12" borderId="11" xfId="68" applyNumberFormat="1" applyFont="1" applyFill="1" applyBorder="1" applyAlignment="1">
      <alignment horizontal="center" vertical="center"/>
    </xf>
    <xf numFmtId="170" fontId="33" fillId="11" borderId="11" xfId="68" applyNumberFormat="1" applyFont="1" applyFill="1" applyBorder="1" applyAlignment="1">
      <alignment horizontal="center" vertical="center"/>
    </xf>
    <xf numFmtId="49" fontId="33" fillId="11" borderId="11" xfId="68" applyNumberFormat="1" applyFont="1" applyFill="1" applyBorder="1" applyAlignment="1">
      <alignment horizontal="center" vertical="center"/>
    </xf>
    <xf numFmtId="49" fontId="33" fillId="11" borderId="11" xfId="68" applyNumberFormat="1" applyFont="1" applyFill="1" applyBorder="1" applyAlignment="1">
      <alignment horizontal="center" vertical="center" wrapText="1"/>
    </xf>
    <xf numFmtId="49" fontId="33" fillId="2" borderId="11" xfId="68" applyNumberFormat="1" applyFont="1" applyFill="1" applyBorder="1" applyAlignment="1">
      <alignment horizontal="center" vertical="center" wrapText="1"/>
    </xf>
    <xf numFmtId="2" fontId="33" fillId="2" borderId="11" xfId="68" applyNumberFormat="1" applyFont="1" applyFill="1" applyBorder="1" applyAlignment="1">
      <alignment horizontal="center"/>
    </xf>
    <xf numFmtId="168" fontId="33" fillId="12" borderId="11" xfId="68" applyNumberFormat="1" applyFont="1" applyFill="1" applyBorder="1" applyAlignment="1">
      <alignment horizontal="center" vertical="center"/>
    </xf>
    <xf numFmtId="0" fontId="33" fillId="11" borderId="11" xfId="68" applyFont="1" applyFill="1" applyBorder="1" applyAlignment="1">
      <alignment horizontal="center" vertical="center"/>
    </xf>
    <xf numFmtId="8" fontId="33" fillId="11" borderId="11" xfId="68" applyNumberFormat="1" applyFont="1" applyFill="1" applyBorder="1" applyAlignment="1">
      <alignment horizontal="center" vertical="center"/>
    </xf>
    <xf numFmtId="0" fontId="33" fillId="11" borderId="11" xfId="68" applyFont="1" applyFill="1" applyBorder="1" applyAlignment="1">
      <alignment horizontal="center" vertical="center" wrapText="1"/>
    </xf>
    <xf numFmtId="0" fontId="14" fillId="0" borderId="13" xfId="68"/>
    <xf numFmtId="49" fontId="33" fillId="2" borderId="11" xfId="68" applyNumberFormat="1" applyFont="1" applyFill="1" applyBorder="1" applyAlignment="1">
      <alignment horizontal="center" vertical="center"/>
    </xf>
    <xf numFmtId="168" fontId="33" fillId="2" borderId="11" xfId="68" applyNumberFormat="1" applyFont="1" applyFill="1" applyBorder="1" applyAlignment="1">
      <alignment horizontal="center" vertical="center"/>
    </xf>
    <xf numFmtId="49" fontId="33" fillId="12" borderId="11" xfId="69" applyNumberFormat="1" applyFont="1" applyFill="1" applyBorder="1" applyAlignment="1">
      <alignment horizontal="center" vertical="center"/>
    </xf>
    <xf numFmtId="170" fontId="33" fillId="11" borderId="1" xfId="70" applyNumberFormat="1" applyFont="1" applyFill="1" applyBorder="1" applyAlignment="1">
      <alignment horizontal="center" vertical="center"/>
    </xf>
    <xf numFmtId="170" fontId="33" fillId="11" borderId="11" xfId="69" applyNumberFormat="1" applyFont="1" applyFill="1" applyBorder="1" applyAlignment="1">
      <alignment horizontal="center" vertical="center"/>
    </xf>
    <xf numFmtId="49" fontId="33" fillId="11" borderId="11" xfId="69" applyNumberFormat="1" applyFont="1" applyFill="1" applyBorder="1" applyAlignment="1">
      <alignment horizontal="center" vertical="center"/>
    </xf>
    <xf numFmtId="49" fontId="33" fillId="11" borderId="11" xfId="69" applyNumberFormat="1" applyFont="1" applyFill="1" applyBorder="1" applyAlignment="1">
      <alignment horizontal="center" vertical="center" wrapText="1"/>
    </xf>
    <xf numFmtId="49" fontId="33" fillId="2" borderId="11" xfId="69" applyNumberFormat="1" applyFont="1" applyFill="1" applyBorder="1" applyAlignment="1">
      <alignment horizontal="center" vertical="center"/>
    </xf>
    <xf numFmtId="49" fontId="33" fillId="2" borderId="11" xfId="69" applyNumberFormat="1" applyFont="1" applyFill="1" applyBorder="1" applyAlignment="1">
      <alignment horizontal="center" vertical="center" wrapText="1"/>
    </xf>
    <xf numFmtId="2" fontId="33" fillId="2" borderId="11" xfId="69" applyNumberFormat="1" applyFont="1" applyFill="1" applyBorder="1" applyAlignment="1">
      <alignment horizontal="center"/>
    </xf>
    <xf numFmtId="168" fontId="33" fillId="12" borderId="11" xfId="69" applyNumberFormat="1" applyFont="1" applyFill="1" applyBorder="1" applyAlignment="1">
      <alignment horizontal="center" vertical="center"/>
    </xf>
    <xf numFmtId="0" fontId="33" fillId="11" borderId="11" xfId="69" applyFont="1" applyFill="1" applyBorder="1" applyAlignment="1">
      <alignment horizontal="center" vertical="center"/>
    </xf>
    <xf numFmtId="8" fontId="33" fillId="11" borderId="11" xfId="69" applyNumberFormat="1" applyFont="1" applyFill="1" applyBorder="1" applyAlignment="1">
      <alignment horizontal="center" vertical="center"/>
    </xf>
    <xf numFmtId="0" fontId="33" fillId="11" borderId="11" xfId="69" applyFont="1" applyFill="1" applyBorder="1" applyAlignment="1">
      <alignment horizontal="center" vertical="center" wrapText="1"/>
    </xf>
    <xf numFmtId="0" fontId="14" fillId="0" borderId="13" xfId="69"/>
    <xf numFmtId="49" fontId="33" fillId="12" borderId="11" xfId="71" applyNumberFormat="1" applyFont="1" applyFill="1" applyBorder="1" applyAlignment="1">
      <alignment horizontal="center" vertical="center"/>
    </xf>
    <xf numFmtId="170" fontId="33" fillId="11" borderId="1" xfId="72" applyNumberFormat="1" applyFont="1" applyFill="1" applyBorder="1" applyAlignment="1">
      <alignment horizontal="center" vertical="center"/>
    </xf>
    <xf numFmtId="170" fontId="33" fillId="11" borderId="11" xfId="71" applyNumberFormat="1" applyFont="1" applyFill="1" applyBorder="1" applyAlignment="1">
      <alignment horizontal="center" vertical="center"/>
    </xf>
    <xf numFmtId="49" fontId="33" fillId="11" borderId="11" xfId="71" applyNumberFormat="1" applyFont="1" applyFill="1" applyBorder="1" applyAlignment="1">
      <alignment horizontal="center" vertical="center"/>
    </xf>
    <xf numFmtId="49" fontId="33" fillId="11" borderId="11" xfId="71" applyNumberFormat="1" applyFont="1" applyFill="1" applyBorder="1" applyAlignment="1">
      <alignment horizontal="center" vertical="center" wrapText="1"/>
    </xf>
    <xf numFmtId="49" fontId="33" fillId="2" borderId="11" xfId="71" applyNumberFormat="1" applyFont="1" applyFill="1" applyBorder="1" applyAlignment="1">
      <alignment horizontal="center" vertical="center"/>
    </xf>
    <xf numFmtId="49" fontId="33" fillId="2" borderId="11" xfId="71" applyNumberFormat="1" applyFont="1" applyFill="1" applyBorder="1" applyAlignment="1">
      <alignment horizontal="center" vertical="center" wrapText="1"/>
    </xf>
    <xf numFmtId="2" fontId="33" fillId="2" borderId="11" xfId="71" applyNumberFormat="1" applyFont="1" applyFill="1" applyBorder="1" applyAlignment="1">
      <alignment horizontal="center"/>
    </xf>
    <xf numFmtId="168" fontId="33" fillId="12" borderId="11" xfId="71" applyNumberFormat="1" applyFont="1" applyFill="1" applyBorder="1" applyAlignment="1">
      <alignment horizontal="center" vertical="center"/>
    </xf>
    <xf numFmtId="0" fontId="33" fillId="11" borderId="11" xfId="71" applyFont="1" applyFill="1" applyBorder="1" applyAlignment="1">
      <alignment horizontal="center" vertical="center"/>
    </xf>
    <xf numFmtId="8" fontId="33" fillId="11" borderId="11" xfId="71" applyNumberFormat="1" applyFont="1" applyFill="1" applyBorder="1" applyAlignment="1">
      <alignment horizontal="center" vertical="center"/>
    </xf>
    <xf numFmtId="0" fontId="33" fillId="11" borderId="11" xfId="71" applyFont="1" applyFill="1" applyBorder="1" applyAlignment="1">
      <alignment horizontal="center" vertical="center" wrapText="1"/>
    </xf>
    <xf numFmtId="0" fontId="14" fillId="0" borderId="13" xfId="71"/>
    <xf numFmtId="49" fontId="33" fillId="12" borderId="11" xfId="73" applyNumberFormat="1" applyFont="1" applyFill="1" applyBorder="1" applyAlignment="1">
      <alignment horizontal="center" vertical="center"/>
    </xf>
    <xf numFmtId="170" fontId="33" fillId="2" borderId="11" xfId="73" applyNumberFormat="1" applyFont="1" applyFill="1" applyBorder="1" applyAlignment="1">
      <alignment horizontal="center" vertical="center"/>
    </xf>
    <xf numFmtId="170" fontId="33" fillId="11" borderId="11" xfId="73" applyNumberFormat="1" applyFont="1" applyFill="1" applyBorder="1" applyAlignment="1">
      <alignment horizontal="center" vertical="center"/>
    </xf>
    <xf numFmtId="49" fontId="33" fillId="11" borderId="11" xfId="73" applyNumberFormat="1" applyFont="1" applyFill="1" applyBorder="1" applyAlignment="1">
      <alignment horizontal="center" vertical="center"/>
    </xf>
    <xf numFmtId="49" fontId="33" fillId="11" borderId="11" xfId="73" applyNumberFormat="1" applyFont="1" applyFill="1" applyBorder="1" applyAlignment="1">
      <alignment horizontal="center" vertical="center" wrapText="1"/>
    </xf>
    <xf numFmtId="49" fontId="33" fillId="2" borderId="11" xfId="73" applyNumberFormat="1" applyFont="1" applyFill="1" applyBorder="1" applyAlignment="1">
      <alignment horizontal="center" vertical="center" wrapText="1"/>
    </xf>
    <xf numFmtId="2" fontId="33" fillId="2" borderId="11" xfId="73" applyNumberFormat="1" applyFont="1" applyFill="1" applyBorder="1" applyAlignment="1">
      <alignment horizontal="center"/>
    </xf>
    <xf numFmtId="168" fontId="33" fillId="12" borderId="11" xfId="73" applyNumberFormat="1" applyFont="1" applyFill="1" applyBorder="1" applyAlignment="1">
      <alignment horizontal="center" vertical="center"/>
    </xf>
    <xf numFmtId="0" fontId="33" fillId="11" borderId="11" xfId="73" applyFont="1" applyFill="1" applyBorder="1" applyAlignment="1">
      <alignment horizontal="center" vertical="center"/>
    </xf>
    <xf numFmtId="8" fontId="33" fillId="11" borderId="11" xfId="73" applyNumberFormat="1" applyFont="1" applyFill="1" applyBorder="1" applyAlignment="1">
      <alignment horizontal="center" vertical="center"/>
    </xf>
    <xf numFmtId="0" fontId="33" fillId="11" borderId="11" xfId="73" applyFont="1" applyFill="1" applyBorder="1" applyAlignment="1">
      <alignment horizontal="center" vertical="center" wrapText="1"/>
    </xf>
    <xf numFmtId="0" fontId="14" fillId="0" borderId="13" xfId="73"/>
    <xf numFmtId="0" fontId="33" fillId="11" borderId="11" xfId="67" applyFont="1" applyFill="1" applyBorder="1" applyAlignment="1">
      <alignment horizontal="center" vertical="center"/>
    </xf>
    <xf numFmtId="170" fontId="33" fillId="11" borderId="11" xfId="67" applyNumberFormat="1" applyFont="1" applyFill="1" applyBorder="1" applyAlignment="1">
      <alignment horizontal="center" vertical="center"/>
    </xf>
    <xf numFmtId="49" fontId="33" fillId="11" borderId="11" xfId="67" applyNumberFormat="1" applyFont="1" applyFill="1" applyBorder="1" applyAlignment="1">
      <alignment horizontal="center" vertical="center"/>
    </xf>
    <xf numFmtId="49" fontId="33" fillId="11" borderId="11" xfId="67" applyNumberFormat="1" applyFont="1" applyFill="1" applyBorder="1" applyAlignment="1">
      <alignment horizontal="center" vertical="center" wrapText="1"/>
    </xf>
    <xf numFmtId="2" fontId="33" fillId="2" borderId="11" xfId="67" applyNumberFormat="1" applyFont="1" applyFill="1" applyBorder="1" applyAlignment="1">
      <alignment horizontal="center"/>
    </xf>
    <xf numFmtId="168" fontId="33" fillId="11" borderId="11" xfId="67" applyNumberFormat="1" applyFont="1" applyFill="1" applyBorder="1" applyAlignment="1">
      <alignment horizontal="center" vertical="center"/>
    </xf>
    <xf numFmtId="8" fontId="33" fillId="11" borderId="11" xfId="67" applyNumberFormat="1" applyFont="1" applyFill="1" applyBorder="1" applyAlignment="1">
      <alignment horizontal="center" vertical="center"/>
    </xf>
    <xf numFmtId="0" fontId="33" fillId="11" borderId="11" xfId="67" applyFont="1" applyFill="1" applyBorder="1" applyAlignment="1">
      <alignment horizontal="center" vertical="center" wrapText="1"/>
    </xf>
    <xf numFmtId="0" fontId="33" fillId="11" borderId="1" xfId="73" applyFont="1" applyFill="1" applyBorder="1" applyAlignment="1">
      <alignment horizontal="center" vertical="center"/>
    </xf>
    <xf numFmtId="170" fontId="33" fillId="11" borderId="1" xfId="73" applyNumberFormat="1" applyFont="1" applyFill="1" applyBorder="1" applyAlignment="1">
      <alignment horizontal="center" vertical="center"/>
    </xf>
    <xf numFmtId="49" fontId="33" fillId="11" borderId="1" xfId="73" applyNumberFormat="1" applyFont="1" applyFill="1" applyBorder="1" applyAlignment="1">
      <alignment horizontal="center" vertical="center"/>
    </xf>
    <xf numFmtId="49" fontId="33" fillId="11" borderId="1" xfId="73" applyNumberFormat="1" applyFont="1" applyFill="1" applyBorder="1" applyAlignment="1">
      <alignment horizontal="center" vertical="center" wrapText="1"/>
    </xf>
    <xf numFmtId="2" fontId="33" fillId="2" borderId="1" xfId="73" applyNumberFormat="1" applyFont="1" applyFill="1" applyBorder="1" applyAlignment="1">
      <alignment horizontal="center"/>
    </xf>
    <xf numFmtId="168" fontId="33" fillId="11" borderId="1" xfId="73" applyNumberFormat="1" applyFont="1" applyFill="1" applyBorder="1" applyAlignment="1">
      <alignment horizontal="center" vertical="center"/>
    </xf>
    <xf numFmtId="8" fontId="33" fillId="11" borderId="1" xfId="73" applyNumberFormat="1" applyFont="1" applyFill="1" applyBorder="1" applyAlignment="1">
      <alignment horizontal="center" vertical="center"/>
    </xf>
    <xf numFmtId="0" fontId="33" fillId="11" borderId="1" xfId="73" applyFont="1" applyFill="1" applyBorder="1" applyAlignment="1">
      <alignment horizontal="center" vertical="center" wrapText="1"/>
    </xf>
    <xf numFmtId="0" fontId="33" fillId="11" borderId="1" xfId="74" applyFont="1" applyFill="1" applyBorder="1" applyAlignment="1">
      <alignment horizontal="center" vertical="center"/>
    </xf>
    <xf numFmtId="170" fontId="33" fillId="11" borderId="1" xfId="74" applyNumberFormat="1" applyFont="1" applyFill="1" applyBorder="1" applyAlignment="1">
      <alignment horizontal="center" vertical="center"/>
    </xf>
    <xf numFmtId="0" fontId="35" fillId="12" borderId="1" xfId="75" applyFont="1" applyFill="1" applyBorder="1" applyAlignment="1">
      <alignment horizontal="center"/>
    </xf>
    <xf numFmtId="49" fontId="33" fillId="11" borderId="1" xfId="74" applyNumberFormat="1" applyFont="1" applyFill="1" applyBorder="1" applyAlignment="1">
      <alignment horizontal="center" vertical="center"/>
    </xf>
    <xf numFmtId="49" fontId="33" fillId="11" borderId="1" xfId="74" applyNumberFormat="1" applyFont="1" applyFill="1" applyBorder="1" applyAlignment="1">
      <alignment horizontal="center" vertical="center" wrapText="1"/>
    </xf>
    <xf numFmtId="2" fontId="33" fillId="2" borderId="1" xfId="74" applyNumberFormat="1" applyFont="1" applyFill="1" applyBorder="1" applyAlignment="1">
      <alignment horizontal="center"/>
    </xf>
    <xf numFmtId="168" fontId="33" fillId="11" borderId="1" xfId="74" applyNumberFormat="1" applyFont="1" applyFill="1" applyBorder="1" applyAlignment="1">
      <alignment horizontal="center" vertical="center"/>
    </xf>
    <xf numFmtId="8" fontId="33" fillId="11" borderId="1" xfId="74" applyNumberFormat="1" applyFont="1" applyFill="1" applyBorder="1" applyAlignment="1">
      <alignment horizontal="center" vertical="center"/>
    </xf>
    <xf numFmtId="0" fontId="33" fillId="11" borderId="1" xfId="74" applyFont="1" applyFill="1" applyBorder="1" applyAlignment="1">
      <alignment horizontal="center" vertical="center" wrapText="1"/>
    </xf>
    <xf numFmtId="0" fontId="13" fillId="0" borderId="13" xfId="74"/>
    <xf numFmtId="0" fontId="33" fillId="11" borderId="1" xfId="76" applyFont="1" applyFill="1" applyBorder="1" applyAlignment="1">
      <alignment horizontal="center" vertical="center"/>
    </xf>
    <xf numFmtId="170" fontId="33" fillId="11" borderId="1" xfId="76" applyNumberFormat="1" applyFont="1" applyFill="1" applyBorder="1" applyAlignment="1">
      <alignment horizontal="center" vertical="center"/>
    </xf>
    <xf numFmtId="49" fontId="33" fillId="11" borderId="1" xfId="76" applyNumberFormat="1" applyFont="1" applyFill="1" applyBorder="1" applyAlignment="1">
      <alignment horizontal="center" vertical="center"/>
    </xf>
    <xf numFmtId="49" fontId="33" fillId="11" borderId="1" xfId="76" applyNumberFormat="1" applyFont="1" applyFill="1" applyBorder="1" applyAlignment="1">
      <alignment horizontal="center" vertical="center" wrapText="1"/>
    </xf>
    <xf numFmtId="2" fontId="33" fillId="2" borderId="1" xfId="76" applyNumberFormat="1" applyFont="1" applyFill="1" applyBorder="1" applyAlignment="1">
      <alignment horizontal="center"/>
    </xf>
    <xf numFmtId="168" fontId="33" fillId="11" borderId="1" xfId="76" applyNumberFormat="1" applyFont="1" applyFill="1" applyBorder="1" applyAlignment="1">
      <alignment horizontal="center" vertical="center"/>
    </xf>
    <xf numFmtId="8" fontId="33" fillId="11" borderId="1" xfId="76" applyNumberFormat="1" applyFont="1" applyFill="1" applyBorder="1" applyAlignment="1">
      <alignment horizontal="center" vertical="center"/>
    </xf>
    <xf numFmtId="0" fontId="33" fillId="11" borderId="1" xfId="76" applyFont="1" applyFill="1" applyBorder="1" applyAlignment="1">
      <alignment horizontal="center" vertical="center" wrapText="1"/>
    </xf>
    <xf numFmtId="0" fontId="13" fillId="0" borderId="13" xfId="76"/>
    <xf numFmtId="49" fontId="33" fillId="12" borderId="11" xfId="77" applyNumberFormat="1" applyFont="1" applyFill="1" applyBorder="1" applyAlignment="1">
      <alignment horizontal="center" vertical="center"/>
    </xf>
    <xf numFmtId="170" fontId="33" fillId="2" borderId="11" xfId="77" applyNumberFormat="1" applyFont="1" applyFill="1" applyBorder="1" applyAlignment="1">
      <alignment horizontal="center" vertical="center"/>
    </xf>
    <xf numFmtId="170" fontId="33" fillId="11" borderId="11" xfId="77" applyNumberFormat="1" applyFont="1" applyFill="1" applyBorder="1" applyAlignment="1">
      <alignment horizontal="center" vertical="center"/>
    </xf>
    <xf numFmtId="49" fontId="33" fillId="11" borderId="11" xfId="77" applyNumberFormat="1" applyFont="1" applyFill="1" applyBorder="1" applyAlignment="1">
      <alignment horizontal="center" vertical="center"/>
    </xf>
    <xf numFmtId="49" fontId="33" fillId="11" borderId="11" xfId="77" applyNumberFormat="1" applyFont="1" applyFill="1" applyBorder="1" applyAlignment="1">
      <alignment horizontal="center" vertical="center" wrapText="1"/>
    </xf>
    <xf numFmtId="49" fontId="33" fillId="2" borderId="11" xfId="77" applyNumberFormat="1" applyFont="1" applyFill="1" applyBorder="1" applyAlignment="1">
      <alignment horizontal="center" vertical="center" wrapText="1"/>
    </xf>
    <xf numFmtId="2" fontId="33" fillId="2" borderId="11" xfId="77" applyNumberFormat="1" applyFont="1" applyFill="1" applyBorder="1" applyAlignment="1">
      <alignment horizontal="center"/>
    </xf>
    <xf numFmtId="168" fontId="33" fillId="12" borderId="11" xfId="77" applyNumberFormat="1" applyFont="1" applyFill="1" applyBorder="1" applyAlignment="1">
      <alignment horizontal="center" vertical="center"/>
    </xf>
    <xf numFmtId="0" fontId="33" fillId="11" borderId="11" xfId="77" applyFont="1" applyFill="1" applyBorder="1" applyAlignment="1">
      <alignment horizontal="center" vertical="center"/>
    </xf>
    <xf numFmtId="8" fontId="33" fillId="11" borderId="11" xfId="77" applyNumberFormat="1" applyFont="1" applyFill="1" applyBorder="1" applyAlignment="1">
      <alignment horizontal="center" vertical="center"/>
    </xf>
    <xf numFmtId="0" fontId="33" fillId="11" borderId="11" xfId="77" applyFont="1" applyFill="1" applyBorder="1" applyAlignment="1">
      <alignment horizontal="center" vertical="center" wrapText="1"/>
    </xf>
    <xf numFmtId="0" fontId="13" fillId="0" borderId="13" xfId="77"/>
    <xf numFmtId="0" fontId="33" fillId="11" borderId="1" xfId="78" applyFont="1" applyFill="1" applyBorder="1" applyAlignment="1">
      <alignment horizontal="center" vertical="center"/>
    </xf>
    <xf numFmtId="170" fontId="33" fillId="11" borderId="1" xfId="78" applyNumberFormat="1" applyFont="1" applyFill="1" applyBorder="1" applyAlignment="1">
      <alignment horizontal="center" vertical="center"/>
    </xf>
    <xf numFmtId="0" fontId="35" fillId="12" borderId="1" xfId="78" applyFont="1" applyFill="1" applyBorder="1" applyAlignment="1">
      <alignment horizontal="center"/>
    </xf>
    <xf numFmtId="49" fontId="33" fillId="11" borderId="1" xfId="78" applyNumberFormat="1" applyFont="1" applyFill="1" applyBorder="1" applyAlignment="1">
      <alignment horizontal="center" vertical="center"/>
    </xf>
    <xf numFmtId="49" fontId="33" fillId="11" borderId="1" xfId="78" applyNumberFormat="1" applyFont="1" applyFill="1" applyBorder="1" applyAlignment="1">
      <alignment horizontal="center" vertical="center" wrapText="1"/>
    </xf>
    <xf numFmtId="2" fontId="33" fillId="2" borderId="1" xfId="78" applyNumberFormat="1" applyFont="1" applyFill="1" applyBorder="1" applyAlignment="1">
      <alignment horizontal="center"/>
    </xf>
    <xf numFmtId="168" fontId="33" fillId="11" borderId="1" xfId="78" applyNumberFormat="1" applyFont="1" applyFill="1" applyBorder="1" applyAlignment="1">
      <alignment horizontal="center" vertical="center"/>
    </xf>
    <xf numFmtId="8" fontId="33" fillId="11" borderId="1" xfId="78" applyNumberFormat="1" applyFont="1" applyFill="1" applyBorder="1" applyAlignment="1">
      <alignment horizontal="center" vertical="center"/>
    </xf>
    <xf numFmtId="0" fontId="33" fillId="11" borderId="1" xfId="78" applyFont="1" applyFill="1" applyBorder="1" applyAlignment="1">
      <alignment horizontal="center" vertical="center" wrapText="1"/>
    </xf>
    <xf numFmtId="0" fontId="33" fillId="11" borderId="1" xfId="75" applyFont="1" applyFill="1" applyBorder="1" applyAlignment="1">
      <alignment horizontal="center" vertical="center"/>
    </xf>
    <xf numFmtId="170" fontId="33" fillId="11" borderId="1" xfId="75" applyNumberFormat="1" applyFont="1" applyFill="1" applyBorder="1" applyAlignment="1">
      <alignment horizontal="center" vertical="center"/>
    </xf>
    <xf numFmtId="49" fontId="33" fillId="11" borderId="1" xfId="75" applyNumberFormat="1" applyFont="1" applyFill="1" applyBorder="1" applyAlignment="1">
      <alignment horizontal="center" vertical="center"/>
    </xf>
    <xf numFmtId="49" fontId="33" fillId="11" borderId="1" xfId="75" applyNumberFormat="1" applyFont="1" applyFill="1" applyBorder="1" applyAlignment="1">
      <alignment horizontal="center" vertical="center" wrapText="1"/>
    </xf>
    <xf numFmtId="2" fontId="33" fillId="2" borderId="1" xfId="75" applyNumberFormat="1" applyFont="1" applyFill="1" applyBorder="1" applyAlignment="1">
      <alignment horizontal="center"/>
    </xf>
    <xf numFmtId="168" fontId="33" fillId="11" borderId="1" xfId="75" applyNumberFormat="1" applyFont="1" applyFill="1" applyBorder="1" applyAlignment="1">
      <alignment horizontal="center" vertical="center"/>
    </xf>
    <xf numFmtId="8" fontId="33" fillId="11" borderId="1" xfId="75" applyNumberFormat="1" applyFont="1" applyFill="1" applyBorder="1" applyAlignment="1">
      <alignment horizontal="center" vertical="center"/>
    </xf>
    <xf numFmtId="0" fontId="33" fillId="11" borderId="1" xfId="75" applyFont="1" applyFill="1" applyBorder="1" applyAlignment="1">
      <alignment horizontal="center" vertical="center" wrapText="1"/>
    </xf>
    <xf numFmtId="0" fontId="13" fillId="0" borderId="13" xfId="79"/>
    <xf numFmtId="0" fontId="13" fillId="0" borderId="13" xfId="80"/>
    <xf numFmtId="0" fontId="13" fillId="0" borderId="13" xfId="81"/>
    <xf numFmtId="0" fontId="13" fillId="0" borderId="13" xfId="82"/>
    <xf numFmtId="0" fontId="13" fillId="0" borderId="13" xfId="83"/>
    <xf numFmtId="0" fontId="13" fillId="0" borderId="13" xfId="84"/>
    <xf numFmtId="0" fontId="13" fillId="0" borderId="13" xfId="85"/>
    <xf numFmtId="0" fontId="13" fillId="0" borderId="13" xfId="86"/>
    <xf numFmtId="0" fontId="13" fillId="0" borderId="13" xfId="87"/>
    <xf numFmtId="0" fontId="13" fillId="0" borderId="13" xfId="88"/>
    <xf numFmtId="0" fontId="13" fillId="0" borderId="13" xfId="89"/>
    <xf numFmtId="0" fontId="13" fillId="0" borderId="13" xfId="90"/>
    <xf numFmtId="0" fontId="13" fillId="0" borderId="13" xfId="91"/>
    <xf numFmtId="0" fontId="13" fillId="0" borderId="32" xfId="92" applyBorder="1" applyAlignment="1">
      <alignment horizontal="center"/>
    </xf>
    <xf numFmtId="0" fontId="33" fillId="11" borderId="11" xfId="75" applyFont="1" applyFill="1" applyBorder="1" applyAlignment="1">
      <alignment horizontal="center" vertical="center"/>
    </xf>
    <xf numFmtId="170" fontId="33" fillId="11" borderId="11" xfId="75" applyNumberFormat="1" applyFont="1" applyFill="1" applyBorder="1" applyAlignment="1">
      <alignment horizontal="center" vertical="center"/>
    </xf>
    <xf numFmtId="49" fontId="33" fillId="11" borderId="11" xfId="75" applyNumberFormat="1" applyFont="1" applyFill="1" applyBorder="1" applyAlignment="1">
      <alignment horizontal="center" vertical="center"/>
    </xf>
    <xf numFmtId="49" fontId="33" fillId="11" borderId="11" xfId="75" applyNumberFormat="1" applyFont="1" applyFill="1" applyBorder="1" applyAlignment="1">
      <alignment horizontal="center" vertical="center" wrapText="1"/>
    </xf>
    <xf numFmtId="2" fontId="33" fillId="2" borderId="11" xfId="75" applyNumberFormat="1" applyFont="1" applyFill="1" applyBorder="1" applyAlignment="1">
      <alignment horizontal="center"/>
    </xf>
    <xf numFmtId="168" fontId="33" fillId="11" borderId="11" xfId="75" applyNumberFormat="1" applyFont="1" applyFill="1" applyBorder="1" applyAlignment="1">
      <alignment horizontal="center" vertical="center"/>
    </xf>
    <xf numFmtId="8" fontId="33" fillId="11" borderId="11" xfId="75" applyNumberFormat="1" applyFont="1" applyFill="1" applyBorder="1" applyAlignment="1">
      <alignment horizontal="center" vertical="center"/>
    </xf>
    <xf numFmtId="0" fontId="33" fillId="11" borderId="11" xfId="75" applyFont="1" applyFill="1" applyBorder="1" applyAlignment="1">
      <alignment horizontal="center" vertical="center" wrapText="1"/>
    </xf>
    <xf numFmtId="0" fontId="33" fillId="11" borderId="11" xfId="93" applyFont="1" applyFill="1" applyBorder="1" applyAlignment="1">
      <alignment horizontal="center" vertical="center"/>
    </xf>
    <xf numFmtId="170" fontId="33" fillId="11" borderId="11" xfId="93" applyNumberFormat="1" applyFont="1" applyFill="1" applyBorder="1" applyAlignment="1">
      <alignment horizontal="center" vertical="center"/>
    </xf>
    <xf numFmtId="0" fontId="35" fillId="12" borderId="1" xfId="93" applyFont="1" applyFill="1" applyBorder="1" applyAlignment="1">
      <alignment horizontal="center"/>
    </xf>
    <xf numFmtId="49" fontId="33" fillId="11" borderId="11" xfId="93" applyNumberFormat="1" applyFont="1" applyFill="1" applyBorder="1" applyAlignment="1">
      <alignment horizontal="center" vertical="center"/>
    </xf>
    <xf numFmtId="49" fontId="33" fillId="11" borderId="11" xfId="93" applyNumberFormat="1" applyFont="1" applyFill="1" applyBorder="1" applyAlignment="1">
      <alignment horizontal="center" vertical="center" wrapText="1"/>
    </xf>
    <xf numFmtId="2" fontId="33" fillId="2" borderId="11" xfId="93" applyNumberFormat="1" applyFont="1" applyFill="1" applyBorder="1" applyAlignment="1">
      <alignment horizontal="center"/>
    </xf>
    <xf numFmtId="168" fontId="33" fillId="11" borderId="11" xfId="93" applyNumberFormat="1" applyFont="1" applyFill="1" applyBorder="1" applyAlignment="1">
      <alignment horizontal="center" vertical="center"/>
    </xf>
    <xf numFmtId="8" fontId="33" fillId="11" borderId="11" xfId="93" applyNumberFormat="1" applyFont="1" applyFill="1" applyBorder="1" applyAlignment="1">
      <alignment horizontal="center" vertical="center"/>
    </xf>
    <xf numFmtId="0" fontId="33" fillId="11" borderId="11" xfId="93" applyFont="1" applyFill="1" applyBorder="1" applyAlignment="1">
      <alignment horizontal="center" vertical="center" wrapText="1"/>
    </xf>
    <xf numFmtId="0" fontId="12" fillId="0" borderId="13" xfId="94"/>
    <xf numFmtId="0" fontId="33" fillId="11" borderId="1" xfId="93" applyFont="1" applyFill="1" applyBorder="1" applyAlignment="1">
      <alignment horizontal="center" vertical="center"/>
    </xf>
    <xf numFmtId="170" fontId="33" fillId="11" borderId="1" xfId="93" applyNumberFormat="1" applyFont="1" applyFill="1" applyBorder="1" applyAlignment="1">
      <alignment horizontal="center" vertical="center"/>
    </xf>
    <xf numFmtId="49" fontId="33" fillId="11" borderId="1" xfId="93" applyNumberFormat="1" applyFont="1" applyFill="1" applyBorder="1" applyAlignment="1">
      <alignment horizontal="center" vertical="center"/>
    </xf>
    <xf numFmtId="49" fontId="33" fillId="11" borderId="1" xfId="93" applyNumberFormat="1" applyFont="1" applyFill="1" applyBorder="1" applyAlignment="1">
      <alignment horizontal="center" vertical="center" wrapText="1"/>
    </xf>
    <xf numFmtId="2" fontId="33" fillId="2" borderId="1" xfId="93" applyNumberFormat="1" applyFont="1" applyFill="1" applyBorder="1" applyAlignment="1">
      <alignment horizontal="center"/>
    </xf>
    <xf numFmtId="168" fontId="33" fillId="11" borderId="1" xfId="93" applyNumberFormat="1" applyFont="1" applyFill="1" applyBorder="1" applyAlignment="1">
      <alignment horizontal="center" vertical="center"/>
    </xf>
    <xf numFmtId="8" fontId="33" fillId="11" borderId="1" xfId="93" applyNumberFormat="1" applyFont="1" applyFill="1" applyBorder="1" applyAlignment="1">
      <alignment horizontal="center" vertical="center"/>
    </xf>
    <xf numFmtId="0" fontId="33" fillId="11" borderId="1" xfId="93" applyFont="1" applyFill="1" applyBorder="1" applyAlignment="1">
      <alignment horizontal="center" vertical="center" wrapText="1"/>
    </xf>
    <xf numFmtId="0" fontId="12" fillId="0" borderId="13" xfId="95"/>
    <xf numFmtId="0" fontId="12" fillId="0" borderId="13" xfId="96"/>
    <xf numFmtId="0" fontId="12" fillId="0" borderId="13" xfId="97"/>
    <xf numFmtId="0" fontId="12" fillId="0" borderId="13" xfId="98"/>
    <xf numFmtId="0" fontId="12" fillId="0" borderId="13" xfId="99"/>
    <xf numFmtId="0" fontId="12" fillId="0" borderId="13" xfId="100"/>
    <xf numFmtId="0" fontId="12" fillId="0" borderId="13" xfId="101"/>
    <xf numFmtId="0" fontId="33" fillId="11" borderId="1" xfId="102" applyFont="1" applyFill="1" applyBorder="1" applyAlignment="1">
      <alignment horizontal="center" vertical="center"/>
    </xf>
    <xf numFmtId="170" fontId="33" fillId="11" borderId="1" xfId="102" applyNumberFormat="1" applyFont="1" applyFill="1" applyBorder="1" applyAlignment="1">
      <alignment horizontal="center" vertical="center"/>
    </xf>
    <xf numFmtId="0" fontId="35" fillId="12" borderId="1" xfId="102" applyFont="1" applyFill="1" applyBorder="1" applyAlignment="1">
      <alignment horizontal="center"/>
    </xf>
    <xf numFmtId="49" fontId="33" fillId="11" borderId="1" xfId="102" applyNumberFormat="1" applyFont="1" applyFill="1" applyBorder="1" applyAlignment="1">
      <alignment horizontal="center" vertical="center"/>
    </xf>
    <xf numFmtId="49" fontId="33" fillId="11" borderId="1" xfId="102" applyNumberFormat="1" applyFont="1" applyFill="1" applyBorder="1" applyAlignment="1">
      <alignment horizontal="center" vertical="center" wrapText="1"/>
    </xf>
    <xf numFmtId="2" fontId="33" fillId="2" borderId="1" xfId="102" applyNumberFormat="1" applyFont="1" applyFill="1" applyBorder="1" applyAlignment="1">
      <alignment horizontal="center"/>
    </xf>
    <xf numFmtId="168" fontId="33" fillId="11" borderId="1" xfId="102" applyNumberFormat="1" applyFont="1" applyFill="1" applyBorder="1" applyAlignment="1">
      <alignment horizontal="center" vertical="center"/>
    </xf>
    <xf numFmtId="8" fontId="33" fillId="11" borderId="1" xfId="102" applyNumberFormat="1" applyFont="1" applyFill="1" applyBorder="1" applyAlignment="1">
      <alignment horizontal="center" vertical="center"/>
    </xf>
    <xf numFmtId="0" fontId="33" fillId="11" borderId="1" xfId="102" applyFont="1" applyFill="1" applyBorder="1" applyAlignment="1">
      <alignment horizontal="center" vertical="center" wrapText="1"/>
    </xf>
    <xf numFmtId="0" fontId="11" fillId="0" borderId="13" xfId="103"/>
    <xf numFmtId="0" fontId="11" fillId="0" borderId="13" xfId="104"/>
    <xf numFmtId="0" fontId="11" fillId="0" borderId="13" xfId="105"/>
    <xf numFmtId="170" fontId="33" fillId="11" borderId="11" xfId="102" applyNumberFormat="1" applyFont="1" applyFill="1" applyBorder="1" applyAlignment="1">
      <alignment horizontal="center" vertical="center"/>
    </xf>
    <xf numFmtId="0" fontId="11" fillId="0" borderId="13" xfId="106"/>
    <xf numFmtId="0" fontId="11" fillId="0" borderId="13" xfId="107"/>
    <xf numFmtId="0" fontId="33" fillId="11" borderId="11" xfId="102" applyFont="1" applyFill="1" applyBorder="1" applyAlignment="1">
      <alignment horizontal="center" vertical="center"/>
    </xf>
    <xf numFmtId="49" fontId="33" fillId="11" borderId="11" xfId="102" applyNumberFormat="1" applyFont="1" applyFill="1" applyBorder="1" applyAlignment="1">
      <alignment horizontal="center" vertical="center"/>
    </xf>
    <xf numFmtId="49" fontId="33" fillId="11" borderId="11" xfId="102" applyNumberFormat="1" applyFont="1" applyFill="1" applyBorder="1" applyAlignment="1">
      <alignment horizontal="center" vertical="center" wrapText="1"/>
    </xf>
    <xf numFmtId="2" fontId="33" fillId="2" borderId="11" xfId="102" applyNumberFormat="1" applyFont="1" applyFill="1" applyBorder="1" applyAlignment="1">
      <alignment horizontal="center"/>
    </xf>
    <xf numFmtId="168" fontId="33" fillId="11" borderId="11" xfId="102" applyNumberFormat="1" applyFont="1" applyFill="1" applyBorder="1" applyAlignment="1">
      <alignment horizontal="center" vertical="center"/>
    </xf>
    <xf numFmtId="8" fontId="33" fillId="11" borderId="11" xfId="102" applyNumberFormat="1" applyFont="1" applyFill="1" applyBorder="1" applyAlignment="1">
      <alignment horizontal="center" vertical="center"/>
    </xf>
    <xf numFmtId="0" fontId="33" fillId="11" borderId="11" xfId="102" applyFont="1" applyFill="1" applyBorder="1" applyAlignment="1">
      <alignment horizontal="center" vertical="center" wrapText="1"/>
    </xf>
    <xf numFmtId="0" fontId="33" fillId="11" borderId="1" xfId="108" applyFont="1" applyFill="1" applyBorder="1" applyAlignment="1">
      <alignment horizontal="center" vertical="center"/>
    </xf>
    <xf numFmtId="170" fontId="33" fillId="11" borderId="1" xfId="108" applyNumberFormat="1" applyFont="1" applyFill="1" applyBorder="1" applyAlignment="1">
      <alignment horizontal="center" vertical="center"/>
    </xf>
    <xf numFmtId="49" fontId="33" fillId="11" borderId="1" xfId="108" applyNumberFormat="1" applyFont="1" applyFill="1" applyBorder="1" applyAlignment="1">
      <alignment horizontal="center" vertical="center" wrapText="1"/>
    </xf>
    <xf numFmtId="49" fontId="33" fillId="11" borderId="1" xfId="108" applyNumberFormat="1" applyFont="1" applyFill="1" applyBorder="1" applyAlignment="1">
      <alignment horizontal="center" vertical="center"/>
    </xf>
    <xf numFmtId="2" fontId="33" fillId="2" borderId="1" xfId="108" applyNumberFormat="1" applyFont="1" applyFill="1" applyBorder="1" applyAlignment="1">
      <alignment horizontal="center"/>
    </xf>
    <xf numFmtId="168" fontId="33" fillId="11" borderId="1" xfId="108" applyNumberFormat="1" applyFont="1" applyFill="1" applyBorder="1" applyAlignment="1">
      <alignment horizontal="center" vertical="center"/>
    </xf>
    <xf numFmtId="8" fontId="33" fillId="11" borderId="1" xfId="108" applyNumberFormat="1" applyFont="1" applyFill="1" applyBorder="1" applyAlignment="1">
      <alignment horizontal="center" vertical="center"/>
    </xf>
    <xf numFmtId="0" fontId="33" fillId="11" borderId="1" xfId="108" applyFont="1" applyFill="1" applyBorder="1" applyAlignment="1">
      <alignment horizontal="center" vertical="center" wrapText="1"/>
    </xf>
    <xf numFmtId="0" fontId="33" fillId="11" borderId="11" xfId="108" applyFont="1" applyFill="1" applyBorder="1" applyAlignment="1">
      <alignment horizontal="center" vertical="center"/>
    </xf>
    <xf numFmtId="170" fontId="33" fillId="11" borderId="11" xfId="108" applyNumberFormat="1" applyFont="1" applyFill="1" applyBorder="1" applyAlignment="1">
      <alignment horizontal="center" vertical="center"/>
    </xf>
    <xf numFmtId="49" fontId="33" fillId="11" borderId="11" xfId="108" applyNumberFormat="1" applyFont="1" applyFill="1" applyBorder="1" applyAlignment="1">
      <alignment horizontal="center" vertical="center"/>
    </xf>
    <xf numFmtId="49" fontId="33" fillId="11" borderId="11" xfId="108" applyNumberFormat="1" applyFont="1" applyFill="1" applyBorder="1" applyAlignment="1">
      <alignment horizontal="center" vertical="center" wrapText="1"/>
    </xf>
    <xf numFmtId="2" fontId="33" fillId="2" borderId="11" xfId="108" applyNumberFormat="1" applyFont="1" applyFill="1" applyBorder="1" applyAlignment="1">
      <alignment horizontal="center"/>
    </xf>
    <xf numFmtId="168" fontId="33" fillId="11" borderId="11" xfId="108" applyNumberFormat="1" applyFont="1" applyFill="1" applyBorder="1" applyAlignment="1">
      <alignment horizontal="center" vertical="center"/>
    </xf>
    <xf numFmtId="8" fontId="33" fillId="11" borderId="11" xfId="108" applyNumberFormat="1" applyFont="1" applyFill="1" applyBorder="1" applyAlignment="1">
      <alignment horizontal="center" vertical="center"/>
    </xf>
    <xf numFmtId="0" fontId="33" fillId="11" borderId="11" xfId="108" applyFont="1" applyFill="1" applyBorder="1" applyAlignment="1">
      <alignment horizontal="center" vertical="center" wrapText="1"/>
    </xf>
    <xf numFmtId="49" fontId="33" fillId="12" borderId="11" xfId="109" applyNumberFormat="1" applyFont="1" applyFill="1" applyBorder="1" applyAlignment="1">
      <alignment horizontal="center" vertical="center"/>
    </xf>
    <xf numFmtId="170" fontId="33" fillId="2" borderId="11" xfId="109" applyNumberFormat="1" applyFont="1" applyFill="1" applyBorder="1" applyAlignment="1">
      <alignment horizontal="center" vertical="center"/>
    </xf>
    <xf numFmtId="170" fontId="33" fillId="11" borderId="11" xfId="109" applyNumberFormat="1" applyFont="1" applyFill="1" applyBorder="1" applyAlignment="1">
      <alignment horizontal="center" vertical="center"/>
    </xf>
    <xf numFmtId="49" fontId="33" fillId="11" borderId="11" xfId="109" applyNumberFormat="1" applyFont="1" applyFill="1" applyBorder="1" applyAlignment="1">
      <alignment horizontal="center" vertical="center"/>
    </xf>
    <xf numFmtId="49" fontId="33" fillId="11" borderId="11" xfId="109" applyNumberFormat="1" applyFont="1" applyFill="1" applyBorder="1" applyAlignment="1">
      <alignment horizontal="center" vertical="center" wrapText="1"/>
    </xf>
    <xf numFmtId="49" fontId="33" fillId="2" borderId="11" xfId="109" applyNumberFormat="1" applyFont="1" applyFill="1" applyBorder="1" applyAlignment="1">
      <alignment horizontal="center" vertical="center" wrapText="1"/>
    </xf>
    <xf numFmtId="2" fontId="33" fillId="2" borderId="11" xfId="109" applyNumberFormat="1" applyFont="1" applyFill="1" applyBorder="1" applyAlignment="1">
      <alignment horizontal="center"/>
    </xf>
    <xf numFmtId="168" fontId="33" fillId="12" borderId="11" xfId="109" applyNumberFormat="1" applyFont="1" applyFill="1" applyBorder="1" applyAlignment="1">
      <alignment horizontal="center" vertical="center"/>
    </xf>
    <xf numFmtId="0" fontId="33" fillId="11" borderId="11" xfId="109" applyFont="1" applyFill="1" applyBorder="1" applyAlignment="1">
      <alignment horizontal="center" vertical="center"/>
    </xf>
    <xf numFmtId="8" fontId="33" fillId="11" borderId="11" xfId="109" applyNumberFormat="1" applyFont="1" applyFill="1" applyBorder="1" applyAlignment="1">
      <alignment horizontal="center" vertical="center"/>
    </xf>
    <xf numFmtId="0" fontId="33" fillId="11" borderId="11" xfId="109" applyFont="1" applyFill="1" applyBorder="1" applyAlignment="1">
      <alignment horizontal="center" vertical="center" wrapText="1"/>
    </xf>
    <xf numFmtId="49" fontId="33" fillId="12" borderId="11" xfId="110" applyNumberFormat="1" applyFont="1" applyFill="1" applyBorder="1" applyAlignment="1">
      <alignment horizontal="center" vertical="center"/>
    </xf>
    <xf numFmtId="170" fontId="33" fillId="2" borderId="11" xfId="110" applyNumberFormat="1" applyFont="1" applyFill="1" applyBorder="1" applyAlignment="1">
      <alignment horizontal="center" vertical="center"/>
    </xf>
    <xf numFmtId="170" fontId="33" fillId="11" borderId="11" xfId="110" applyNumberFormat="1" applyFont="1" applyFill="1" applyBorder="1" applyAlignment="1">
      <alignment horizontal="center" vertical="center"/>
    </xf>
    <xf numFmtId="49" fontId="33" fillId="11" borderId="11" xfId="110" applyNumberFormat="1" applyFont="1" applyFill="1" applyBorder="1" applyAlignment="1">
      <alignment horizontal="center" vertical="center"/>
    </xf>
    <xf numFmtId="49" fontId="33" fillId="11" borderId="11" xfId="110" applyNumberFormat="1" applyFont="1" applyFill="1" applyBorder="1" applyAlignment="1">
      <alignment horizontal="center" vertical="center" wrapText="1"/>
    </xf>
    <xf numFmtId="49" fontId="33" fillId="2" borderId="11" xfId="110" applyNumberFormat="1" applyFont="1" applyFill="1" applyBorder="1" applyAlignment="1">
      <alignment horizontal="center" vertical="center" wrapText="1"/>
    </xf>
    <xf numFmtId="2" fontId="33" fillId="2" borderId="11" xfId="110" applyNumberFormat="1" applyFont="1" applyFill="1" applyBorder="1" applyAlignment="1">
      <alignment horizontal="center"/>
    </xf>
    <xf numFmtId="168" fontId="33" fillId="12" borderId="11" xfId="110" applyNumberFormat="1" applyFont="1" applyFill="1" applyBorder="1" applyAlignment="1">
      <alignment horizontal="center" vertical="center"/>
    </xf>
    <xf numFmtId="0" fontId="33" fillId="11" borderId="11" xfId="110" applyFont="1" applyFill="1" applyBorder="1" applyAlignment="1">
      <alignment horizontal="center" vertical="center"/>
    </xf>
    <xf numFmtId="8" fontId="33" fillId="11" borderId="11" xfId="110" applyNumberFormat="1" applyFont="1" applyFill="1" applyBorder="1" applyAlignment="1">
      <alignment horizontal="center" vertical="center"/>
    </xf>
    <xf numFmtId="0" fontId="33" fillId="11" borderId="11" xfId="110" applyFont="1" applyFill="1" applyBorder="1" applyAlignment="1">
      <alignment horizontal="center" vertical="center" wrapText="1"/>
    </xf>
    <xf numFmtId="49" fontId="33" fillId="12" borderId="1" xfId="111" applyNumberFormat="1" applyFont="1" applyFill="1" applyBorder="1" applyAlignment="1">
      <alignment horizontal="center" vertical="center"/>
    </xf>
    <xf numFmtId="170" fontId="33" fillId="12" borderId="1" xfId="111" applyNumberFormat="1" applyFont="1" applyFill="1" applyBorder="1" applyAlignment="1">
      <alignment horizontal="center" vertical="center"/>
    </xf>
    <xf numFmtId="0" fontId="35" fillId="12" borderId="1" xfId="112" applyFont="1" applyFill="1" applyBorder="1" applyAlignment="1">
      <alignment horizontal="center"/>
    </xf>
    <xf numFmtId="49" fontId="33" fillId="2" borderId="1" xfId="111" applyNumberFormat="1" applyFont="1" applyFill="1" applyBorder="1" applyAlignment="1">
      <alignment horizontal="center" vertical="center" wrapText="1"/>
    </xf>
    <xf numFmtId="2" fontId="33" fillId="12" borderId="1" xfId="111" applyNumberFormat="1" applyFont="1" applyFill="1" applyBorder="1" applyAlignment="1">
      <alignment horizontal="center" vertical="center"/>
    </xf>
    <xf numFmtId="168" fontId="33" fillId="12" borderId="1" xfId="111" applyNumberFormat="1" applyFont="1" applyFill="1" applyBorder="1" applyAlignment="1">
      <alignment horizontal="center" vertical="center"/>
    </xf>
    <xf numFmtId="0" fontId="33" fillId="0" borderId="1" xfId="111" applyFont="1" applyBorder="1" applyAlignment="1">
      <alignment horizontal="center" vertical="center"/>
    </xf>
    <xf numFmtId="8" fontId="33" fillId="0" borderId="1" xfId="111" applyNumberFormat="1" applyFont="1" applyBorder="1" applyAlignment="1">
      <alignment horizontal="center" vertical="center"/>
    </xf>
    <xf numFmtId="0" fontId="33" fillId="0" borderId="1" xfId="111" applyFont="1" applyBorder="1" applyAlignment="1">
      <alignment horizontal="center" vertical="center" wrapText="1"/>
    </xf>
    <xf numFmtId="49" fontId="33" fillId="12" borderId="1" xfId="113" applyNumberFormat="1" applyFont="1" applyFill="1" applyBorder="1" applyAlignment="1">
      <alignment horizontal="center" vertical="center"/>
    </xf>
    <xf numFmtId="170" fontId="33" fillId="12" borderId="1" xfId="113" applyNumberFormat="1" applyFont="1" applyFill="1" applyBorder="1" applyAlignment="1">
      <alignment horizontal="center" vertical="center"/>
    </xf>
    <xf numFmtId="49" fontId="33" fillId="2" borderId="1" xfId="113" applyNumberFormat="1" applyFont="1" applyFill="1" applyBorder="1" applyAlignment="1">
      <alignment horizontal="center" vertical="center" wrapText="1"/>
    </xf>
    <xf numFmtId="2" fontId="33" fillId="12" borderId="1" xfId="113" applyNumberFormat="1" applyFont="1" applyFill="1" applyBorder="1" applyAlignment="1">
      <alignment horizontal="center" vertical="center"/>
    </xf>
    <xf numFmtId="168" fontId="33" fillId="12" borderId="1" xfId="113" applyNumberFormat="1" applyFont="1" applyFill="1" applyBorder="1" applyAlignment="1">
      <alignment horizontal="center" vertical="center"/>
    </xf>
    <xf numFmtId="0" fontId="33" fillId="0" borderId="1" xfId="113" applyFont="1" applyBorder="1" applyAlignment="1">
      <alignment horizontal="center" vertical="center"/>
    </xf>
    <xf numFmtId="8" fontId="33" fillId="0" borderId="1" xfId="113" applyNumberFormat="1" applyFont="1" applyBorder="1" applyAlignment="1">
      <alignment horizontal="center" vertical="center"/>
    </xf>
    <xf numFmtId="0" fontId="33" fillId="0" borderId="1" xfId="113" applyFont="1" applyBorder="1" applyAlignment="1">
      <alignment horizontal="center" vertical="center" wrapText="1"/>
    </xf>
    <xf numFmtId="49" fontId="33" fillId="12" borderId="1" xfId="114" applyNumberFormat="1" applyFont="1" applyFill="1" applyBorder="1" applyAlignment="1">
      <alignment horizontal="center" vertical="center"/>
    </xf>
    <xf numFmtId="170" fontId="33" fillId="12" borderId="1" xfId="114" applyNumberFormat="1" applyFont="1" applyFill="1" applyBorder="1" applyAlignment="1">
      <alignment horizontal="center" vertical="center"/>
    </xf>
    <xf numFmtId="49" fontId="33" fillId="2" borderId="1" xfId="114" applyNumberFormat="1" applyFont="1" applyFill="1" applyBorder="1" applyAlignment="1">
      <alignment horizontal="center" vertical="center" wrapText="1"/>
    </xf>
    <xf numFmtId="2" fontId="33" fillId="12" borderId="1" xfId="114" applyNumberFormat="1" applyFont="1" applyFill="1" applyBorder="1" applyAlignment="1">
      <alignment horizontal="center" vertical="center"/>
    </xf>
    <xf numFmtId="168" fontId="33" fillId="12" borderId="1" xfId="114" applyNumberFormat="1" applyFont="1" applyFill="1" applyBorder="1" applyAlignment="1">
      <alignment horizontal="center" vertical="center"/>
    </xf>
    <xf numFmtId="0" fontId="34" fillId="0" borderId="1" xfId="114" applyFont="1" applyBorder="1" applyAlignment="1">
      <alignment horizontal="center" vertical="center"/>
    </xf>
    <xf numFmtId="8" fontId="34" fillId="0" borderId="1" xfId="114" applyNumberFormat="1" applyFont="1" applyBorder="1" applyAlignment="1">
      <alignment horizontal="center" vertical="center"/>
    </xf>
    <xf numFmtId="0" fontId="33" fillId="0" borderId="1" xfId="114" applyFont="1" applyBorder="1" applyAlignment="1">
      <alignment horizontal="center" vertical="center" wrapText="1"/>
    </xf>
    <xf numFmtId="168" fontId="34" fillId="12" borderId="1" xfId="114" applyNumberFormat="1" applyFont="1" applyFill="1" applyBorder="1" applyAlignment="1">
      <alignment horizontal="center" vertical="center"/>
    </xf>
    <xf numFmtId="49" fontId="33" fillId="12" borderId="1" xfId="115" applyNumberFormat="1" applyFont="1" applyFill="1" applyBorder="1" applyAlignment="1">
      <alignment horizontal="center" vertical="center"/>
    </xf>
    <xf numFmtId="170" fontId="33" fillId="12" borderId="1" xfId="115" applyNumberFormat="1" applyFont="1" applyFill="1" applyBorder="1" applyAlignment="1">
      <alignment horizontal="center" vertical="center"/>
    </xf>
    <xf numFmtId="49" fontId="33" fillId="2" borderId="1" xfId="115" applyNumberFormat="1" applyFont="1" applyFill="1" applyBorder="1" applyAlignment="1">
      <alignment horizontal="center" vertical="center" wrapText="1"/>
    </xf>
    <xf numFmtId="2" fontId="33" fillId="12" borderId="1" xfId="115" applyNumberFormat="1" applyFont="1" applyFill="1" applyBorder="1" applyAlignment="1">
      <alignment horizontal="center" vertical="center"/>
    </xf>
    <xf numFmtId="168" fontId="34" fillId="12" borderId="1" xfId="115" applyNumberFormat="1" applyFont="1" applyFill="1" applyBorder="1" applyAlignment="1">
      <alignment horizontal="center" vertical="center"/>
    </xf>
    <xf numFmtId="0" fontId="34" fillId="0" borderId="1" xfId="115" applyFont="1" applyBorder="1" applyAlignment="1">
      <alignment horizontal="center" vertical="center"/>
    </xf>
    <xf numFmtId="8" fontId="34" fillId="0" borderId="1" xfId="115" applyNumberFormat="1" applyFont="1" applyBorder="1" applyAlignment="1">
      <alignment horizontal="center" vertical="center"/>
    </xf>
    <xf numFmtId="0" fontId="33" fillId="0" borderId="1" xfId="115" applyFont="1" applyBorder="1" applyAlignment="1">
      <alignment horizontal="center" vertical="center" wrapText="1"/>
    </xf>
    <xf numFmtId="49" fontId="33" fillId="12" borderId="1" xfId="116" applyNumberFormat="1" applyFont="1" applyFill="1" applyBorder="1" applyAlignment="1">
      <alignment horizontal="center" vertical="center"/>
    </xf>
    <xf numFmtId="170" fontId="33" fillId="12" borderId="1" xfId="116" applyNumberFormat="1" applyFont="1" applyFill="1" applyBorder="1" applyAlignment="1">
      <alignment horizontal="center" vertical="center"/>
    </xf>
    <xf numFmtId="49" fontId="33" fillId="2" borderId="1" xfId="116" applyNumberFormat="1" applyFont="1" applyFill="1" applyBorder="1" applyAlignment="1">
      <alignment horizontal="center" vertical="center" wrapText="1"/>
    </xf>
    <xf numFmtId="2" fontId="33" fillId="12" borderId="1" xfId="116" applyNumberFormat="1" applyFont="1" applyFill="1" applyBorder="1" applyAlignment="1">
      <alignment horizontal="center" vertical="center"/>
    </xf>
    <xf numFmtId="168" fontId="34" fillId="12" borderId="1" xfId="116" applyNumberFormat="1" applyFont="1" applyFill="1" applyBorder="1" applyAlignment="1">
      <alignment horizontal="center" vertical="center"/>
    </xf>
    <xf numFmtId="0" fontId="34" fillId="0" borderId="1" xfId="116" applyFont="1" applyBorder="1" applyAlignment="1">
      <alignment horizontal="center" vertical="center"/>
    </xf>
    <xf numFmtId="8" fontId="34" fillId="0" borderId="1" xfId="116" applyNumberFormat="1" applyFont="1" applyBorder="1" applyAlignment="1">
      <alignment horizontal="center" vertical="center"/>
    </xf>
    <xf numFmtId="0" fontId="33" fillId="0" borderId="1" xfId="116" applyFont="1" applyBorder="1" applyAlignment="1">
      <alignment horizontal="center" vertical="center" wrapText="1"/>
    </xf>
    <xf numFmtId="49" fontId="33" fillId="12" borderId="1" xfId="117" applyNumberFormat="1" applyFont="1" applyFill="1" applyBorder="1" applyAlignment="1">
      <alignment horizontal="center" vertical="center"/>
    </xf>
    <xf numFmtId="0" fontId="33" fillId="12" borderId="1" xfId="117" applyFont="1" applyFill="1" applyBorder="1" applyAlignment="1">
      <alignment horizontal="center" vertical="center"/>
    </xf>
    <xf numFmtId="170" fontId="33" fillId="12" borderId="1" xfId="117" applyNumberFormat="1" applyFont="1" applyFill="1" applyBorder="1" applyAlignment="1">
      <alignment horizontal="center" vertical="center"/>
    </xf>
    <xf numFmtId="49" fontId="33" fillId="2" borderId="1" xfId="117" applyNumberFormat="1" applyFont="1" applyFill="1" applyBorder="1" applyAlignment="1">
      <alignment horizontal="center" vertical="center" wrapText="1"/>
    </xf>
    <xf numFmtId="2" fontId="33" fillId="12" borderId="1" xfId="117" applyNumberFormat="1" applyFont="1" applyFill="1" applyBorder="1" applyAlignment="1">
      <alignment horizontal="center" vertical="center"/>
    </xf>
    <xf numFmtId="168" fontId="34" fillId="12" borderId="1" xfId="117" applyNumberFormat="1" applyFont="1" applyFill="1" applyBorder="1" applyAlignment="1">
      <alignment horizontal="center" vertical="center"/>
    </xf>
    <xf numFmtId="0" fontId="34" fillId="0" borderId="1" xfId="117" applyFont="1" applyBorder="1" applyAlignment="1">
      <alignment horizontal="center" vertical="center"/>
    </xf>
    <xf numFmtId="8" fontId="34" fillId="0" borderId="1" xfId="117" applyNumberFormat="1" applyFont="1" applyBorder="1" applyAlignment="1">
      <alignment horizontal="center" vertical="center"/>
    </xf>
    <xf numFmtId="0" fontId="33" fillId="0" borderId="1" xfId="117" applyFont="1" applyBorder="1" applyAlignment="1">
      <alignment horizontal="center" vertical="center" wrapText="1"/>
    </xf>
    <xf numFmtId="0" fontId="33" fillId="12" borderId="1" xfId="118" applyFont="1" applyFill="1" applyBorder="1" applyAlignment="1">
      <alignment horizontal="center" vertical="center"/>
    </xf>
    <xf numFmtId="170" fontId="33" fillId="12" borderId="1" xfId="118" applyNumberFormat="1" applyFont="1" applyFill="1" applyBorder="1" applyAlignment="1">
      <alignment horizontal="center" vertical="center"/>
    </xf>
    <xf numFmtId="170" fontId="33" fillId="12" borderId="1" xfId="119" applyNumberFormat="1" applyFont="1" applyFill="1" applyBorder="1" applyAlignment="1">
      <alignment horizontal="center" vertical="center"/>
    </xf>
    <xf numFmtId="49" fontId="33" fillId="12" borderId="1" xfId="120" applyNumberFormat="1" applyFont="1" applyFill="1" applyBorder="1" applyAlignment="1">
      <alignment horizontal="center" vertical="center"/>
    </xf>
    <xf numFmtId="49" fontId="33" fillId="12" borderId="1" xfId="119" applyNumberFormat="1" applyFont="1" applyFill="1" applyBorder="1" applyAlignment="1">
      <alignment horizontal="center" vertical="center"/>
    </xf>
    <xf numFmtId="49" fontId="33" fillId="12" borderId="1" xfId="118" applyNumberFormat="1" applyFont="1" applyFill="1" applyBorder="1" applyAlignment="1">
      <alignment horizontal="center" vertical="center"/>
    </xf>
    <xf numFmtId="49" fontId="33" fillId="2" borderId="1" xfId="118" applyNumberFormat="1" applyFont="1" applyFill="1" applyBorder="1" applyAlignment="1">
      <alignment horizontal="center" vertical="center" wrapText="1"/>
    </xf>
    <xf numFmtId="2" fontId="33" fillId="12" borderId="1" xfId="118" applyNumberFormat="1" applyFont="1" applyFill="1" applyBorder="1" applyAlignment="1">
      <alignment horizontal="center" vertical="center"/>
    </xf>
    <xf numFmtId="168" fontId="34" fillId="12" borderId="1" xfId="118" applyNumberFormat="1" applyFont="1" applyFill="1" applyBorder="1" applyAlignment="1">
      <alignment horizontal="center" vertical="center"/>
    </xf>
    <xf numFmtId="0" fontId="34" fillId="0" borderId="1" xfId="118" applyFont="1" applyBorder="1" applyAlignment="1">
      <alignment horizontal="center" vertical="center"/>
    </xf>
    <xf numFmtId="8" fontId="34" fillId="0" borderId="1" xfId="118" applyNumberFormat="1" applyFont="1" applyBorder="1" applyAlignment="1">
      <alignment horizontal="center" vertical="center"/>
    </xf>
    <xf numFmtId="0" fontId="33" fillId="0" borderId="1" xfId="118" applyFont="1" applyBorder="1" applyAlignment="1">
      <alignment horizontal="center" vertical="center" wrapText="1"/>
    </xf>
    <xf numFmtId="49" fontId="33" fillId="12" borderId="1" xfId="121" applyNumberFormat="1" applyFont="1" applyFill="1" applyBorder="1" applyAlignment="1">
      <alignment horizontal="center" vertical="center"/>
    </xf>
    <xf numFmtId="170" fontId="33" fillId="12" borderId="1" xfId="121" applyNumberFormat="1" applyFont="1" applyFill="1" applyBorder="1" applyAlignment="1">
      <alignment horizontal="center" vertical="center"/>
    </xf>
    <xf numFmtId="49" fontId="33" fillId="12" borderId="1" xfId="122" applyNumberFormat="1" applyFont="1" applyFill="1" applyBorder="1" applyAlignment="1">
      <alignment horizontal="center" vertical="center"/>
    </xf>
    <xf numFmtId="49" fontId="33" fillId="2" borderId="1" xfId="121" applyNumberFormat="1" applyFont="1" applyFill="1" applyBorder="1" applyAlignment="1">
      <alignment horizontal="center" vertical="center" wrapText="1"/>
    </xf>
    <xf numFmtId="2" fontId="33" fillId="12" borderId="1" xfId="121" applyNumberFormat="1" applyFont="1" applyFill="1" applyBorder="1" applyAlignment="1">
      <alignment horizontal="center" vertical="center"/>
    </xf>
    <xf numFmtId="168" fontId="34" fillId="12" borderId="1" xfId="121" applyNumberFormat="1" applyFont="1" applyFill="1" applyBorder="1" applyAlignment="1">
      <alignment horizontal="center" vertical="center"/>
    </xf>
    <xf numFmtId="0" fontId="34" fillId="0" borderId="1" xfId="121" applyFont="1" applyBorder="1" applyAlignment="1">
      <alignment horizontal="center" vertical="center"/>
    </xf>
    <xf numFmtId="8" fontId="34" fillId="0" borderId="1" xfId="121" applyNumberFormat="1" applyFont="1" applyBorder="1" applyAlignment="1">
      <alignment horizontal="center" vertical="center"/>
    </xf>
    <xf numFmtId="0" fontId="33" fillId="0" borderId="1" xfId="121" applyFont="1" applyBorder="1" applyAlignment="1">
      <alignment horizontal="center" vertical="center" wrapText="1"/>
    </xf>
    <xf numFmtId="14" fontId="33" fillId="12" borderId="1" xfId="121" applyNumberFormat="1" applyFont="1" applyFill="1" applyBorder="1" applyAlignment="1">
      <alignment horizontal="center" vertical="center"/>
    </xf>
    <xf numFmtId="49" fontId="33" fillId="12" borderId="1" xfId="123" applyNumberFormat="1" applyFont="1" applyFill="1" applyBorder="1" applyAlignment="1">
      <alignment horizontal="center" vertical="center"/>
    </xf>
    <xf numFmtId="14" fontId="33" fillId="12" borderId="1" xfId="123" applyNumberFormat="1" applyFont="1" applyFill="1" applyBorder="1" applyAlignment="1">
      <alignment horizontal="center" vertical="center"/>
    </xf>
    <xf numFmtId="170" fontId="33" fillId="12" borderId="1" xfId="123" applyNumberFormat="1" applyFont="1" applyFill="1" applyBorder="1" applyAlignment="1">
      <alignment horizontal="center" vertical="center"/>
    </xf>
    <xf numFmtId="49" fontId="33" fillId="12" borderId="1" xfId="124" applyNumberFormat="1" applyFont="1" applyFill="1" applyBorder="1" applyAlignment="1">
      <alignment horizontal="center" vertical="center"/>
    </xf>
    <xf numFmtId="49" fontId="33" fillId="2" borderId="1" xfId="123" applyNumberFormat="1" applyFont="1" applyFill="1" applyBorder="1" applyAlignment="1">
      <alignment horizontal="center" vertical="center" wrapText="1"/>
    </xf>
    <xf numFmtId="2" fontId="33" fillId="12" borderId="1" xfId="125" applyNumberFormat="1" applyFont="1" applyFill="1" applyBorder="1" applyAlignment="1">
      <alignment horizontal="center" vertical="center"/>
    </xf>
    <xf numFmtId="168" fontId="34" fillId="12" borderId="1" xfId="123" applyNumberFormat="1" applyFont="1" applyFill="1" applyBorder="1" applyAlignment="1">
      <alignment horizontal="center" vertical="center"/>
    </xf>
    <xf numFmtId="0" fontId="34" fillId="0" borderId="1" xfId="123" applyFont="1" applyBorder="1" applyAlignment="1">
      <alignment horizontal="center" vertical="center"/>
    </xf>
    <xf numFmtId="8" fontId="34" fillId="0" borderId="1" xfId="123" applyNumberFormat="1" applyFont="1" applyBorder="1" applyAlignment="1">
      <alignment horizontal="center" vertical="center"/>
    </xf>
    <xf numFmtId="0" fontId="33" fillId="0" borderId="1" xfId="123" applyFont="1" applyBorder="1" applyAlignment="1">
      <alignment horizontal="center" vertical="center" wrapText="1"/>
    </xf>
    <xf numFmtId="49" fontId="33" fillId="12" borderId="1" xfId="126" applyNumberFormat="1" applyFont="1" applyFill="1" applyBorder="1" applyAlignment="1">
      <alignment horizontal="center" vertical="center"/>
    </xf>
    <xf numFmtId="14" fontId="33" fillId="12" borderId="1" xfId="126" applyNumberFormat="1" applyFont="1" applyFill="1" applyBorder="1" applyAlignment="1">
      <alignment horizontal="center" vertical="center"/>
    </xf>
    <xf numFmtId="0" fontId="35" fillId="12" borderId="1" xfId="127" applyFont="1" applyFill="1" applyBorder="1" applyAlignment="1">
      <alignment horizontal="center"/>
    </xf>
    <xf numFmtId="170" fontId="33" fillId="12" borderId="1" xfId="126" applyNumberFormat="1" applyFont="1" applyFill="1" applyBorder="1" applyAlignment="1">
      <alignment horizontal="center" vertical="center"/>
    </xf>
    <xf numFmtId="49" fontId="33" fillId="12" borderId="1" xfId="128" applyNumberFormat="1" applyFont="1" applyFill="1" applyBorder="1" applyAlignment="1">
      <alignment horizontal="center" vertical="center"/>
    </xf>
    <xf numFmtId="49" fontId="33" fillId="2" borderId="1" xfId="126" applyNumberFormat="1" applyFont="1" applyFill="1" applyBorder="1" applyAlignment="1">
      <alignment horizontal="center" vertical="center" wrapText="1"/>
    </xf>
    <xf numFmtId="2" fontId="33" fillId="12" borderId="1" xfId="129" applyNumberFormat="1" applyFont="1" applyFill="1" applyBorder="1" applyAlignment="1">
      <alignment horizontal="center" vertical="center"/>
    </xf>
    <xf numFmtId="168" fontId="34" fillId="12" borderId="1" xfId="126" applyNumberFormat="1" applyFont="1" applyFill="1" applyBorder="1" applyAlignment="1">
      <alignment horizontal="center" vertical="center"/>
    </xf>
    <xf numFmtId="0" fontId="34" fillId="0" borderId="1" xfId="126" applyFont="1" applyBorder="1" applyAlignment="1">
      <alignment horizontal="center" vertical="center"/>
    </xf>
    <xf numFmtId="8" fontId="34" fillId="0" borderId="1" xfId="126" applyNumberFormat="1" applyFont="1" applyBorder="1" applyAlignment="1">
      <alignment horizontal="center" vertical="center"/>
    </xf>
    <xf numFmtId="0" fontId="33" fillId="0" borderId="1" xfId="126" applyFont="1" applyBorder="1" applyAlignment="1">
      <alignment horizontal="center" vertical="center" wrapText="1"/>
    </xf>
    <xf numFmtId="49" fontId="33" fillId="12" borderId="1" xfId="130" applyNumberFormat="1" applyFont="1" applyFill="1" applyBorder="1" applyAlignment="1">
      <alignment horizontal="center" vertical="center"/>
    </xf>
    <xf numFmtId="14" fontId="33" fillId="12" borderId="1" xfId="130" applyNumberFormat="1" applyFont="1" applyFill="1" applyBorder="1" applyAlignment="1">
      <alignment horizontal="center" vertical="center"/>
    </xf>
    <xf numFmtId="170" fontId="33" fillId="12" borderId="1" xfId="130" applyNumberFormat="1" applyFont="1" applyFill="1" applyBorder="1" applyAlignment="1">
      <alignment horizontal="center" vertical="center"/>
    </xf>
    <xf numFmtId="49" fontId="33" fillId="12" borderId="1" xfId="131" applyNumberFormat="1" applyFont="1" applyFill="1" applyBorder="1" applyAlignment="1">
      <alignment horizontal="center" vertical="center"/>
    </xf>
    <xf numFmtId="49" fontId="33" fillId="2" borderId="1" xfId="130" applyNumberFormat="1" applyFont="1" applyFill="1" applyBorder="1" applyAlignment="1">
      <alignment horizontal="center" vertical="center" wrapText="1"/>
    </xf>
    <xf numFmtId="2" fontId="33" fillId="12" borderId="1" xfId="132" applyNumberFormat="1" applyFont="1" applyFill="1" applyBorder="1" applyAlignment="1">
      <alignment horizontal="center" vertical="center"/>
    </xf>
    <xf numFmtId="168" fontId="34" fillId="12" borderId="1" xfId="130" applyNumberFormat="1" applyFont="1" applyFill="1" applyBorder="1" applyAlignment="1">
      <alignment horizontal="center" vertical="center"/>
    </xf>
    <xf numFmtId="0" fontId="34" fillId="0" borderId="1" xfId="130" applyFont="1" applyBorder="1" applyAlignment="1">
      <alignment horizontal="center" vertical="center"/>
    </xf>
    <xf numFmtId="8" fontId="34" fillId="0" borderId="1" xfId="130" applyNumberFormat="1" applyFont="1" applyBorder="1" applyAlignment="1">
      <alignment horizontal="center" vertical="center"/>
    </xf>
    <xf numFmtId="0" fontId="33" fillId="0" borderId="1" xfId="130" applyFont="1" applyBorder="1" applyAlignment="1">
      <alignment horizontal="center" vertical="center" wrapText="1"/>
    </xf>
    <xf numFmtId="49" fontId="33" fillId="12" borderId="1" xfId="133" applyNumberFormat="1" applyFont="1" applyFill="1" applyBorder="1" applyAlignment="1">
      <alignment horizontal="center" vertical="center"/>
    </xf>
    <xf numFmtId="14" fontId="33" fillId="12" borderId="1" xfId="133" applyNumberFormat="1" applyFont="1" applyFill="1" applyBorder="1" applyAlignment="1">
      <alignment horizontal="center" vertical="center"/>
    </xf>
    <xf numFmtId="170" fontId="33" fillId="12" borderId="1" xfId="133" applyNumberFormat="1" applyFont="1" applyFill="1" applyBorder="1" applyAlignment="1">
      <alignment horizontal="center" vertical="center"/>
    </xf>
    <xf numFmtId="49" fontId="33" fillId="12" borderId="1" xfId="134" applyNumberFormat="1" applyFont="1" applyFill="1" applyBorder="1" applyAlignment="1">
      <alignment horizontal="center" vertical="center"/>
    </xf>
    <xf numFmtId="49" fontId="33" fillId="2" borderId="1" xfId="133" applyNumberFormat="1" applyFont="1" applyFill="1" applyBorder="1" applyAlignment="1">
      <alignment horizontal="center" vertical="center" wrapText="1"/>
    </xf>
    <xf numFmtId="2" fontId="33" fillId="12" borderId="1" xfId="135" applyNumberFormat="1" applyFont="1" applyFill="1" applyBorder="1" applyAlignment="1">
      <alignment horizontal="center" vertical="center"/>
    </xf>
    <xf numFmtId="168" fontId="34" fillId="12" borderId="1" xfId="133" applyNumberFormat="1" applyFont="1" applyFill="1" applyBorder="1" applyAlignment="1">
      <alignment horizontal="center" vertical="center"/>
    </xf>
    <xf numFmtId="0" fontId="34" fillId="0" borderId="1" xfId="133" applyFont="1" applyBorder="1" applyAlignment="1">
      <alignment horizontal="center" vertical="center"/>
    </xf>
    <xf numFmtId="8" fontId="34" fillId="0" borderId="1" xfId="133" applyNumberFormat="1" applyFont="1" applyBorder="1" applyAlignment="1">
      <alignment horizontal="center" vertical="center"/>
    </xf>
    <xf numFmtId="0" fontId="33" fillId="0" borderId="1" xfId="133" applyFont="1" applyBorder="1" applyAlignment="1">
      <alignment horizontal="center" vertical="center" wrapText="1"/>
    </xf>
    <xf numFmtId="49" fontId="33" fillId="0" borderId="1" xfId="136" applyNumberFormat="1" applyFont="1" applyBorder="1" applyAlignment="1">
      <alignment horizontal="center" vertical="center"/>
    </xf>
    <xf numFmtId="2" fontId="33" fillId="0" borderId="1" xfId="136" applyNumberFormat="1" applyFont="1" applyBorder="1" applyAlignment="1">
      <alignment horizontal="center" vertical="center"/>
    </xf>
    <xf numFmtId="168" fontId="34" fillId="0" borderId="1" xfId="136" applyNumberFormat="1" applyFont="1" applyBorder="1" applyAlignment="1">
      <alignment horizontal="center" vertical="center"/>
    </xf>
    <xf numFmtId="0" fontId="34" fillId="0" borderId="1" xfId="136" applyFont="1" applyBorder="1" applyAlignment="1">
      <alignment horizontal="center" vertical="center"/>
    </xf>
    <xf numFmtId="8" fontId="34" fillId="0" borderId="1" xfId="136" applyNumberFormat="1" applyFont="1" applyBorder="1" applyAlignment="1">
      <alignment horizontal="center" vertical="center"/>
    </xf>
    <xf numFmtId="0" fontId="33" fillId="0" borderId="1" xfId="136" applyFont="1" applyBorder="1" applyAlignment="1">
      <alignment horizontal="center" vertical="center" wrapText="1"/>
    </xf>
    <xf numFmtId="49" fontId="33" fillId="0" borderId="1" xfId="137" applyNumberFormat="1" applyFont="1" applyBorder="1" applyAlignment="1">
      <alignment horizontal="center" vertical="center"/>
    </xf>
    <xf numFmtId="170" fontId="33" fillId="0" borderId="1" xfId="137" applyNumberFormat="1" applyFont="1" applyBorder="1" applyAlignment="1">
      <alignment horizontal="center" vertical="center"/>
    </xf>
    <xf numFmtId="49" fontId="33" fillId="0" borderId="1" xfId="128" applyNumberFormat="1" applyFont="1" applyBorder="1" applyAlignment="1">
      <alignment horizontal="center" vertical="center"/>
    </xf>
    <xf numFmtId="2" fontId="33" fillId="0" borderId="1" xfId="137" applyNumberFormat="1" applyFont="1" applyBorder="1" applyAlignment="1">
      <alignment horizontal="center" vertical="center"/>
    </xf>
    <xf numFmtId="168" fontId="34" fillId="0" borderId="1" xfId="137" applyNumberFormat="1" applyFont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8" fontId="34" fillId="0" borderId="1" xfId="137" applyNumberFormat="1" applyFont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 wrapText="1"/>
    </xf>
    <xf numFmtId="49" fontId="33" fillId="0" borderId="1" xfId="138" applyNumberFormat="1" applyFont="1" applyBorder="1" applyAlignment="1">
      <alignment horizontal="center" vertical="center"/>
    </xf>
    <xf numFmtId="170" fontId="33" fillId="0" borderId="1" xfId="138" applyNumberFormat="1" applyFont="1" applyBorder="1" applyAlignment="1">
      <alignment horizontal="center" vertical="center"/>
    </xf>
    <xf numFmtId="0" fontId="35" fillId="12" borderId="1" xfId="139" applyFont="1" applyFill="1" applyBorder="1" applyAlignment="1">
      <alignment horizontal="center"/>
    </xf>
    <xf numFmtId="49" fontId="34" fillId="0" borderId="1" xfId="138" applyNumberFormat="1" applyFont="1" applyBorder="1" applyAlignment="1">
      <alignment horizontal="center" vertical="center"/>
    </xf>
    <xf numFmtId="2" fontId="33" fillId="2" borderId="1" xfId="138" applyNumberFormat="1" applyFont="1" applyFill="1" applyBorder="1" applyAlignment="1">
      <alignment horizontal="center" vertical="center"/>
    </xf>
    <xf numFmtId="2" fontId="33" fillId="0" borderId="1" xfId="138" applyNumberFormat="1" applyFont="1" applyBorder="1" applyAlignment="1">
      <alignment horizontal="center" vertical="center"/>
    </xf>
    <xf numFmtId="168" fontId="34" fillId="0" borderId="1" xfId="138" applyNumberFormat="1" applyFont="1" applyBorder="1" applyAlignment="1">
      <alignment horizontal="center" vertical="center"/>
    </xf>
    <xf numFmtId="0" fontId="34" fillId="0" borderId="1" xfId="138" applyFont="1" applyBorder="1" applyAlignment="1">
      <alignment horizontal="center" vertical="center"/>
    </xf>
    <xf numFmtId="8" fontId="34" fillId="0" borderId="1" xfId="138" applyNumberFormat="1" applyFont="1" applyBorder="1" applyAlignment="1">
      <alignment horizontal="center" vertical="center"/>
    </xf>
    <xf numFmtId="0" fontId="33" fillId="0" borderId="1" xfId="138" applyFont="1" applyBorder="1" applyAlignment="1">
      <alignment horizontal="center" vertical="center" wrapText="1"/>
    </xf>
    <xf numFmtId="49" fontId="33" fillId="0" borderId="1" xfId="140" applyNumberFormat="1" applyFont="1" applyBorder="1" applyAlignment="1">
      <alignment horizontal="center" vertical="center"/>
    </xf>
    <xf numFmtId="170" fontId="33" fillId="0" borderId="1" xfId="140" applyNumberFormat="1" applyFont="1" applyBorder="1" applyAlignment="1">
      <alignment horizontal="center" vertical="center"/>
    </xf>
    <xf numFmtId="49" fontId="34" fillId="0" borderId="1" xfId="140" applyNumberFormat="1" applyFont="1" applyBorder="1" applyAlignment="1">
      <alignment horizontal="center" vertical="center"/>
    </xf>
    <xf numFmtId="2" fontId="33" fillId="2" borderId="1" xfId="140" applyNumberFormat="1" applyFont="1" applyFill="1" applyBorder="1" applyAlignment="1">
      <alignment horizontal="center" vertical="center"/>
    </xf>
    <xf numFmtId="2" fontId="33" fillId="0" borderId="1" xfId="140" applyNumberFormat="1" applyFont="1" applyBorder="1" applyAlignment="1">
      <alignment horizontal="center" vertical="center"/>
    </xf>
    <xf numFmtId="168" fontId="34" fillId="0" borderId="1" xfId="140" applyNumberFormat="1" applyFont="1" applyBorder="1" applyAlignment="1">
      <alignment horizontal="center" vertical="center"/>
    </xf>
    <xf numFmtId="0" fontId="34" fillId="0" borderId="1" xfId="140" applyFont="1" applyBorder="1" applyAlignment="1">
      <alignment horizontal="center" vertical="center"/>
    </xf>
    <xf numFmtId="8" fontId="34" fillId="0" borderId="1" xfId="140" applyNumberFormat="1" applyFont="1" applyBorder="1" applyAlignment="1">
      <alignment horizontal="center" vertical="center"/>
    </xf>
    <xf numFmtId="0" fontId="33" fillId="0" borderId="1" xfId="140" applyFont="1" applyBorder="1" applyAlignment="1">
      <alignment horizontal="center" vertical="center" wrapText="1"/>
    </xf>
    <xf numFmtId="49" fontId="33" fillId="0" borderId="1" xfId="141" applyNumberFormat="1" applyFont="1" applyBorder="1" applyAlignment="1">
      <alignment horizontal="center" vertical="center"/>
    </xf>
    <xf numFmtId="2" fontId="33" fillId="2" borderId="1" xfId="141" applyNumberFormat="1" applyFont="1" applyFill="1" applyBorder="1" applyAlignment="1">
      <alignment horizontal="center" vertical="center"/>
    </xf>
    <xf numFmtId="2" fontId="33" fillId="0" borderId="1" xfId="141" applyNumberFormat="1" applyFont="1" applyBorder="1" applyAlignment="1">
      <alignment horizontal="center" vertical="center"/>
    </xf>
    <xf numFmtId="168" fontId="34" fillId="0" borderId="1" xfId="141" applyNumberFormat="1" applyFont="1" applyBorder="1" applyAlignment="1">
      <alignment horizontal="center" vertical="center"/>
    </xf>
    <xf numFmtId="0" fontId="34" fillId="0" borderId="1" xfId="141" applyFont="1" applyBorder="1" applyAlignment="1">
      <alignment horizontal="center" vertical="center"/>
    </xf>
    <xf numFmtId="8" fontId="34" fillId="0" borderId="1" xfId="141" applyNumberFormat="1" applyFont="1" applyBorder="1" applyAlignment="1">
      <alignment horizontal="center" vertical="center"/>
    </xf>
    <xf numFmtId="0" fontId="33" fillId="0" borderId="1" xfId="141" applyFont="1" applyBorder="1" applyAlignment="1">
      <alignment horizontal="center" vertical="center" wrapText="1"/>
    </xf>
    <xf numFmtId="49" fontId="33" fillId="0" borderId="1" xfId="142" applyNumberFormat="1" applyFont="1" applyBorder="1" applyAlignment="1">
      <alignment horizontal="center" vertical="center"/>
    </xf>
    <xf numFmtId="170" fontId="33" fillId="0" borderId="1" xfId="142" applyNumberFormat="1" applyFont="1" applyBorder="1" applyAlignment="1">
      <alignment horizontal="center" vertical="center"/>
    </xf>
    <xf numFmtId="49" fontId="33" fillId="0" borderId="1" xfId="143" applyNumberFormat="1" applyFont="1" applyBorder="1" applyAlignment="1">
      <alignment horizontal="center" vertical="center"/>
    </xf>
    <xf numFmtId="2" fontId="33" fillId="2" borderId="1" xfId="142" applyNumberFormat="1" applyFont="1" applyFill="1" applyBorder="1" applyAlignment="1">
      <alignment horizontal="center" vertical="center"/>
    </xf>
    <xf numFmtId="2" fontId="33" fillId="0" borderId="1" xfId="142" applyNumberFormat="1" applyFont="1" applyBorder="1" applyAlignment="1">
      <alignment horizontal="center" vertical="center"/>
    </xf>
    <xf numFmtId="168" fontId="34" fillId="0" borderId="1" xfId="142" applyNumberFormat="1" applyFont="1" applyBorder="1" applyAlignment="1">
      <alignment horizontal="center" vertical="center"/>
    </xf>
    <xf numFmtId="0" fontId="34" fillId="0" borderId="1" xfId="142" applyFont="1" applyBorder="1" applyAlignment="1">
      <alignment horizontal="center" vertical="center"/>
    </xf>
    <xf numFmtId="8" fontId="34" fillId="0" borderId="1" xfId="142" applyNumberFormat="1" applyFont="1" applyBorder="1" applyAlignment="1">
      <alignment horizontal="center" vertical="center"/>
    </xf>
    <xf numFmtId="0" fontId="33" fillId="0" borderId="1" xfId="142" applyFont="1" applyBorder="1" applyAlignment="1">
      <alignment horizontal="center" vertical="center" wrapText="1"/>
    </xf>
    <xf numFmtId="49" fontId="33" fillId="0" borderId="1" xfId="144" applyNumberFormat="1" applyFont="1" applyBorder="1" applyAlignment="1">
      <alignment horizontal="center" vertical="center"/>
    </xf>
    <xf numFmtId="170" fontId="33" fillId="0" borderId="1" xfId="144" applyNumberFormat="1" applyFont="1" applyBorder="1" applyAlignment="1">
      <alignment horizontal="center" vertical="center"/>
    </xf>
    <xf numFmtId="2" fontId="33" fillId="2" borderId="1" xfId="144" applyNumberFormat="1" applyFont="1" applyFill="1" applyBorder="1" applyAlignment="1">
      <alignment horizontal="center" vertical="center"/>
    </xf>
    <xf numFmtId="2" fontId="33" fillId="0" borderId="1" xfId="144" applyNumberFormat="1" applyFont="1" applyBorder="1" applyAlignment="1">
      <alignment horizontal="center" vertical="center"/>
    </xf>
    <xf numFmtId="168" fontId="34" fillId="0" borderId="1" xfId="144" applyNumberFormat="1" applyFont="1" applyBorder="1" applyAlignment="1">
      <alignment horizontal="center" vertical="center"/>
    </xf>
    <xf numFmtId="0" fontId="34" fillId="0" borderId="1" xfId="144" applyFont="1" applyBorder="1" applyAlignment="1">
      <alignment horizontal="center" vertical="center"/>
    </xf>
    <xf numFmtId="8" fontId="34" fillId="0" borderId="1" xfId="144" applyNumberFormat="1" applyFont="1" applyBorder="1" applyAlignment="1">
      <alignment horizontal="center" vertical="center"/>
    </xf>
    <xf numFmtId="0" fontId="33" fillId="0" borderId="1" xfId="144" applyFont="1" applyBorder="1" applyAlignment="1">
      <alignment horizontal="center" vertical="center" wrapText="1"/>
    </xf>
    <xf numFmtId="49" fontId="33" fillId="0" borderId="1" xfId="145" applyNumberFormat="1" applyFont="1" applyBorder="1" applyAlignment="1">
      <alignment horizontal="center" vertical="center"/>
    </xf>
    <xf numFmtId="170" fontId="33" fillId="0" borderId="1" xfId="145" applyNumberFormat="1" applyFont="1" applyBorder="1" applyAlignment="1">
      <alignment horizontal="center" vertical="center"/>
    </xf>
    <xf numFmtId="2" fontId="33" fillId="2" borderId="1" xfId="145" applyNumberFormat="1" applyFont="1" applyFill="1" applyBorder="1" applyAlignment="1">
      <alignment horizontal="center" vertical="center"/>
    </xf>
    <xf numFmtId="2" fontId="33" fillId="0" borderId="1" xfId="145" applyNumberFormat="1" applyFont="1" applyBorder="1" applyAlignment="1">
      <alignment horizontal="center" vertical="center"/>
    </xf>
    <xf numFmtId="168" fontId="34" fillId="0" borderId="1" xfId="145" applyNumberFormat="1" applyFont="1" applyBorder="1" applyAlignment="1">
      <alignment horizontal="center" vertical="center"/>
    </xf>
    <xf numFmtId="0" fontId="34" fillId="0" borderId="1" xfId="145" applyFont="1" applyBorder="1" applyAlignment="1">
      <alignment horizontal="center" vertical="center"/>
    </xf>
    <xf numFmtId="8" fontId="34" fillId="0" borderId="1" xfId="145" applyNumberFormat="1" applyFont="1" applyBorder="1" applyAlignment="1">
      <alignment horizontal="center" vertical="center"/>
    </xf>
    <xf numFmtId="0" fontId="33" fillId="0" borderId="1" xfId="145" applyFont="1" applyBorder="1" applyAlignment="1">
      <alignment horizontal="center" vertical="center" wrapText="1"/>
    </xf>
    <xf numFmtId="49" fontId="33" fillId="0" borderId="1" xfId="146" applyNumberFormat="1" applyFont="1" applyBorder="1" applyAlignment="1">
      <alignment horizontal="center" vertical="center"/>
    </xf>
    <xf numFmtId="0" fontId="35" fillId="12" borderId="1" xfId="147" applyFont="1" applyFill="1" applyBorder="1" applyAlignment="1">
      <alignment horizontal="center"/>
    </xf>
    <xf numFmtId="170" fontId="33" fillId="0" borderId="1" xfId="146" applyNumberFormat="1" applyFont="1" applyBorder="1" applyAlignment="1">
      <alignment horizontal="center" vertical="center"/>
    </xf>
    <xf numFmtId="49" fontId="33" fillId="0" borderId="1" xfId="148" applyNumberFormat="1" applyFont="1" applyBorder="1" applyAlignment="1">
      <alignment horizontal="center" vertical="center"/>
    </xf>
    <xf numFmtId="2" fontId="33" fillId="2" borderId="1" xfId="146" applyNumberFormat="1" applyFont="1" applyFill="1" applyBorder="1" applyAlignment="1">
      <alignment horizontal="center" vertical="center"/>
    </xf>
    <xf numFmtId="2" fontId="33" fillId="0" borderId="1" xfId="146" applyNumberFormat="1" applyFont="1" applyBorder="1" applyAlignment="1">
      <alignment horizontal="center" vertical="center"/>
    </xf>
    <xf numFmtId="168" fontId="34" fillId="0" borderId="1" xfId="146" applyNumberFormat="1" applyFont="1" applyBorder="1" applyAlignment="1">
      <alignment horizontal="center" vertical="center"/>
    </xf>
    <xf numFmtId="0" fontId="34" fillId="0" borderId="1" xfId="146" applyFont="1" applyBorder="1" applyAlignment="1">
      <alignment horizontal="center" vertical="center"/>
    </xf>
    <xf numFmtId="8" fontId="34" fillId="0" borderId="1" xfId="146" applyNumberFormat="1" applyFont="1" applyBorder="1" applyAlignment="1">
      <alignment horizontal="center" vertical="center"/>
    </xf>
    <xf numFmtId="0" fontId="33" fillId="0" borderId="1" xfId="146" applyFont="1" applyBorder="1" applyAlignment="1">
      <alignment horizontal="center" vertical="center" wrapText="1"/>
    </xf>
    <xf numFmtId="49" fontId="33" fillId="0" borderId="1" xfId="448" applyNumberFormat="1" applyFont="1" applyBorder="1" applyAlignment="1">
      <alignment horizontal="center" vertical="center"/>
    </xf>
    <xf numFmtId="0" fontId="33" fillId="0" borderId="1" xfId="448" applyFont="1" applyBorder="1" applyAlignment="1">
      <alignment horizontal="center" vertical="center" wrapText="1"/>
    </xf>
    <xf numFmtId="2" fontId="33" fillId="0" borderId="1" xfId="448" applyNumberFormat="1" applyFont="1" applyBorder="1" applyAlignment="1">
      <alignment horizontal="center" vertical="center"/>
    </xf>
    <xf numFmtId="170" fontId="33" fillId="0" borderId="1" xfId="448" applyNumberFormat="1" applyFont="1" applyBorder="1" applyAlignment="1">
      <alignment horizontal="center" vertical="center"/>
    </xf>
    <xf numFmtId="0" fontId="34" fillId="0" borderId="1" xfId="448" applyFont="1" applyBorder="1" applyAlignment="1">
      <alignment horizontal="center" vertical="center"/>
    </xf>
    <xf numFmtId="8" fontId="34" fillId="0" borderId="1" xfId="448" applyNumberFormat="1" applyFont="1" applyBorder="1" applyAlignment="1">
      <alignment horizontal="center" vertical="center"/>
    </xf>
    <xf numFmtId="168" fontId="34" fillId="0" borderId="1" xfId="448" applyNumberFormat="1" applyFont="1" applyBorder="1" applyAlignment="1">
      <alignment horizontal="center" vertical="center"/>
    </xf>
    <xf numFmtId="49" fontId="33" fillId="0" borderId="1" xfId="506" applyNumberFormat="1" applyFont="1" applyBorder="1" applyAlignment="1">
      <alignment horizontal="center" vertical="center"/>
    </xf>
    <xf numFmtId="170" fontId="33" fillId="0" borderId="1" xfId="506" applyNumberFormat="1" applyFont="1" applyBorder="1" applyAlignment="1">
      <alignment horizontal="center" vertical="center"/>
    </xf>
    <xf numFmtId="2" fontId="33" fillId="0" borderId="1" xfId="506" applyNumberFormat="1" applyFont="1" applyBorder="1" applyAlignment="1">
      <alignment horizontal="center" vertical="center"/>
    </xf>
    <xf numFmtId="168" fontId="34" fillId="0" borderId="1" xfId="506" applyNumberFormat="1" applyFont="1" applyBorder="1" applyAlignment="1">
      <alignment horizontal="center" vertical="center"/>
    </xf>
    <xf numFmtId="0" fontId="34" fillId="0" borderId="1" xfId="506" applyFont="1" applyBorder="1" applyAlignment="1">
      <alignment horizontal="center" vertical="center"/>
    </xf>
    <xf numFmtId="8" fontId="34" fillId="0" borderId="1" xfId="506" applyNumberFormat="1" applyFont="1" applyBorder="1" applyAlignment="1">
      <alignment horizontal="center" vertical="center"/>
    </xf>
    <xf numFmtId="0" fontId="33" fillId="0" borderId="1" xfId="506" applyFont="1" applyBorder="1" applyAlignment="1">
      <alignment horizontal="center" vertical="center" wrapText="1"/>
    </xf>
    <xf numFmtId="49" fontId="34" fillId="0" borderId="1" xfId="506" applyNumberFormat="1" applyFont="1" applyBorder="1" applyAlignment="1">
      <alignment horizontal="center" vertical="center"/>
    </xf>
    <xf numFmtId="49" fontId="33" fillId="0" borderId="1" xfId="507" applyNumberFormat="1" applyFont="1" applyBorder="1" applyAlignment="1">
      <alignment horizontal="center" vertical="center"/>
    </xf>
    <xf numFmtId="170" fontId="33" fillId="0" borderId="1" xfId="507" applyNumberFormat="1" applyFont="1" applyBorder="1" applyAlignment="1">
      <alignment horizontal="center" vertical="center"/>
    </xf>
    <xf numFmtId="2" fontId="33" fillId="0" borderId="1" xfId="507" applyNumberFormat="1" applyFont="1" applyBorder="1" applyAlignment="1">
      <alignment horizontal="center" vertical="center"/>
    </xf>
    <xf numFmtId="168" fontId="34" fillId="0" borderId="1" xfId="507" applyNumberFormat="1" applyFont="1" applyBorder="1" applyAlignment="1">
      <alignment horizontal="center" vertical="center"/>
    </xf>
    <xf numFmtId="0" fontId="34" fillId="0" borderId="1" xfId="507" applyFont="1" applyBorder="1" applyAlignment="1">
      <alignment horizontal="center" vertical="center"/>
    </xf>
    <xf numFmtId="8" fontId="34" fillId="0" borderId="1" xfId="507" applyNumberFormat="1" applyFont="1" applyBorder="1" applyAlignment="1">
      <alignment horizontal="center" vertical="center"/>
    </xf>
    <xf numFmtId="0" fontId="33" fillId="0" borderId="1" xfId="507" applyFont="1" applyBorder="1" applyAlignment="1">
      <alignment horizontal="center" vertical="center" wrapText="1"/>
    </xf>
    <xf numFmtId="49" fontId="33" fillId="0" borderId="1" xfId="796" applyNumberFormat="1" applyFont="1" applyBorder="1" applyAlignment="1">
      <alignment horizontal="center" vertical="center"/>
    </xf>
    <xf numFmtId="170" fontId="33" fillId="0" borderId="1" xfId="796" applyNumberFormat="1" applyFont="1" applyBorder="1" applyAlignment="1">
      <alignment horizontal="center" vertical="center"/>
    </xf>
    <xf numFmtId="0" fontId="35" fillId="12" borderId="1" xfId="883" applyFont="1" applyFill="1" applyBorder="1" applyAlignment="1">
      <alignment horizontal="center"/>
    </xf>
    <xf numFmtId="49" fontId="34" fillId="0" borderId="1" xfId="796" applyNumberFormat="1" applyFont="1" applyBorder="1" applyAlignment="1">
      <alignment horizontal="center" vertical="center"/>
    </xf>
    <xf numFmtId="2" fontId="33" fillId="2" borderId="1" xfId="796" applyNumberFormat="1" applyFont="1" applyFill="1" applyBorder="1" applyAlignment="1">
      <alignment horizontal="center" vertical="center"/>
    </xf>
    <xf numFmtId="2" fontId="33" fillId="0" borderId="1" xfId="796" applyNumberFormat="1" applyFont="1" applyBorder="1" applyAlignment="1">
      <alignment horizontal="center" vertical="center"/>
    </xf>
    <xf numFmtId="168" fontId="34" fillId="0" borderId="1" xfId="796" applyNumberFormat="1" applyFont="1" applyBorder="1" applyAlignment="1">
      <alignment horizontal="center" vertical="center"/>
    </xf>
    <xf numFmtId="0" fontId="34" fillId="0" borderId="1" xfId="796" applyFont="1" applyBorder="1" applyAlignment="1">
      <alignment horizontal="center" vertical="center"/>
    </xf>
    <xf numFmtId="8" fontId="34" fillId="0" borderId="1" xfId="796" applyNumberFormat="1" applyFont="1" applyBorder="1" applyAlignment="1">
      <alignment horizontal="center" vertical="center"/>
    </xf>
    <xf numFmtId="0" fontId="33" fillId="0" borderId="1" xfId="796" applyFont="1" applyBorder="1" applyAlignment="1">
      <alignment horizontal="center" vertical="center" wrapText="1"/>
    </xf>
    <xf numFmtId="49" fontId="33" fillId="0" borderId="1" xfId="798" applyNumberFormat="1" applyFont="1" applyBorder="1" applyAlignment="1">
      <alignment horizontal="center" vertical="center"/>
    </xf>
    <xf numFmtId="170" fontId="33" fillId="0" borderId="1" xfId="798" applyNumberFormat="1" applyFont="1" applyBorder="1" applyAlignment="1">
      <alignment horizontal="center" vertical="center"/>
    </xf>
    <xf numFmtId="49" fontId="34" fillId="0" borderId="1" xfId="798" applyNumberFormat="1" applyFont="1" applyBorder="1" applyAlignment="1">
      <alignment horizontal="center" vertical="center"/>
    </xf>
    <xf numFmtId="2" fontId="33" fillId="2" borderId="1" xfId="798" applyNumberFormat="1" applyFont="1" applyFill="1" applyBorder="1" applyAlignment="1">
      <alignment horizontal="center" vertical="center"/>
    </xf>
    <xf numFmtId="2" fontId="33" fillId="0" borderId="1" xfId="798" applyNumberFormat="1" applyFont="1" applyBorder="1" applyAlignment="1">
      <alignment horizontal="center" vertical="center"/>
    </xf>
    <xf numFmtId="168" fontId="34" fillId="0" borderId="1" xfId="798" applyNumberFormat="1" applyFont="1" applyBorder="1" applyAlignment="1">
      <alignment horizontal="center" vertical="center"/>
    </xf>
    <xf numFmtId="0" fontId="34" fillId="0" borderId="1" xfId="798" applyFont="1" applyBorder="1" applyAlignment="1">
      <alignment horizontal="center" vertical="center"/>
    </xf>
    <xf numFmtId="8" fontId="34" fillId="0" borderId="1" xfId="798" applyNumberFormat="1" applyFont="1" applyBorder="1" applyAlignment="1">
      <alignment horizontal="center" vertical="center"/>
    </xf>
    <xf numFmtId="0" fontId="33" fillId="0" borderId="1" xfId="798" applyFont="1" applyBorder="1" applyAlignment="1">
      <alignment horizontal="center" vertical="center" wrapText="1"/>
    </xf>
    <xf numFmtId="49" fontId="33" fillId="0" borderId="1" xfId="799" applyNumberFormat="1" applyFont="1" applyBorder="1" applyAlignment="1">
      <alignment horizontal="center" vertical="center"/>
    </xf>
    <xf numFmtId="170" fontId="33" fillId="0" borderId="1" xfId="799" applyNumberFormat="1" applyFont="1" applyBorder="1" applyAlignment="1">
      <alignment horizontal="center" vertical="center"/>
    </xf>
    <xf numFmtId="49" fontId="34" fillId="0" borderId="1" xfId="799" applyNumberFormat="1" applyFont="1" applyBorder="1" applyAlignment="1">
      <alignment horizontal="center" vertical="center"/>
    </xf>
    <xf numFmtId="2" fontId="33" fillId="2" borderId="1" xfId="799" applyNumberFormat="1" applyFont="1" applyFill="1" applyBorder="1" applyAlignment="1">
      <alignment horizontal="center" vertical="center"/>
    </xf>
    <xf numFmtId="2" fontId="33" fillId="0" borderId="1" xfId="799" applyNumberFormat="1" applyFont="1" applyBorder="1" applyAlignment="1">
      <alignment horizontal="center" vertical="center"/>
    </xf>
    <xf numFmtId="168" fontId="34" fillId="0" borderId="1" xfId="799" applyNumberFormat="1" applyFont="1" applyBorder="1" applyAlignment="1">
      <alignment horizontal="center" vertical="center"/>
    </xf>
    <xf numFmtId="0" fontId="34" fillId="0" borderId="1" xfId="799" applyFont="1" applyBorder="1" applyAlignment="1">
      <alignment horizontal="center" vertical="center"/>
    </xf>
    <xf numFmtId="8" fontId="34" fillId="0" borderId="1" xfId="799" applyNumberFormat="1" applyFont="1" applyBorder="1" applyAlignment="1">
      <alignment horizontal="center" vertical="center"/>
    </xf>
    <xf numFmtId="0" fontId="33" fillId="0" borderId="1" xfId="799" applyFont="1" applyBorder="1" applyAlignment="1">
      <alignment horizontal="center" vertical="center" wrapText="1"/>
    </xf>
    <xf numFmtId="49" fontId="33" fillId="0" borderId="1" xfId="800" applyNumberFormat="1" applyFont="1" applyBorder="1" applyAlignment="1">
      <alignment horizontal="center" vertical="center"/>
    </xf>
    <xf numFmtId="170" fontId="33" fillId="0" borderId="1" xfId="800" applyNumberFormat="1" applyFont="1" applyBorder="1" applyAlignment="1">
      <alignment horizontal="center" vertical="center"/>
    </xf>
    <xf numFmtId="49" fontId="34" fillId="0" borderId="1" xfId="800" applyNumberFormat="1" applyFont="1" applyBorder="1" applyAlignment="1">
      <alignment horizontal="center" vertical="center"/>
    </xf>
    <xf numFmtId="2" fontId="33" fillId="2" borderId="1" xfId="800" applyNumberFormat="1" applyFont="1" applyFill="1" applyBorder="1" applyAlignment="1">
      <alignment horizontal="center" vertical="center"/>
    </xf>
    <xf numFmtId="2" fontId="33" fillId="0" borderId="1" xfId="800" applyNumberFormat="1" applyFont="1" applyBorder="1" applyAlignment="1">
      <alignment horizontal="center" vertical="center"/>
    </xf>
    <xf numFmtId="168" fontId="34" fillId="0" borderId="1" xfId="800" applyNumberFormat="1" applyFont="1" applyBorder="1" applyAlignment="1">
      <alignment horizontal="center" vertical="center"/>
    </xf>
    <xf numFmtId="0" fontId="34" fillId="0" borderId="1" xfId="800" applyFont="1" applyBorder="1" applyAlignment="1">
      <alignment horizontal="center" vertical="center"/>
    </xf>
    <xf numFmtId="8" fontId="34" fillId="0" borderId="1" xfId="800" applyNumberFormat="1" applyFont="1" applyBorder="1" applyAlignment="1">
      <alignment horizontal="center" vertical="center"/>
    </xf>
    <xf numFmtId="0" fontId="33" fillId="0" borderId="1" xfId="800" applyFont="1" applyBorder="1" applyAlignment="1">
      <alignment horizontal="center" vertical="center" wrapText="1"/>
    </xf>
    <xf numFmtId="49" fontId="33" fillId="0" borderId="1" xfId="801" applyNumberFormat="1" applyFont="1" applyBorder="1" applyAlignment="1">
      <alignment horizontal="center" vertical="center"/>
    </xf>
    <xf numFmtId="170" fontId="33" fillId="0" borderId="1" xfId="801" applyNumberFormat="1" applyFont="1" applyBorder="1" applyAlignment="1">
      <alignment horizontal="center" vertical="center"/>
    </xf>
    <xf numFmtId="49" fontId="34" fillId="0" borderId="1" xfId="801" applyNumberFormat="1" applyFont="1" applyBorder="1" applyAlignment="1">
      <alignment horizontal="center" vertical="center"/>
    </xf>
    <xf numFmtId="2" fontId="33" fillId="0" borderId="1" xfId="801" applyNumberFormat="1" applyFont="1" applyBorder="1" applyAlignment="1">
      <alignment horizontal="center" vertical="center"/>
    </xf>
    <xf numFmtId="168" fontId="34" fillId="0" borderId="1" xfId="801" applyNumberFormat="1" applyFont="1" applyBorder="1" applyAlignment="1">
      <alignment horizontal="center" vertical="center"/>
    </xf>
    <xf numFmtId="0" fontId="34" fillId="0" borderId="1" xfId="801" applyFont="1" applyBorder="1" applyAlignment="1">
      <alignment horizontal="center" vertical="center"/>
    </xf>
    <xf numFmtId="8" fontId="34" fillId="0" borderId="1" xfId="801" applyNumberFormat="1" applyFont="1" applyBorder="1" applyAlignment="1">
      <alignment horizontal="center" vertical="center"/>
    </xf>
    <xf numFmtId="0" fontId="33" fillId="0" borderId="1" xfId="801" applyFont="1" applyBorder="1" applyAlignment="1">
      <alignment horizontal="center" vertical="center" wrapText="1"/>
    </xf>
    <xf numFmtId="49" fontId="33" fillId="0" borderId="1" xfId="802" applyNumberFormat="1" applyFont="1" applyBorder="1" applyAlignment="1">
      <alignment horizontal="center" vertical="center"/>
    </xf>
    <xf numFmtId="170" fontId="33" fillId="0" borderId="1" xfId="802" applyNumberFormat="1" applyFont="1" applyBorder="1" applyAlignment="1">
      <alignment horizontal="center" vertical="center"/>
    </xf>
    <xf numFmtId="2" fontId="33" fillId="0" borderId="1" xfId="802" applyNumberFormat="1" applyFont="1" applyBorder="1" applyAlignment="1">
      <alignment horizontal="center" vertical="center"/>
    </xf>
    <xf numFmtId="168" fontId="34" fillId="0" borderId="1" xfId="802" applyNumberFormat="1" applyFont="1" applyBorder="1" applyAlignment="1">
      <alignment horizontal="center" vertical="center"/>
    </xf>
    <xf numFmtId="0" fontId="34" fillId="0" borderId="1" xfId="802" applyFont="1" applyBorder="1" applyAlignment="1">
      <alignment horizontal="center" vertical="center"/>
    </xf>
    <xf numFmtId="8" fontId="34" fillId="0" borderId="1" xfId="802" applyNumberFormat="1" applyFont="1" applyBorder="1" applyAlignment="1">
      <alignment horizontal="center" vertical="center"/>
    </xf>
    <xf numFmtId="0" fontId="33" fillId="0" borderId="1" xfId="802" applyFont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/>
    </xf>
    <xf numFmtId="0" fontId="24" fillId="2" borderId="13" xfId="0" applyFont="1" applyFill="1" applyBorder="1"/>
    <xf numFmtId="0" fontId="22" fillId="2" borderId="8" xfId="0" applyFont="1" applyFill="1" applyBorder="1" applyAlignment="1">
      <alignment horizontal="center"/>
    </xf>
    <xf numFmtId="0" fontId="5" fillId="0" borderId="32" xfId="894" applyBorder="1" applyAlignment="1" applyProtection="1">
      <alignment horizontal="center"/>
      <protection locked="0"/>
    </xf>
    <xf numFmtId="0" fontId="5" fillId="0" borderId="13" xfId="894" applyProtection="1">
      <protection locked="0"/>
    </xf>
    <xf numFmtId="44" fontId="29" fillId="0" borderId="0" xfId="893" applyFont="1"/>
    <xf numFmtId="44" fontId="0" fillId="0" borderId="0" xfId="893" applyFont="1"/>
    <xf numFmtId="0" fontId="24" fillId="2" borderId="8" xfId="0" applyFont="1" applyFill="1" applyBorder="1"/>
    <xf numFmtId="0" fontId="24" fillId="2" borderId="13" xfId="0" applyFont="1" applyFill="1" applyBorder="1" applyAlignment="1">
      <alignment horizontal="center" vertical="center"/>
    </xf>
    <xf numFmtId="0" fontId="4" fillId="0" borderId="13" xfId="4" applyFont="1" applyAlignment="1" applyProtection="1">
      <alignment horizontal="center" vertical="center"/>
      <protection locked="0"/>
    </xf>
    <xf numFmtId="0" fontId="41" fillId="10" borderId="8" xfId="0" applyFont="1" applyFill="1" applyBorder="1" applyAlignment="1">
      <alignment vertical="center"/>
    </xf>
    <xf numFmtId="0" fontId="59" fillId="10" borderId="8" xfId="0" applyFont="1" applyFill="1" applyBorder="1" applyAlignment="1">
      <alignment horizontal="center" vertical="center"/>
    </xf>
    <xf numFmtId="0" fontId="43" fillId="10" borderId="8" xfId="0" applyFont="1" applyFill="1" applyBorder="1" applyAlignment="1">
      <alignment horizontal="center" vertical="center"/>
    </xf>
    <xf numFmtId="49" fontId="41" fillId="10" borderId="8" xfId="0" applyNumberFormat="1" applyFont="1" applyFill="1" applyBorder="1" applyAlignment="1">
      <alignment vertical="center"/>
    </xf>
    <xf numFmtId="0" fontId="36" fillId="0" borderId="32" xfId="0" applyFont="1" applyBorder="1" applyAlignment="1">
      <alignment horizontal="center"/>
    </xf>
    <xf numFmtId="0" fontId="34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left" vertical="center"/>
    </xf>
    <xf numFmtId="164" fontId="34" fillId="2" borderId="1" xfId="0" applyNumberFormat="1" applyFont="1" applyFill="1" applyBorder="1" applyAlignment="1">
      <alignment horizontal="left"/>
    </xf>
    <xf numFmtId="0" fontId="34" fillId="2" borderId="1" xfId="0" applyFont="1" applyFill="1" applyBorder="1" applyAlignment="1">
      <alignment horizontal="left" wrapText="1"/>
    </xf>
    <xf numFmtId="0" fontId="36" fillId="0" borderId="32" xfId="4" applyFont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>
      <alignment horizontal="left" vertical="center"/>
    </xf>
    <xf numFmtId="0" fontId="34" fillId="2" borderId="31" xfId="0" applyFont="1" applyFill="1" applyBorder="1" applyAlignment="1">
      <alignment horizontal="left" vertical="center"/>
    </xf>
    <xf numFmtId="0" fontId="36" fillId="0" borderId="32" xfId="0" applyFont="1" applyBorder="1" applyAlignment="1">
      <alignment horizontal="left"/>
    </xf>
    <xf numFmtId="0" fontId="34" fillId="2" borderId="1" xfId="0" applyFont="1" applyFill="1" applyBorder="1" applyAlignment="1">
      <alignment horizontal="left"/>
    </xf>
    <xf numFmtId="0" fontId="34" fillId="5" borderId="1" xfId="0" applyFont="1" applyFill="1" applyBorder="1" applyAlignment="1">
      <alignment horizontal="left"/>
    </xf>
    <xf numFmtId="0" fontId="34" fillId="2" borderId="13" xfId="0" applyFont="1" applyFill="1" applyBorder="1" applyAlignment="1">
      <alignment horizontal="left"/>
    </xf>
    <xf numFmtId="0" fontId="34" fillId="2" borderId="3" xfId="0" applyFont="1" applyFill="1" applyBorder="1" applyAlignment="1">
      <alignment horizontal="left"/>
    </xf>
    <xf numFmtId="0" fontId="36" fillId="0" borderId="0" xfId="0" applyFont="1" applyAlignment="1">
      <alignment horizontal="left"/>
    </xf>
    <xf numFmtId="0" fontId="38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/>
    </xf>
    <xf numFmtId="0" fontId="61" fillId="0" borderId="1" xfId="0" applyFont="1" applyBorder="1" applyAlignment="1">
      <alignment horizontal="center" wrapText="1"/>
    </xf>
    <xf numFmtId="0" fontId="36" fillId="0" borderId="32" xfId="4" applyFont="1" applyBorder="1" applyAlignment="1" applyProtection="1">
      <alignment horizontal="center" vertical="center"/>
      <protection locked="0"/>
    </xf>
    <xf numFmtId="0" fontId="34" fillId="2" borderId="32" xfId="0" applyFont="1" applyFill="1" applyBorder="1" applyAlignment="1">
      <alignment horizontal="center" vertical="center"/>
    </xf>
    <xf numFmtId="0" fontId="34" fillId="2" borderId="3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/>
    </xf>
    <xf numFmtId="0" fontId="34" fillId="2" borderId="13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4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wrapText="1"/>
    </xf>
    <xf numFmtId="0" fontId="38" fillId="2" borderId="32" xfId="0" applyFont="1" applyFill="1" applyBorder="1" applyAlignment="1">
      <alignment horizontal="center" wrapText="1"/>
    </xf>
    <xf numFmtId="0" fontId="34" fillId="2" borderId="32" xfId="0" applyFont="1" applyFill="1" applyBorder="1" applyAlignment="1">
      <alignment horizontal="center"/>
    </xf>
    <xf numFmtId="14" fontId="44" fillId="10" borderId="10" xfId="0" applyNumberFormat="1" applyFont="1" applyFill="1" applyBorder="1" applyAlignment="1">
      <alignment vertical="center"/>
    </xf>
    <xf numFmtId="0" fontId="34" fillId="2" borderId="1" xfId="0" applyFont="1" applyFill="1" applyBorder="1" applyAlignment="1">
      <alignment vertical="center"/>
    </xf>
    <xf numFmtId="0" fontId="34" fillId="0" borderId="1" xfId="0" applyFont="1" applyBorder="1" applyAlignment="1">
      <alignment wrapText="1"/>
    </xf>
    <xf numFmtId="0" fontId="34" fillId="3" borderId="1" xfId="0" applyFont="1" applyFill="1" applyBorder="1" applyAlignment="1">
      <alignment vertical="center"/>
    </xf>
    <xf numFmtId="164" fontId="34" fillId="2" borderId="1" xfId="0" applyNumberFormat="1" applyFont="1" applyFill="1" applyBorder="1"/>
    <xf numFmtId="0" fontId="34" fillId="0" borderId="1" xfId="0" applyFont="1" applyBorder="1" applyAlignment="1">
      <alignment horizontal="center" wrapText="1"/>
    </xf>
    <xf numFmtId="0" fontId="34" fillId="3" borderId="1" xfId="0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wrapText="1"/>
    </xf>
    <xf numFmtId="0" fontId="38" fillId="3" borderId="1" xfId="0" applyFont="1" applyFill="1" applyBorder="1" applyAlignment="1">
      <alignment horizontal="center" wrapText="1"/>
    </xf>
    <xf numFmtId="0" fontId="2" fillId="0" borderId="32" xfId="0" applyFont="1" applyBorder="1" applyAlignment="1">
      <alignment horizontal="left"/>
    </xf>
    <xf numFmtId="0" fontId="1" fillId="0" borderId="13" xfId="895" applyProtection="1">
      <protection locked="0"/>
    </xf>
    <xf numFmtId="0" fontId="29" fillId="0" borderId="8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" fillId="0" borderId="32" xfId="895" applyBorder="1" applyProtection="1">
      <protection locked="0"/>
    </xf>
    <xf numFmtId="2" fontId="29" fillId="0" borderId="17" xfId="0" applyNumberFormat="1" applyFont="1" applyBorder="1"/>
    <xf numFmtId="2" fontId="29" fillId="0" borderId="13" xfId="0" applyNumberFormat="1" applyFont="1" applyBorder="1"/>
    <xf numFmtId="0" fontId="29" fillId="0" borderId="8" xfId="0" applyFont="1" applyBorder="1" applyAlignment="1">
      <alignment horizontal="left"/>
    </xf>
    <xf numFmtId="44" fontId="28" fillId="7" borderId="11" xfId="893" applyFont="1" applyFill="1" applyBorder="1" applyAlignment="1">
      <alignment horizontal="center" vertical="center" wrapText="1"/>
    </xf>
    <xf numFmtId="0" fontId="0" fillId="0" borderId="32" xfId="0" applyBorder="1" applyProtection="1">
      <protection locked="0"/>
    </xf>
    <xf numFmtId="0" fontId="0" fillId="0" borderId="32" xfId="0" applyBorder="1"/>
    <xf numFmtId="0" fontId="36" fillId="0" borderId="1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" xfId="4" applyFont="1" applyBorder="1" applyAlignment="1" applyProtection="1">
      <alignment horizontal="center" vertical="center"/>
      <protection locked="0"/>
    </xf>
    <xf numFmtId="0" fontId="34" fillId="2" borderId="32" xfId="149" applyFont="1" applyFill="1" applyBorder="1" applyAlignment="1">
      <alignment horizontal="center" vertical="center"/>
    </xf>
    <xf numFmtId="0" fontId="36" fillId="0" borderId="31" xfId="0" applyFont="1" applyBorder="1" applyAlignment="1">
      <alignment horizontal="center"/>
    </xf>
    <xf numFmtId="0" fontId="34" fillId="4" borderId="32" xfId="0" applyFont="1" applyFill="1" applyBorder="1" applyAlignment="1">
      <alignment horizontal="center" vertical="center"/>
    </xf>
    <xf numFmtId="0" fontId="62" fillId="2" borderId="32" xfId="0" applyFont="1" applyFill="1" applyBorder="1" applyAlignment="1">
      <alignment horizontal="center" wrapText="1"/>
    </xf>
    <xf numFmtId="0" fontId="38" fillId="2" borderId="32" xfId="0" applyFont="1" applyFill="1" applyBorder="1" applyAlignment="1">
      <alignment horizontal="center"/>
    </xf>
    <xf numFmtId="0" fontId="34" fillId="0" borderId="32" xfId="0" applyFont="1" applyBorder="1" applyAlignment="1">
      <alignment horizontal="center" wrapText="1"/>
    </xf>
    <xf numFmtId="0" fontId="36" fillId="0" borderId="1" xfId="0" applyFont="1" applyBorder="1" applyAlignment="1">
      <alignment horizontal="left"/>
    </xf>
    <xf numFmtId="0" fontId="34" fillId="2" borderId="32" xfId="0" applyFont="1" applyFill="1" applyBorder="1" applyAlignment="1">
      <alignment vertical="center"/>
    </xf>
    <xf numFmtId="0" fontId="36" fillId="0" borderId="11" xfId="0" applyFont="1" applyBorder="1" applyAlignment="1">
      <alignment horizontal="left"/>
    </xf>
    <xf numFmtId="0" fontId="34" fillId="2" borderId="32" xfId="0" applyFont="1" applyFill="1" applyBorder="1" applyAlignment="1">
      <alignment horizontal="left"/>
    </xf>
    <xf numFmtId="0" fontId="34" fillId="2" borderId="32" xfId="0" applyFont="1" applyFill="1" applyBorder="1" applyAlignment="1">
      <alignment horizontal="left" wrapText="1"/>
    </xf>
    <xf numFmtId="0" fontId="36" fillId="0" borderId="1" xfId="4" applyFont="1" applyBorder="1" applyAlignment="1" applyProtection="1">
      <alignment horizontal="left" vertical="center"/>
      <protection locked="0"/>
    </xf>
    <xf numFmtId="164" fontId="34" fillId="2" borderId="32" xfId="0" applyNumberFormat="1" applyFont="1" applyFill="1" applyBorder="1"/>
    <xf numFmtId="0" fontId="34" fillId="2" borderId="32" xfId="149" applyFont="1" applyFill="1" applyBorder="1" applyAlignment="1">
      <alignment vertical="center"/>
    </xf>
    <xf numFmtId="0" fontId="36" fillId="0" borderId="31" xfId="0" applyFont="1" applyBorder="1" applyAlignment="1">
      <alignment horizontal="left"/>
    </xf>
    <xf numFmtId="0" fontId="34" fillId="4" borderId="32" xfId="0" applyFont="1" applyFill="1" applyBorder="1" applyAlignment="1">
      <alignment vertical="center"/>
    </xf>
    <xf numFmtId="0" fontId="35" fillId="0" borderId="32" xfId="0" applyFont="1" applyBorder="1"/>
    <xf numFmtId="0" fontId="34" fillId="0" borderId="32" xfId="0" applyFont="1" applyBorder="1" applyAlignment="1">
      <alignment wrapText="1"/>
    </xf>
    <xf numFmtId="164" fontId="34" fillId="2" borderId="32" xfId="0" applyNumberFormat="1" applyFont="1" applyFill="1" applyBorder="1" applyAlignment="1">
      <alignment horizontal="left"/>
    </xf>
    <xf numFmtId="0" fontId="38" fillId="4" borderId="32" xfId="0" applyFont="1" applyFill="1" applyBorder="1" applyAlignment="1">
      <alignment horizontal="center" wrapText="1"/>
    </xf>
    <xf numFmtId="0" fontId="38" fillId="2" borderId="3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8" fillId="14" borderId="32" xfId="0" applyFont="1" applyFill="1" applyBorder="1" applyAlignment="1">
      <alignment horizontal="center" vertical="center"/>
    </xf>
    <xf numFmtId="0" fontId="38" fillId="14" borderId="0" xfId="0" applyFont="1" applyFill="1" applyAlignment="1">
      <alignment horizontal="center" vertical="center"/>
    </xf>
    <xf numFmtId="0" fontId="29" fillId="0" borderId="8" xfId="0" applyFont="1" applyBorder="1"/>
    <xf numFmtId="4" fontId="29" fillId="0" borderId="0" xfId="0" applyNumberFormat="1" applyFont="1"/>
    <xf numFmtId="0" fontId="29" fillId="0" borderId="1" xfId="0" applyFont="1" applyBorder="1" applyAlignment="1">
      <alignment horizontal="right"/>
    </xf>
    <xf numFmtId="2" fontId="29" fillId="0" borderId="17" xfId="0" applyNumberFormat="1" applyFont="1" applyBorder="1" applyAlignment="1">
      <alignment horizontal="right"/>
    </xf>
    <xf numFmtId="0" fontId="41" fillId="10" borderId="17" xfId="0" applyFont="1" applyFill="1" applyBorder="1" applyAlignment="1">
      <alignment vertical="center"/>
    </xf>
    <xf numFmtId="0" fontId="42" fillId="0" borderId="10" xfId="0" applyFont="1" applyBorder="1"/>
    <xf numFmtId="0" fontId="42" fillId="0" borderId="2" xfId="0" applyFont="1" applyBorder="1"/>
    <xf numFmtId="2" fontId="41" fillId="0" borderId="17" xfId="0" applyNumberFormat="1" applyFont="1" applyBorder="1" applyAlignment="1">
      <alignment horizontal="center" vertical="center"/>
    </xf>
    <xf numFmtId="0" fontId="41" fillId="10" borderId="10" xfId="0" applyFont="1" applyFill="1" applyBorder="1" applyAlignment="1">
      <alignment vertical="center"/>
    </xf>
    <xf numFmtId="0" fontId="41" fillId="10" borderId="8" xfId="0" applyFont="1" applyFill="1" applyBorder="1" applyAlignment="1">
      <alignment vertical="center"/>
    </xf>
    <xf numFmtId="171" fontId="43" fillId="0" borderId="17" xfId="0" applyNumberFormat="1" applyFont="1" applyBorder="1" applyAlignment="1">
      <alignment horizontal="right" vertical="center" wrapText="1"/>
    </xf>
    <xf numFmtId="0" fontId="42" fillId="0" borderId="8" xfId="0" applyFont="1" applyBorder="1"/>
    <xf numFmtId="2" fontId="41" fillId="10" borderId="17" xfId="0" applyNumberFormat="1" applyFont="1" applyFill="1" applyBorder="1" applyAlignment="1">
      <alignment horizontal="center" vertical="center"/>
    </xf>
    <xf numFmtId="2" fontId="42" fillId="0" borderId="2" xfId="0" applyNumberFormat="1" applyFont="1" applyBorder="1"/>
    <xf numFmtId="0" fontId="43" fillId="10" borderId="11" xfId="0" applyFont="1" applyFill="1" applyBorder="1" applyAlignment="1">
      <alignment horizontal="center" vertical="center"/>
    </xf>
    <xf numFmtId="0" fontId="42" fillId="0" borderId="31" xfId="0" applyFont="1" applyBorder="1"/>
    <xf numFmtId="0" fontId="43" fillId="10" borderId="31" xfId="0" applyFont="1" applyFill="1" applyBorder="1" applyAlignment="1">
      <alignment horizontal="center" vertical="center"/>
    </xf>
    <xf numFmtId="0" fontId="43" fillId="10" borderId="17" xfId="0" applyFont="1" applyFill="1" applyBorder="1" applyAlignment="1">
      <alignment horizontal="center" vertical="center"/>
    </xf>
    <xf numFmtId="49" fontId="43" fillId="10" borderId="17" xfId="0" applyNumberFormat="1" applyFont="1" applyFill="1" applyBorder="1" applyAlignment="1">
      <alignment horizontal="center" vertical="center"/>
    </xf>
    <xf numFmtId="49" fontId="43" fillId="10" borderId="11" xfId="0" applyNumberFormat="1" applyFont="1" applyFill="1" applyBorder="1" applyAlignment="1">
      <alignment horizontal="center" vertical="center"/>
    </xf>
    <xf numFmtId="0" fontId="43" fillId="10" borderId="14" xfId="0" applyFont="1" applyFill="1" applyBorder="1" applyAlignment="1">
      <alignment horizontal="center" vertical="center"/>
    </xf>
    <xf numFmtId="0" fontId="42" fillId="0" borderId="15" xfId="0" applyFont="1" applyBorder="1"/>
    <xf numFmtId="0" fontId="42" fillId="0" borderId="16" xfId="0" applyFont="1" applyBorder="1"/>
    <xf numFmtId="0" fontId="42" fillId="0" borderId="21" xfId="0" applyFont="1" applyBorder="1"/>
    <xf numFmtId="0" fontId="42" fillId="0" borderId="20" xfId="0" applyFont="1" applyBorder="1"/>
    <xf numFmtId="0" fontId="42" fillId="0" borderId="4" xfId="0" applyFont="1" applyBorder="1"/>
    <xf numFmtId="0" fontId="43" fillId="10" borderId="21" xfId="0" applyFont="1" applyFill="1" applyBorder="1" applyAlignment="1">
      <alignment horizontal="center" vertical="center"/>
    </xf>
    <xf numFmtId="0" fontId="41" fillId="0" borderId="17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/>
    </xf>
    <xf numFmtId="0" fontId="0" fillId="0" borderId="0" xfId="0"/>
    <xf numFmtId="0" fontId="42" fillId="0" borderId="19" xfId="0" applyFont="1" applyBorder="1"/>
    <xf numFmtId="0" fontId="43" fillId="10" borderId="17" xfId="0" applyFont="1" applyFill="1" applyBorder="1" applyAlignment="1">
      <alignment vertical="center"/>
    </xf>
    <xf numFmtId="165" fontId="41" fillId="10" borderId="17" xfId="0" applyNumberFormat="1" applyFont="1" applyFill="1" applyBorder="1" applyAlignment="1">
      <alignment horizontal="center" vertical="center"/>
    </xf>
    <xf numFmtId="165" fontId="44" fillId="10" borderId="17" xfId="0" applyNumberFormat="1" applyFont="1" applyFill="1" applyBorder="1" applyAlignment="1">
      <alignment horizontal="center" vertical="center"/>
    </xf>
    <xf numFmtId="165" fontId="44" fillId="10" borderId="8" xfId="0" applyNumberFormat="1" applyFont="1" applyFill="1" applyBorder="1" applyAlignment="1">
      <alignment horizontal="center" vertical="center"/>
    </xf>
    <xf numFmtId="0" fontId="41" fillId="10" borderId="17" xfId="0" applyFont="1" applyFill="1" applyBorder="1" applyAlignment="1">
      <alignment horizontal="center" vertical="center" wrapText="1"/>
    </xf>
    <xf numFmtId="0" fontId="41" fillId="10" borderId="8" xfId="0" applyFont="1" applyFill="1" applyBorder="1" applyAlignment="1">
      <alignment horizontal="center" vertical="center" wrapText="1"/>
    </xf>
    <xf numFmtId="0" fontId="50" fillId="10" borderId="0" xfId="0" applyFont="1" applyFill="1" applyAlignment="1">
      <alignment horizontal="center"/>
    </xf>
    <xf numFmtId="171" fontId="43" fillId="0" borderId="17" xfId="0" applyNumberFormat="1" applyFont="1" applyBorder="1" applyAlignment="1">
      <alignment horizontal="center" vertical="center" wrapText="1"/>
    </xf>
    <xf numFmtId="171" fontId="43" fillId="0" borderId="10" xfId="0" applyNumberFormat="1" applyFont="1" applyBorder="1" applyAlignment="1">
      <alignment horizontal="center" vertical="center" wrapText="1"/>
    </xf>
    <xf numFmtId="171" fontId="43" fillId="0" borderId="8" xfId="0" applyNumberFormat="1" applyFont="1" applyBorder="1" applyAlignment="1">
      <alignment horizontal="center" vertical="center" wrapText="1"/>
    </xf>
    <xf numFmtId="0" fontId="44" fillId="10" borderId="17" xfId="0" applyFont="1" applyFill="1" applyBorder="1" applyAlignment="1">
      <alignment vertical="center"/>
    </xf>
    <xf numFmtId="49" fontId="45" fillId="10" borderId="32" xfId="0" applyNumberFormat="1" applyFont="1" applyFill="1" applyBorder="1" applyAlignment="1">
      <alignment horizontal="center" vertical="center"/>
    </xf>
    <xf numFmtId="0" fontId="42" fillId="0" borderId="32" xfId="0" applyFont="1" applyBorder="1"/>
    <xf numFmtId="49" fontId="44" fillId="10" borderId="10" xfId="0" applyNumberFormat="1" applyFont="1" applyFill="1" applyBorder="1" applyAlignment="1">
      <alignment horizontal="center" vertical="center"/>
    </xf>
    <xf numFmtId="21" fontId="43" fillId="10" borderId="10" xfId="0" applyNumberFormat="1" applyFont="1" applyFill="1" applyBorder="1" applyAlignment="1">
      <alignment horizontal="center" vertical="center"/>
    </xf>
    <xf numFmtId="0" fontId="44" fillId="10" borderId="17" xfId="0" applyFont="1" applyFill="1" applyBorder="1" applyAlignment="1">
      <alignment horizontal="center" vertical="center"/>
    </xf>
    <xf numFmtId="0" fontId="45" fillId="10" borderId="10" xfId="0" applyFont="1" applyFill="1" applyBorder="1" applyAlignment="1">
      <alignment horizontal="center" vertical="center"/>
    </xf>
    <xf numFmtId="20" fontId="45" fillId="10" borderId="32" xfId="0" applyNumberFormat="1" applyFont="1" applyFill="1" applyBorder="1" applyAlignment="1">
      <alignment horizontal="center" vertical="center"/>
    </xf>
    <xf numFmtId="49" fontId="41" fillId="0" borderId="0" xfId="0" applyNumberFormat="1" applyFont="1" applyAlignment="1">
      <alignment vertical="center"/>
    </xf>
    <xf numFmtId="0" fontId="41" fillId="10" borderId="16" xfId="0" applyFont="1" applyFill="1" applyBorder="1" applyAlignment="1">
      <alignment vertical="center"/>
    </xf>
    <xf numFmtId="0" fontId="43" fillId="10" borderId="10" xfId="0" applyFont="1" applyFill="1" applyBorder="1" applyAlignment="1">
      <alignment horizontal="center" vertical="center"/>
    </xf>
    <xf numFmtId="49" fontId="49" fillId="10" borderId="10" xfId="0" applyNumberFormat="1" applyFont="1" applyFill="1" applyBorder="1" applyAlignment="1">
      <alignment horizontal="center" vertical="center"/>
    </xf>
    <xf numFmtId="175" fontId="41" fillId="10" borderId="10" xfId="0" applyNumberFormat="1" applyFont="1" applyFill="1" applyBorder="1" applyAlignment="1">
      <alignment horizontal="left" vertical="center"/>
    </xf>
    <xf numFmtId="175" fontId="42" fillId="0" borderId="10" xfId="0" applyNumberFormat="1" applyFont="1" applyBorder="1"/>
    <xf numFmtId="175" fontId="42" fillId="0" borderId="8" xfId="0" applyNumberFormat="1" applyFont="1" applyBorder="1"/>
    <xf numFmtId="0" fontId="45" fillId="10" borderId="17" xfId="0" applyFont="1" applyFill="1" applyBorder="1" applyAlignment="1">
      <alignment vertical="center"/>
    </xf>
    <xf numFmtId="0" fontId="59" fillId="10" borderId="17" xfId="0" applyFont="1" applyFill="1" applyBorder="1" applyAlignment="1">
      <alignment vertical="center"/>
    </xf>
    <xf numFmtId="0" fontId="60" fillId="0" borderId="10" xfId="0" applyFont="1" applyBorder="1"/>
    <xf numFmtId="0" fontId="41" fillId="0" borderId="18" xfId="0" applyFont="1" applyBorder="1" applyAlignment="1">
      <alignment vertical="center"/>
    </xf>
    <xf numFmtId="0" fontId="43" fillId="10" borderId="15" xfId="0" applyFont="1" applyFill="1" applyBorder="1" applyAlignment="1">
      <alignment horizontal="center" vertical="center"/>
    </xf>
    <xf numFmtId="0" fontId="43" fillId="10" borderId="16" xfId="0" applyFont="1" applyFill="1" applyBorder="1" applyAlignment="1">
      <alignment horizontal="center" vertical="center"/>
    </xf>
    <xf numFmtId="0" fontId="43" fillId="10" borderId="20" xfId="0" applyFont="1" applyFill="1" applyBorder="1" applyAlignment="1">
      <alignment horizontal="center" vertical="center"/>
    </xf>
    <xf numFmtId="0" fontId="43" fillId="10" borderId="5" xfId="0" applyFont="1" applyFill="1" applyBorder="1" applyAlignment="1">
      <alignment horizontal="center" vertical="center"/>
    </xf>
    <xf numFmtId="49" fontId="41" fillId="10" borderId="32" xfId="0" applyNumberFormat="1" applyFont="1" applyFill="1" applyBorder="1" applyAlignment="1">
      <alignment horizontal="center" vertical="center"/>
    </xf>
    <xf numFmtId="0" fontId="43" fillId="10" borderId="10" xfId="0" applyFont="1" applyFill="1" applyBorder="1" applyAlignment="1">
      <alignment vertical="center"/>
    </xf>
    <xf numFmtId="49" fontId="41" fillId="10" borderId="10" xfId="0" applyNumberFormat="1" applyFont="1" applyFill="1" applyBorder="1" applyAlignment="1">
      <alignment horizontal="center" vertical="center"/>
    </xf>
    <xf numFmtId="49" fontId="42" fillId="0" borderId="10" xfId="0" applyNumberFormat="1" applyFont="1" applyBorder="1"/>
    <xf numFmtId="49" fontId="42" fillId="0" borderId="2" xfId="0" applyNumberFormat="1" applyFont="1" applyBorder="1"/>
    <xf numFmtId="0" fontId="41" fillId="10" borderId="10" xfId="0" applyFont="1" applyFill="1" applyBorder="1" applyAlignment="1">
      <alignment horizontal="center" vertical="center"/>
    </xf>
    <xf numFmtId="0" fontId="45" fillId="10" borderId="10" xfId="0" applyFont="1" applyFill="1" applyBorder="1" applyAlignment="1">
      <alignment horizontal="left" vertical="center"/>
    </xf>
    <xf numFmtId="0" fontId="59" fillId="10" borderId="17" xfId="0" applyFont="1" applyFill="1" applyBorder="1" applyAlignment="1">
      <alignment horizontal="left" vertical="center"/>
    </xf>
    <xf numFmtId="20" fontId="41" fillId="10" borderId="32" xfId="0" applyNumberFormat="1" applyFont="1" applyFill="1" applyBorder="1" applyAlignment="1">
      <alignment horizontal="center" vertical="center"/>
    </xf>
    <xf numFmtId="0" fontId="48" fillId="10" borderId="14" xfId="0" applyFont="1" applyFill="1" applyBorder="1" applyAlignment="1">
      <alignment horizontal="center" vertical="center"/>
    </xf>
    <xf numFmtId="0" fontId="42" fillId="0" borderId="18" xfId="0" applyFont="1" applyBorder="1"/>
    <xf numFmtId="0" fontId="41" fillId="5" borderId="14" xfId="0" applyFont="1" applyFill="1" applyBorder="1" applyAlignment="1">
      <alignment vertical="center"/>
    </xf>
    <xf numFmtId="14" fontId="45" fillId="10" borderId="10" xfId="0" applyNumberFormat="1" applyFont="1" applyFill="1" applyBorder="1" applyAlignment="1">
      <alignment horizontal="center" vertical="center"/>
    </xf>
    <xf numFmtId="1" fontId="44" fillId="10" borderId="17" xfId="0" applyNumberFormat="1" applyFont="1" applyFill="1" applyBorder="1" applyAlignment="1">
      <alignment horizontal="center" vertical="center"/>
    </xf>
    <xf numFmtId="0" fontId="45" fillId="10" borderId="32" xfId="0" applyFont="1" applyFill="1" applyBorder="1" applyAlignment="1">
      <alignment vertical="center"/>
    </xf>
    <xf numFmtId="14" fontId="45" fillId="10" borderId="32" xfId="0" applyNumberFormat="1" applyFont="1" applyFill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55" fillId="0" borderId="15" xfId="0" applyFont="1" applyBorder="1"/>
    <xf numFmtId="0" fontId="55" fillId="0" borderId="16" xfId="0" applyFont="1" applyBorder="1"/>
    <xf numFmtId="0" fontId="55" fillId="0" borderId="18" xfId="0" applyFont="1" applyBorder="1"/>
    <xf numFmtId="0" fontId="56" fillId="0" borderId="0" xfId="0" applyFont="1"/>
    <xf numFmtId="0" fontId="55" fillId="0" borderId="19" xfId="0" applyFont="1" applyBorder="1"/>
    <xf numFmtId="0" fontId="55" fillId="0" borderId="21" xfId="0" applyFont="1" applyBorder="1"/>
    <xf numFmtId="0" fontId="55" fillId="0" borderId="20" xfId="0" applyFont="1" applyBorder="1"/>
    <xf numFmtId="0" fontId="55" fillId="0" borderId="4" xfId="0" applyFont="1" applyBorder="1"/>
    <xf numFmtId="0" fontId="44" fillId="10" borderId="17" xfId="0" applyFont="1" applyFill="1" applyBorder="1" applyAlignment="1">
      <alignment horizontal="left" vertical="center"/>
    </xf>
    <xf numFmtId="0" fontId="41" fillId="13" borderId="10" xfId="0" applyFont="1" applyFill="1" applyBorder="1" applyAlignment="1">
      <alignment horizontal="center" vertical="center"/>
    </xf>
    <xf numFmtId="0" fontId="42" fillId="13" borderId="10" xfId="0" applyFont="1" applyFill="1" applyBorder="1"/>
    <xf numFmtId="49" fontId="41" fillId="10" borderId="10" xfId="0" applyNumberFormat="1" applyFont="1" applyFill="1" applyBorder="1" applyAlignment="1">
      <alignment horizontal="left" vertical="center"/>
    </xf>
    <xf numFmtId="0" fontId="59" fillId="10" borderId="10" xfId="0" applyFont="1" applyFill="1" applyBorder="1" applyAlignment="1">
      <alignment horizontal="center" vertical="center"/>
    </xf>
    <xf numFmtId="0" fontId="60" fillId="0" borderId="8" xfId="0" applyFont="1" applyBorder="1"/>
    <xf numFmtId="0" fontId="59" fillId="10" borderId="17" xfId="0" applyFont="1" applyFill="1" applyBorder="1" applyAlignment="1">
      <alignment horizontal="center" vertical="center"/>
    </xf>
    <xf numFmtId="49" fontId="41" fillId="10" borderId="17" xfId="0" applyNumberFormat="1" applyFont="1" applyFill="1" applyBorder="1" applyAlignment="1">
      <alignment horizontal="left" vertical="center"/>
    </xf>
    <xf numFmtId="0" fontId="44" fillId="10" borderId="10" xfId="0" applyFont="1" applyFill="1" applyBorder="1" applyAlignment="1">
      <alignment horizontal="center" vertical="center"/>
    </xf>
    <xf numFmtId="0" fontId="44" fillId="10" borderId="8" xfId="0" applyFont="1" applyFill="1" applyBorder="1" applyAlignment="1">
      <alignment horizontal="center" vertical="center"/>
    </xf>
    <xf numFmtId="0" fontId="44" fillId="10" borderId="17" xfId="0" applyFont="1" applyFill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/>
    </xf>
    <xf numFmtId="0" fontId="42" fillId="0" borderId="27" xfId="0" applyFont="1" applyBorder="1"/>
    <xf numFmtId="0" fontId="44" fillId="10" borderId="17" xfId="0" applyFont="1" applyFill="1" applyBorder="1" applyAlignment="1">
      <alignment vertical="center" wrapText="1"/>
    </xf>
    <xf numFmtId="49" fontId="44" fillId="10" borderId="22" xfId="0" applyNumberFormat="1" applyFont="1" applyFill="1" applyBorder="1" applyAlignment="1">
      <alignment horizontal="center" vertical="center"/>
    </xf>
    <xf numFmtId="0" fontId="42" fillId="0" borderId="23" xfId="0" applyFont="1" applyBorder="1"/>
    <xf numFmtId="0" fontId="42" fillId="0" borderId="24" xfId="0" applyFont="1" applyBorder="1"/>
    <xf numFmtId="0" fontId="42" fillId="0" borderId="28" xfId="0" applyFont="1" applyBorder="1"/>
    <xf numFmtId="0" fontId="42" fillId="0" borderId="29" xfId="0" applyFont="1" applyBorder="1"/>
    <xf numFmtId="0" fontId="42" fillId="0" borderId="30" xfId="0" applyFont="1" applyBorder="1"/>
    <xf numFmtId="171" fontId="41" fillId="0" borderId="17" xfId="0" applyNumberFormat="1" applyFont="1" applyBorder="1" applyAlignment="1">
      <alignment horizontal="left" vertical="center"/>
    </xf>
    <xf numFmtId="0" fontId="41" fillId="0" borderId="8" xfId="0" applyFont="1" applyBorder="1" applyAlignment="1">
      <alignment horizontal="center" vertical="center" wrapText="1"/>
    </xf>
    <xf numFmtId="171" fontId="43" fillId="0" borderId="17" xfId="0" applyNumberFormat="1" applyFont="1" applyBorder="1" applyAlignment="1">
      <alignment horizontal="left" vertical="center" wrapText="1"/>
    </xf>
    <xf numFmtId="171" fontId="43" fillId="0" borderId="10" xfId="0" applyNumberFormat="1" applyFont="1" applyBorder="1" applyAlignment="1">
      <alignment horizontal="left" vertical="center" wrapText="1"/>
    </xf>
    <xf numFmtId="171" fontId="43" fillId="0" borderId="8" xfId="0" applyNumberFormat="1" applyFont="1" applyBorder="1" applyAlignment="1">
      <alignment horizontal="left" vertical="center" wrapText="1"/>
    </xf>
    <xf numFmtId="0" fontId="43" fillId="10" borderId="25" xfId="0" applyFont="1" applyFill="1" applyBorder="1" applyAlignment="1">
      <alignment horizontal="center" vertical="center"/>
    </xf>
    <xf numFmtId="0" fontId="42" fillId="0" borderId="26" xfId="0" applyFont="1" applyBorder="1"/>
    <xf numFmtId="165" fontId="41" fillId="10" borderId="8" xfId="0" applyNumberFormat="1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 wrapText="1"/>
    </xf>
    <xf numFmtId="167" fontId="31" fillId="0" borderId="0" xfId="0" applyNumberFormat="1" applyFont="1" applyAlignment="1">
      <alignment horizontal="center" vertical="center" wrapText="1"/>
    </xf>
    <xf numFmtId="168" fontId="32" fillId="0" borderId="0" xfId="0" applyNumberFormat="1" applyFont="1" applyAlignment="1">
      <alignment horizontal="center" vertical="center"/>
    </xf>
    <xf numFmtId="164" fontId="41" fillId="10" borderId="17" xfId="0" applyNumberFormat="1" applyFont="1" applyFill="1" applyBorder="1" applyAlignment="1">
      <alignment vertical="center"/>
    </xf>
    <xf numFmtId="174" fontId="41" fillId="10" borderId="10" xfId="0" applyNumberFormat="1" applyFont="1" applyFill="1" applyBorder="1" applyAlignment="1">
      <alignment horizontal="center" vertical="center"/>
    </xf>
    <xf numFmtId="0" fontId="53" fillId="0" borderId="17" xfId="0" applyFont="1" applyBorder="1" applyAlignment="1">
      <alignment horizontal="center" vertical="center"/>
    </xf>
    <xf numFmtId="0" fontId="45" fillId="10" borderId="10" xfId="0" applyFont="1" applyFill="1" applyBorder="1" applyAlignment="1">
      <alignment vertical="center"/>
    </xf>
    <xf numFmtId="0" fontId="47" fillId="0" borderId="14" xfId="0" applyFont="1" applyBorder="1" applyAlignment="1">
      <alignment horizontal="center" vertical="center"/>
    </xf>
    <xf numFmtId="49" fontId="45" fillId="10" borderId="10" xfId="0" applyNumberFormat="1" applyFont="1" applyFill="1" applyBorder="1" applyAlignment="1">
      <alignment horizontal="center" vertical="center"/>
    </xf>
    <xf numFmtId="49" fontId="44" fillId="10" borderId="17" xfId="0" applyNumberFormat="1" applyFont="1" applyFill="1" applyBorder="1" applyAlignment="1">
      <alignment horizontal="center" vertical="center"/>
    </xf>
    <xf numFmtId="21" fontId="43" fillId="10" borderId="17" xfId="0" applyNumberFormat="1" applyFont="1" applyFill="1" applyBorder="1" applyAlignment="1">
      <alignment horizontal="center" vertical="center"/>
    </xf>
    <xf numFmtId="20" fontId="45" fillId="10" borderId="10" xfId="0" applyNumberFormat="1" applyFont="1" applyFill="1" applyBorder="1" applyAlignment="1">
      <alignment horizontal="center" vertical="center"/>
    </xf>
    <xf numFmtId="20" fontId="41" fillId="10" borderId="10" xfId="0" applyNumberFormat="1" applyFont="1" applyFill="1" applyBorder="1" applyAlignment="1">
      <alignment horizontal="center" vertical="center"/>
    </xf>
    <xf numFmtId="0" fontId="41" fillId="10" borderId="10" xfId="0" applyFont="1" applyFill="1" applyBorder="1" applyAlignment="1">
      <alignment horizontal="left" vertical="center"/>
    </xf>
    <xf numFmtId="172" fontId="41" fillId="0" borderId="17" xfId="0" applyNumberFormat="1" applyFont="1" applyBorder="1" applyAlignment="1">
      <alignment horizontal="center" vertical="center"/>
    </xf>
  </cellXfs>
  <cellStyles count="896">
    <cellStyle name="Moeda" xfId="893" builtinId="4"/>
    <cellStyle name="Normal" xfId="0" builtinId="0"/>
    <cellStyle name="Normal 10" xfId="19" xr:uid="{4EEE6880-B589-4D16-803A-31DE541A076A}"/>
    <cellStyle name="Normal 10 2" xfId="83" xr:uid="{A7B1F594-C686-4C1F-A5D0-68117F938C38}"/>
    <cellStyle name="Normal 10 2 2" xfId="381" xr:uid="{6540324F-BD71-4D7C-A141-CB73CF73598A}"/>
    <cellStyle name="Normal 10 2 2 2" xfId="827" xr:uid="{6A3D6977-ED8A-459C-BDFB-F0FBA9AB3B39}"/>
    <cellStyle name="Normal 10 2 3" xfId="232" xr:uid="{C0BB3FE1-4BF1-4670-99E7-51CBF57C9E6C}"/>
    <cellStyle name="Normal 10 2 3 2" xfId="679" xr:uid="{5985B8FF-D25C-43EC-9CA5-F45DD5971474}"/>
    <cellStyle name="Normal 10 2 4" xfId="531" xr:uid="{9CF633DB-CEDB-4813-8012-A9397188FCF2}"/>
    <cellStyle name="Normal 10 3" xfId="317" xr:uid="{C78CDCC5-FED0-43F1-BF99-99D49D34DA74}"/>
    <cellStyle name="Normal 10 3 2" xfId="763" xr:uid="{D110CB91-8F2E-47EA-96CB-F921780F3336}"/>
    <cellStyle name="Normal 10 4" xfId="168" xr:uid="{E4659061-D5FD-478C-8427-E1563DD8DDC2}"/>
    <cellStyle name="Normal 10 4 2" xfId="615" xr:uid="{30219930-FF48-4344-B965-4988C965EAD8}"/>
    <cellStyle name="Normal 10 5" xfId="467" xr:uid="{D96444F5-A8ED-4AF1-92C6-F53B1D7AB424}"/>
    <cellStyle name="Normal 11" xfId="20" xr:uid="{A49A92CF-E2EA-4E03-89F0-F8E4A8138973}"/>
    <cellStyle name="Normal 11 2" xfId="84" xr:uid="{3D95CE56-AE58-40EA-9B65-3EC4F42024D4}"/>
    <cellStyle name="Normal 11 2 2" xfId="382" xr:uid="{BF24D2CF-3495-4B72-8B80-1E1DD098A1E6}"/>
    <cellStyle name="Normal 11 2 2 2" xfId="828" xr:uid="{7F45C760-D477-4F8C-A0DA-6D37B61A10E8}"/>
    <cellStyle name="Normal 11 2 3" xfId="233" xr:uid="{A0A6B329-26E7-4E4A-953B-06997F760FEB}"/>
    <cellStyle name="Normal 11 2 3 2" xfId="680" xr:uid="{626158F4-4A60-4607-89AF-FD1F7AEB87D0}"/>
    <cellStyle name="Normal 11 2 4" xfId="532" xr:uid="{00623260-0029-478D-873C-67924131D279}"/>
    <cellStyle name="Normal 11 3" xfId="318" xr:uid="{D69A34F5-EE5E-4DDB-9D3A-A7BF3622CD32}"/>
    <cellStyle name="Normal 11 3 2" xfId="764" xr:uid="{3C7284D8-66E0-4FFE-A252-701164BF1B35}"/>
    <cellStyle name="Normal 11 4" xfId="87" xr:uid="{5073A7C8-01BE-43D3-B77B-08FA1B2E5A85}"/>
    <cellStyle name="Normal 11 4 2" xfId="385" xr:uid="{00E0EB51-2C0B-4A5D-9E46-C21F80DDACD2}"/>
    <cellStyle name="Normal 11 4 2 2" xfId="831" xr:uid="{84562D6F-6177-4CB7-8271-FAAFC571D4B4}"/>
    <cellStyle name="Normal 11 4 3" xfId="236" xr:uid="{72F5F6CE-4003-49CA-8D35-6473C6823FDB}"/>
    <cellStyle name="Normal 11 4 3 2" xfId="683" xr:uid="{5F868B0A-34E5-401E-BBED-A248DA6C7636}"/>
    <cellStyle name="Normal 11 4 4" xfId="535" xr:uid="{6F143689-79FB-42A0-867E-4CAF7A1216C7}"/>
    <cellStyle name="Normal 11 5" xfId="88" xr:uid="{02219866-1770-4B60-B46D-EC54892A565E}"/>
    <cellStyle name="Normal 11 5 2" xfId="386" xr:uid="{D37EA245-BB31-49E7-830E-42ADF85A12DF}"/>
    <cellStyle name="Normal 11 5 2 2" xfId="832" xr:uid="{B4EB45A1-D092-4EA9-A7ED-83FB04F8CD7F}"/>
    <cellStyle name="Normal 11 5 3" xfId="237" xr:uid="{D00615F8-BF71-46DE-ACDB-58443ACC3B65}"/>
    <cellStyle name="Normal 11 5 3 2" xfId="684" xr:uid="{C8053789-5C07-4CE1-962B-FAA2C83D9179}"/>
    <cellStyle name="Normal 11 5 4" xfId="536" xr:uid="{00B3DB0A-5180-4D29-87A2-B434F918FC11}"/>
    <cellStyle name="Normal 11 6" xfId="169" xr:uid="{37112951-01C7-463E-A20B-C272CF5A851C}"/>
    <cellStyle name="Normal 11 6 2" xfId="616" xr:uid="{AD905906-7B65-4CFD-A232-7D31EB601BE5}"/>
    <cellStyle name="Normal 11 7" xfId="468" xr:uid="{9109AABE-A5CB-4981-9228-2B52734354DE}"/>
    <cellStyle name="Normal 12" xfId="8" xr:uid="{04497F2E-1640-4188-9E48-A4434E707925}"/>
    <cellStyle name="Normal 12 2" xfId="14" xr:uid="{395B9E8D-E9B9-4526-B104-E039865DC0E4}"/>
    <cellStyle name="Normal 12 2 2" xfId="312" xr:uid="{9939CD97-8D2C-4BF2-9C4E-985FF186870F}"/>
    <cellStyle name="Normal 12 2 2 2" xfId="758" xr:uid="{16FEE056-0BA0-444E-A534-5C8A3F248F19}"/>
    <cellStyle name="Normal 12 2 3" xfId="163" xr:uid="{63B3288B-C7A2-4684-BBEE-0D2F344FD45D}"/>
    <cellStyle name="Normal 12 2 3 2" xfId="610" xr:uid="{4C9EBC79-C535-4E88-BFC5-F5E518B3537B}"/>
    <cellStyle name="Normal 12 2 4" xfId="462" xr:uid="{8B959C61-8807-4DB9-8EEE-2E53096C9784}"/>
    <cellStyle name="Normal 12 3" xfId="306" xr:uid="{61154E97-04E4-4AE3-B688-116E939CF057}"/>
    <cellStyle name="Normal 12 3 2" xfId="752" xr:uid="{5079D8FD-37F2-47D5-AB62-095C59E7DBBE}"/>
    <cellStyle name="Normal 12 4" xfId="157" xr:uid="{AA89A898-965B-445D-A1A0-52C4E081E22A}"/>
    <cellStyle name="Normal 12 4 2" xfId="604" xr:uid="{8AE1A51D-F7D2-4401-920E-CEB06CEF71B6}"/>
    <cellStyle name="Normal 12 5" xfId="456" xr:uid="{96853976-7EE7-4B58-AE02-7BB7032EBB20}"/>
    <cellStyle name="Normal 13" xfId="9" xr:uid="{79A02F7B-18CE-4262-BEAD-760127E5254C}"/>
    <cellStyle name="Normal 13 2" xfId="307" xr:uid="{7E9CE52F-3660-43A1-8701-74C24BEE3799}"/>
    <cellStyle name="Normal 13 2 2" xfId="753" xr:uid="{5FCE60D7-9EA0-4417-9DA6-0C1C3C182863}"/>
    <cellStyle name="Normal 13 3" xfId="158" xr:uid="{EF29BE2B-278D-4322-B715-D8C0D84F9777}"/>
    <cellStyle name="Normal 13 3 2" xfId="605" xr:uid="{CC130A8A-F709-4FF2-B527-71E57C8D7243}"/>
    <cellStyle name="Normal 13 4" xfId="457" xr:uid="{6FAC4E87-B667-46C3-A404-5904720021AF}"/>
    <cellStyle name="Normal 14" xfId="10" xr:uid="{726614BA-1D5F-40C3-B7EB-C5891FD654C5}"/>
    <cellStyle name="Normal 14 2" xfId="308" xr:uid="{A270AB40-07C1-4249-A1D3-59937F3D3C5B}"/>
    <cellStyle name="Normal 14 2 2" xfId="754" xr:uid="{1F94D7BD-7E2D-4EB5-85D6-70D2D0E3C302}"/>
    <cellStyle name="Normal 14 3" xfId="159" xr:uid="{AEE0D0E6-518D-41ED-8EAD-75A12F5870EA}"/>
    <cellStyle name="Normal 14 3 2" xfId="606" xr:uid="{1CFCDEEE-9BED-49FC-9374-768B9C9516AC}"/>
    <cellStyle name="Normal 14 4" xfId="458" xr:uid="{1C413C3F-6EFF-4981-930E-249E58C04726}"/>
    <cellStyle name="Normal 15" xfId="11" xr:uid="{46896536-2156-4B86-A7B0-6129C7AD35D9}"/>
    <cellStyle name="Normal 15 2" xfId="77" xr:uid="{9AC6B541-BCD2-4905-B158-634B5A467C59}"/>
    <cellStyle name="Normal 15 2 2" xfId="375" xr:uid="{419812B5-2D93-4562-9D4D-7A3A499ECB45}"/>
    <cellStyle name="Normal 15 2 2 2" xfId="821" xr:uid="{922B82D2-FDEB-452E-817F-5487199E4B72}"/>
    <cellStyle name="Normal 15 2 3" xfId="226" xr:uid="{32A3692E-6E58-4CFB-8E25-45D4B8876B4F}"/>
    <cellStyle name="Normal 15 2 3 2" xfId="673" xr:uid="{1D78D433-A642-43B5-9710-C340AE435F88}"/>
    <cellStyle name="Normal 15 2 4" xfId="525" xr:uid="{FBDAE5C9-DEDF-4A2D-87F2-AAD475179AC0}"/>
    <cellStyle name="Normal 15 3" xfId="309" xr:uid="{A677C34E-FCC1-49A0-B425-0F5650997519}"/>
    <cellStyle name="Normal 15 3 2" xfId="755" xr:uid="{7EA7D546-98EB-4F43-8647-E79C7B7F9B6E}"/>
    <cellStyle name="Normal 15 4" xfId="160" xr:uid="{9BA8EF6C-21B1-4510-A629-D2F145651503}"/>
    <cellStyle name="Normal 15 4 2" xfId="607" xr:uid="{1E092FA5-00E9-4392-B9A8-704245C5CB9B}"/>
    <cellStyle name="Normal 15 5" xfId="459" xr:uid="{264A32C3-5F8D-46A3-85CC-C76E1C029A53}"/>
    <cellStyle name="Normal 16" xfId="12" xr:uid="{29C89915-0153-40E5-8AA9-4022AD785C00}"/>
    <cellStyle name="Normal 16 2" xfId="310" xr:uid="{92B5B7DC-3A82-423D-B1A6-50834B9B1212}"/>
    <cellStyle name="Normal 16 2 2" xfId="756" xr:uid="{4753E3AE-93DA-40FA-8D9A-DF86C4D56CB4}"/>
    <cellStyle name="Normal 16 3" xfId="161" xr:uid="{2D459EFE-C55F-427F-9339-0C0ED42BA746}"/>
    <cellStyle name="Normal 16 3 2" xfId="608" xr:uid="{0BA399D3-A77E-4A95-8BA6-7B928FCE0B51}"/>
    <cellStyle name="Normal 16 4" xfId="460" xr:uid="{3EEAE194-3C47-4B2E-9A47-126A3EF490B9}"/>
    <cellStyle name="Normal 17" xfId="21" xr:uid="{226D7DC7-9510-45A2-A293-FCBC58D66BF0}"/>
    <cellStyle name="Normal 17 2" xfId="319" xr:uid="{B058D817-7C06-40D2-955A-C5387667A016}"/>
    <cellStyle name="Normal 17 2 2" xfId="765" xr:uid="{C42546B0-AF4A-4626-9280-48CCD2313602}"/>
    <cellStyle name="Normal 17 3" xfId="85" xr:uid="{6904B3A3-D032-4A99-9F36-9FC23A8DFBD1}"/>
    <cellStyle name="Normal 17 3 2" xfId="383" xr:uid="{B44E3E85-8E0D-454D-8553-AED41D7A6A21}"/>
    <cellStyle name="Normal 17 3 2 2" xfId="829" xr:uid="{A129E84F-B39D-4EE8-A023-FD1DC531D7B1}"/>
    <cellStyle name="Normal 17 3 3" xfId="234" xr:uid="{A3C48B85-1306-4CB7-BA76-880F1A50F1A0}"/>
    <cellStyle name="Normal 17 3 3 2" xfId="681" xr:uid="{AD186C7A-DEAE-4C8B-A323-8F4A98B04873}"/>
    <cellStyle name="Normal 17 3 4" xfId="533" xr:uid="{A58B3DF1-D0F2-4FC8-B763-296A2CA67894}"/>
    <cellStyle name="Normal 17 4" xfId="86" xr:uid="{D24D86D5-0E9E-4D40-873B-62C757C250FD}"/>
    <cellStyle name="Normal 17 4 2" xfId="384" xr:uid="{7CA71B55-0AB7-4A9F-93AF-4892076C4E86}"/>
    <cellStyle name="Normal 17 4 2 2" xfId="830" xr:uid="{AD849091-D6E3-46E6-89C9-712C82D74CA7}"/>
    <cellStyle name="Normal 17 4 3" xfId="235" xr:uid="{8D0E3EF4-B218-4E7D-8298-48980D3556E4}"/>
    <cellStyle name="Normal 17 4 3 2" xfId="682" xr:uid="{6440D5FF-359E-45C6-BE3B-D12D0DC82893}"/>
    <cellStyle name="Normal 17 4 4" xfId="534" xr:uid="{80F9C97A-67C3-4611-A3E0-9C577A2B8D40}"/>
    <cellStyle name="Normal 17 5" xfId="170" xr:uid="{AC7B7445-FB66-423A-B7BA-F54C0F596902}"/>
    <cellStyle name="Normal 17 5 2" xfId="617" xr:uid="{B1DEC065-5310-4E29-8A00-9B10992FD149}"/>
    <cellStyle name="Normal 17 6" xfId="469" xr:uid="{B37D5C73-8A1C-44A6-BFAF-462E4D0788BB}"/>
    <cellStyle name="Normal 18" xfId="22" xr:uid="{93458574-F14B-4FEB-B47D-9B52DFE57AA0}"/>
    <cellStyle name="Normal 18 10" xfId="128" xr:uid="{9D602134-1A33-4E13-983D-65A1BA8E20B1}"/>
    <cellStyle name="Normal 18 10 2" xfId="426" xr:uid="{2BEC26FB-5F11-4299-918E-371D1B7E6609}"/>
    <cellStyle name="Normal 18 10 2 2" xfId="872" xr:uid="{BC986F6B-1D8B-4C62-8976-36085243E7AB}"/>
    <cellStyle name="Normal 18 10 3" xfId="277" xr:uid="{68A7C33C-ACD1-4390-97B5-88EDCA074C1D}"/>
    <cellStyle name="Normal 18 10 3 2" xfId="724" xr:uid="{26AFFFEE-1693-4452-8B75-7E7F5B927D88}"/>
    <cellStyle name="Normal 18 10 4" xfId="576" xr:uid="{916F330A-8E36-41D1-AAEC-816662C706FA}"/>
    <cellStyle name="Normal 18 11" xfId="131" xr:uid="{381671E5-2411-4FB8-9462-F8637DB68C61}"/>
    <cellStyle name="Normal 18 11 2" xfId="429" xr:uid="{816DEEC8-7D4E-4397-BD0B-DFFFDFBBFC95}"/>
    <cellStyle name="Normal 18 11 2 2" xfId="875" xr:uid="{D837E102-D209-40DB-8477-0EE97E9F2F69}"/>
    <cellStyle name="Normal 18 11 3" xfId="280" xr:uid="{9CB8E2F3-08A4-4415-AE55-1088074A4476}"/>
    <cellStyle name="Normal 18 11 3 2" xfId="727" xr:uid="{1C7F4866-DCDC-46C6-B21B-CE9429615B6E}"/>
    <cellStyle name="Normal 18 11 4" xfId="579" xr:uid="{51E30326-4FF4-4FF7-AE2F-605F22739E4E}"/>
    <cellStyle name="Normal 18 12" xfId="134" xr:uid="{45A63BF6-9173-40F6-88FA-DAAE790A9FED}"/>
    <cellStyle name="Normal 18 12 2" xfId="432" xr:uid="{7EDAFC35-89B4-4EBF-9DF7-3AB579B84174}"/>
    <cellStyle name="Normal 18 12 2 2" xfId="878" xr:uid="{146C7AD1-C6B5-4B51-BBE5-9AB708ECB1AF}"/>
    <cellStyle name="Normal 18 12 3" xfId="283" xr:uid="{C6F2A866-44E4-4555-ADC2-F3B3650FBC0B}"/>
    <cellStyle name="Normal 18 12 3 2" xfId="730" xr:uid="{D9E7BD33-6E20-43E5-8EC3-40AF4D9843AE}"/>
    <cellStyle name="Normal 18 12 4" xfId="582" xr:uid="{392402E7-A65D-4763-B7C1-350393C1F9C0}"/>
    <cellStyle name="Normal 18 13" xfId="320" xr:uid="{7581D245-2401-4D6F-8C1B-DB53E447E15F}"/>
    <cellStyle name="Normal 18 13 2" xfId="766" xr:uid="{D000416E-FE17-453D-B59C-66A3A6B3FA0B}"/>
    <cellStyle name="Normal 18 14" xfId="171" xr:uid="{0BECC6CC-72D9-4285-870D-F87139363225}"/>
    <cellStyle name="Normal 18 14 2" xfId="618" xr:uid="{29CFAF33-2BEE-4365-A093-F9D818DBC686}"/>
    <cellStyle name="Normal 18 15" xfId="470" xr:uid="{0FA95B27-9C64-44F3-B2D2-3F946E4ABFDA}"/>
    <cellStyle name="Normal 18 2" xfId="89" xr:uid="{799D3A48-2C71-4B88-B45B-4D6B01749656}"/>
    <cellStyle name="Normal 18 2 2" xfId="387" xr:uid="{D75D69A9-FE5C-4E8D-84F6-CECA686F0571}"/>
    <cellStyle name="Normal 18 2 2 2" xfId="833" xr:uid="{81DE3670-0051-451B-842E-12BC8E0C4378}"/>
    <cellStyle name="Normal 18 2 3" xfId="238" xr:uid="{A7E9D22A-6C0A-4AE5-81A7-44B89A809082}"/>
    <cellStyle name="Normal 18 2 3 2" xfId="685" xr:uid="{8AC364CD-0439-4155-A58A-8B634CA43DFF}"/>
    <cellStyle name="Normal 18 2 4" xfId="537" xr:uid="{32E7B05E-8871-4DDD-B2A3-BFA514E8B7A3}"/>
    <cellStyle name="Normal 18 3" xfId="36" xr:uid="{D64A8410-94E3-480C-9E5A-3585A2B6F4CB}"/>
    <cellStyle name="Normal 18 3 2" xfId="334" xr:uid="{A45DB41D-494D-4C51-9879-44C2198A4FA8}"/>
    <cellStyle name="Normal 18 3 2 2" xfId="780" xr:uid="{3DD0936C-EA58-4933-81D0-683477B27929}"/>
    <cellStyle name="Normal 18 3 3" xfId="185" xr:uid="{93386804-AAD5-45F1-A105-8B06A4B760D7}"/>
    <cellStyle name="Normal 18 3 3 2" xfId="632" xr:uid="{3876E996-B449-42C5-BB00-EB12F2DCE689}"/>
    <cellStyle name="Normal 18 3 4" xfId="484" xr:uid="{C1836D42-49C1-4DA6-9481-E34196568B2C}"/>
    <cellStyle name="Normal 18 3 7" xfId="148" xr:uid="{A6F19455-9D78-43DB-9066-59962C83F62B}"/>
    <cellStyle name="Normal 18 3 7 2" xfId="446" xr:uid="{CF93AB62-E96A-4101-8759-674348617A6C}"/>
    <cellStyle name="Normal 18 3 7 2 2" xfId="892" xr:uid="{A35D43AF-1B49-46EC-88B6-7F598FA7EE29}"/>
    <cellStyle name="Normal 18 3 7 3" xfId="297" xr:uid="{0C0BB1EA-88A3-476E-B5C2-3CF3766A2A9C}"/>
    <cellStyle name="Normal 18 3 7 3 2" xfId="744" xr:uid="{85222F8D-A9A4-4237-BE94-E92CA26B16A2}"/>
    <cellStyle name="Normal 18 3 7 4" xfId="596" xr:uid="{8A441B8A-5E9F-441D-A51D-879654E8864B}"/>
    <cellStyle name="Normal 18 3 8" xfId="143" xr:uid="{C202DFF0-409D-429F-9041-33DE0013AD17}"/>
    <cellStyle name="Normal 18 3 8 2" xfId="441" xr:uid="{56DF7546-E7D7-4CF7-8FE1-3B8EFD6122A3}"/>
    <cellStyle name="Normal 18 3 8 2 2" xfId="887" xr:uid="{404A52AA-12AC-40B7-9099-FC4F505D2221}"/>
    <cellStyle name="Normal 18 3 8 3" xfId="292" xr:uid="{69C188AA-C6E0-4B50-8454-44F542135057}"/>
    <cellStyle name="Normal 18 3 8 3 2" xfId="739" xr:uid="{4A3C393E-30BF-4DFA-A359-490D24EA2536}"/>
    <cellStyle name="Normal 18 3 8 4" xfId="591" xr:uid="{9DF74569-5D00-46CD-95D4-D515116B56DE}"/>
    <cellStyle name="Normal 18 4" xfId="90" xr:uid="{7AD29C8D-1138-4CDA-B9F0-5C04F1F095D7}"/>
    <cellStyle name="Normal 18 4 2" xfId="388" xr:uid="{9A682E2E-F2CE-41D4-A75E-8C600DEAD4CA}"/>
    <cellStyle name="Normal 18 4 2 2" xfId="834" xr:uid="{CE87AC5B-33F8-45B7-BD25-C18292F2D7F2}"/>
    <cellStyle name="Normal 18 4 3" xfId="239" xr:uid="{A4CAA8C9-6E1E-4509-87AC-EBEC7696D572}"/>
    <cellStyle name="Normal 18 4 3 2" xfId="686" xr:uid="{FDD5CDFE-ED2A-4C5A-A604-AEBA7F3A0A75}"/>
    <cellStyle name="Normal 18 4 4" xfId="538" xr:uid="{DF31B5F6-16BC-4F73-94A9-91AEC8077DC2}"/>
    <cellStyle name="Normal 18 5" xfId="91" xr:uid="{92F66AA5-479F-4F29-ABAF-19803B41672F}"/>
    <cellStyle name="Normal 18 5 2" xfId="389" xr:uid="{C48EEEC3-319D-47B5-A2EB-CBE062F63CF4}"/>
    <cellStyle name="Normal 18 5 2 2" xfId="835" xr:uid="{A9CEBFBB-EC10-4628-AE82-4E9E423506E5}"/>
    <cellStyle name="Normal 18 5 3" xfId="240" xr:uid="{84C447E2-2021-4306-B6A3-7579BD2353A9}"/>
    <cellStyle name="Normal 18 5 3 2" xfId="687" xr:uid="{029FB0C5-5D39-4129-B3A7-D11754C380C4}"/>
    <cellStyle name="Normal 18 5 4" xfId="539" xr:uid="{1DA669A7-82BF-409F-915D-316D3C6ED98C}"/>
    <cellStyle name="Normal 18 6" xfId="111" xr:uid="{CA5A1012-4C83-4424-A73A-56251CCBE7E3}"/>
    <cellStyle name="Normal 18 6 2" xfId="409" xr:uid="{6CB3A2FD-D539-49E2-B26B-DCBE9380F9AA}"/>
    <cellStyle name="Normal 18 6 2 2" xfId="855" xr:uid="{16445718-0B4B-4035-BBD2-B0DC86347523}"/>
    <cellStyle name="Normal 18 6 3" xfId="260" xr:uid="{97736A1F-FBAA-4951-835D-7A6F87495545}"/>
    <cellStyle name="Normal 18 6 3 2" xfId="707" xr:uid="{814BEAF4-0783-4FA9-A72B-54A755FF7E4B}"/>
    <cellStyle name="Normal 18 6 4" xfId="559" xr:uid="{F815130D-B3A7-4B68-A3B5-161F4ED751DE}"/>
    <cellStyle name="Normal 18 7" xfId="120" xr:uid="{DE411603-9C35-4E5C-ABD8-BBBF3452045C}"/>
    <cellStyle name="Normal 18 7 2" xfId="418" xr:uid="{7487B7EC-459C-4DEC-8748-DC968209900D}"/>
    <cellStyle name="Normal 18 7 2 2" xfId="864" xr:uid="{0E7BED9C-EA78-4726-9BBE-E090533177E4}"/>
    <cellStyle name="Normal 18 7 3" xfId="269" xr:uid="{E7FDA925-DDA4-41AB-8F37-FD801E33953D}"/>
    <cellStyle name="Normal 18 7 3 2" xfId="716" xr:uid="{831F1808-D2EE-42A0-B456-A171F156247C}"/>
    <cellStyle name="Normal 18 7 4" xfId="568" xr:uid="{23F32949-30F3-4713-B680-64455F6F8ACC}"/>
    <cellStyle name="Normal 18 8" xfId="122" xr:uid="{380AA206-D096-4FD1-B02B-0B3D93F2F2E6}"/>
    <cellStyle name="Normal 18 8 2" xfId="420" xr:uid="{879F96D1-DB97-41DE-B6DD-798D3E7C9492}"/>
    <cellStyle name="Normal 18 8 2 2" xfId="866" xr:uid="{DEF4E0C4-999E-42DD-B228-94D13089F902}"/>
    <cellStyle name="Normal 18 8 3" xfId="271" xr:uid="{52AB8B1B-7FD2-469C-AFE1-E6A4123F7464}"/>
    <cellStyle name="Normal 18 8 3 2" xfId="718" xr:uid="{B483B608-1283-41D5-B708-69F499DD3C93}"/>
    <cellStyle name="Normal 18 8 4" xfId="570" xr:uid="{7C02C7CE-F475-434D-B089-BA17C7D007FE}"/>
    <cellStyle name="Normal 18 9" xfId="124" xr:uid="{07FD8F52-B24C-4C3D-B7E3-6BBF13AAE0A1}"/>
    <cellStyle name="Normal 18 9 2" xfId="422" xr:uid="{15CE8B03-1E99-4F08-8303-B92B696F973C}"/>
    <cellStyle name="Normal 18 9 2 2" xfId="868" xr:uid="{FBAC4DC6-D5F8-491F-983F-1648EAE5F100}"/>
    <cellStyle name="Normal 18 9 3" xfId="273" xr:uid="{DF0DFC7A-FB00-4C77-B6A9-0F1ABE70588B}"/>
    <cellStyle name="Normal 18 9 3 2" xfId="720" xr:uid="{98AD52B4-AE1A-4223-8158-E7960B53A365}"/>
    <cellStyle name="Normal 18 9 4" xfId="572" xr:uid="{D23BBF6C-0295-4183-AD98-41052B3BA700}"/>
    <cellStyle name="Normal 19" xfId="17" xr:uid="{DF8872D6-DF19-44FD-9016-E4722E00D7BA}"/>
    <cellStyle name="Normal 19 2" xfId="80" xr:uid="{AF67D2C6-AE41-42B2-80F3-1D1085C750E2}"/>
    <cellStyle name="Normal 19 2 2" xfId="378" xr:uid="{5BAB82F1-FC6B-414F-A35E-6D2884097544}"/>
    <cellStyle name="Normal 19 2 2 2" xfId="824" xr:uid="{D028779E-C5F2-459A-B1C0-F2DF5B7C8490}"/>
    <cellStyle name="Normal 19 2 3" xfId="229" xr:uid="{DED905E7-CBCA-4A6A-B00E-DAFBBEC0BB36}"/>
    <cellStyle name="Normal 19 2 3 2" xfId="676" xr:uid="{F2C64361-CE57-412B-A216-8BEDDD284CBA}"/>
    <cellStyle name="Normal 19 2 4" xfId="528" xr:uid="{E108EE34-E210-49AD-9CE3-BDE81D6BE119}"/>
    <cellStyle name="Normal 19 3" xfId="315" xr:uid="{6F39BEAC-CF5C-4F76-A44F-2ABA61D54F41}"/>
    <cellStyle name="Normal 19 3 2" xfId="761" xr:uid="{2397A9D0-30B2-4818-9403-55A1679C9DB1}"/>
    <cellStyle name="Normal 19 4" xfId="166" xr:uid="{12830730-ED4B-4226-BFAD-39D7B446A714}"/>
    <cellStyle name="Normal 19 4 2" xfId="613" xr:uid="{7490323F-3096-460C-8D80-442E4E211FBC}"/>
    <cellStyle name="Normal 19 5" xfId="465" xr:uid="{5E4D6F0A-DF87-4418-A627-832F3FD13A13}"/>
    <cellStyle name="Normal 2" xfId="1" xr:uid="{00000000-0005-0000-0000-000001000000}"/>
    <cellStyle name="Normal 2 2" xfId="299" xr:uid="{09BFD70D-C3DB-400E-8417-CD5D0758590C}"/>
    <cellStyle name="Normal 2 2 2" xfId="745" xr:uid="{B4C23A43-133F-4D3D-AFFF-1DAB9ADC3CAA}"/>
    <cellStyle name="Normal 2 3" xfId="150" xr:uid="{7C925D31-8623-4E0B-B5DA-6AF690BBD03F}"/>
    <cellStyle name="Normal 2 3 2" xfId="597" xr:uid="{4AC75CA0-7EA1-4755-AFE6-E47E2CFC6A69}"/>
    <cellStyle name="Normal 2 4" xfId="449" xr:uid="{DBEB095A-02B2-4BD0-BBE6-20F90BAC9E18}"/>
    <cellStyle name="Normal 20" xfId="18" xr:uid="{DAA146FE-4D09-4BD7-811C-F4CF435A15A3}"/>
    <cellStyle name="Normal 20 2" xfId="316" xr:uid="{ACA36EF1-0DBE-452C-875E-F8D75D6F1133}"/>
    <cellStyle name="Normal 20 2 2" xfId="762" xr:uid="{3FED31EE-106A-4836-A724-7F65B98CA01B}"/>
    <cellStyle name="Normal 20 3" xfId="167" xr:uid="{F56D858E-402B-439C-8495-B12FC2AFF9B9}"/>
    <cellStyle name="Normal 20 3 2" xfId="614" xr:uid="{ED7F3369-6F40-4166-8D61-2348A01D74D1}"/>
    <cellStyle name="Normal 20 4" xfId="466" xr:uid="{67CEDB40-2680-45E5-8FF6-A4ED858CE3BC}"/>
    <cellStyle name="Normal 20 5" xfId="81" xr:uid="{0ABD32FD-6B68-47F2-8E0B-CDF59706CD8F}"/>
    <cellStyle name="Normal 20 5 2" xfId="379" xr:uid="{C3187715-1DF2-4483-B4FE-0B078810CCCC}"/>
    <cellStyle name="Normal 20 5 2 2" xfId="825" xr:uid="{081E0E38-3967-4474-A6D9-283823275A9E}"/>
    <cellStyle name="Normal 20 5 3" xfId="230" xr:uid="{2E96C1D9-F3C7-44F7-9C21-B2A9D28F8DC9}"/>
    <cellStyle name="Normal 20 5 3 2" xfId="677" xr:uid="{66FCF3B0-20EC-4AC5-B0F5-027A3241E0EA}"/>
    <cellStyle name="Normal 20 5 4" xfId="529" xr:uid="{35A17444-A54A-432A-9A12-01863474452F}"/>
    <cellStyle name="Normal 21" xfId="23" xr:uid="{1157171D-9B0F-4BCC-BD89-AC9CD9338310}"/>
    <cellStyle name="Normal 21 2" xfId="113" xr:uid="{EC61EB85-54E2-486E-9A89-5EFA206F81BA}"/>
    <cellStyle name="Normal 21 2 2" xfId="411" xr:uid="{D3EB5298-61B9-4B5B-BD6B-6F73F460CD86}"/>
    <cellStyle name="Normal 21 2 2 2" xfId="857" xr:uid="{4C29F652-0EC8-4D73-99A1-68EC77FB56B9}"/>
    <cellStyle name="Normal 21 2 3" xfId="262" xr:uid="{D141E330-A748-476C-88BB-38DFE2B970A7}"/>
    <cellStyle name="Normal 21 2 3 2" xfId="709" xr:uid="{7B51F223-B464-4AD0-8089-3D3711B8763F}"/>
    <cellStyle name="Normal 21 2 4" xfId="561" xr:uid="{E5B43AAE-2B7E-46AF-98AC-BFF3F1791BEC}"/>
    <cellStyle name="Normal 21 3" xfId="321" xr:uid="{60C64F54-6FAB-406D-BF81-7D310CACB231}"/>
    <cellStyle name="Normal 21 3 2" xfId="767" xr:uid="{C312E5DF-5514-46C2-AC15-A791978CE097}"/>
    <cellStyle name="Normal 21 4" xfId="172" xr:uid="{D6BA236B-EF7F-4D60-8B49-5122074B98B1}"/>
    <cellStyle name="Normal 21 4 2" xfId="619" xr:uid="{4076E6A7-4954-403E-9B28-4B864B9F9A7C}"/>
    <cellStyle name="Normal 21 5" xfId="471" xr:uid="{3A23473A-B9DA-44B0-A0DD-753944A8A60E}"/>
    <cellStyle name="Normal 22" xfId="24" xr:uid="{7EC08C6A-F8EA-4330-BC9E-EB191D6DF354}"/>
    <cellStyle name="Normal 22 2" xfId="94" xr:uid="{93479673-452E-483F-8502-20BC6F275B8B}"/>
    <cellStyle name="Normal 22 2 2" xfId="115" xr:uid="{2A768692-FA82-404C-AE13-07D654334D91}"/>
    <cellStyle name="Normal 22 2 2 2" xfId="413" xr:uid="{C2002158-B07C-485E-827C-F61D7E8347BE}"/>
    <cellStyle name="Normal 22 2 2 2 2" xfId="859" xr:uid="{5E505C18-A365-444D-8533-AA9D0AA37E1B}"/>
    <cellStyle name="Normal 22 2 2 3" xfId="264" xr:uid="{688FAB22-FB12-4710-B566-EBB88FB17ECE}"/>
    <cellStyle name="Normal 22 2 2 3 2" xfId="711" xr:uid="{B11FCA23-CABA-4EC7-97A3-2540F2840A1E}"/>
    <cellStyle name="Normal 22 2 2 4" xfId="563" xr:uid="{15030C5E-1C64-4447-8678-CB5AF5616108}"/>
    <cellStyle name="Normal 22 2 3" xfId="392" xr:uid="{FA36DE15-641A-4A1F-8B62-91F66C11EC25}"/>
    <cellStyle name="Normal 22 2 3 2" xfId="838" xr:uid="{B450B552-099D-47BD-B906-43D153487A1E}"/>
    <cellStyle name="Normal 22 2 4" xfId="243" xr:uid="{6097F1AC-B2EC-454B-9632-E01BFB86D672}"/>
    <cellStyle name="Normal 22 2 4 2" xfId="690" xr:uid="{26880138-9512-4AEA-8778-36B620309ABF}"/>
    <cellStyle name="Normal 22 2 5" xfId="542" xr:uid="{17F5E305-920B-4187-8C64-33CA125A763C}"/>
    <cellStyle name="Normal 22 3" xfId="114" xr:uid="{91CB7E04-1D0D-48F7-890B-E0BA535BAFA1}"/>
    <cellStyle name="Normal 22 3 2" xfId="412" xr:uid="{72EC6EFD-DE8C-49B4-99C8-DCE7BB03C2BB}"/>
    <cellStyle name="Normal 22 3 2 2" xfId="858" xr:uid="{74650404-22C9-49A1-902F-23AAAD4FB240}"/>
    <cellStyle name="Normal 22 3 3" xfId="263" xr:uid="{723B1F85-EEAB-440D-955B-9CD705BE6882}"/>
    <cellStyle name="Normal 22 3 3 2" xfId="710" xr:uid="{B579CCFA-6DF0-46AF-90AC-822DCDD940F3}"/>
    <cellStyle name="Normal 22 3 4" xfId="562" xr:uid="{DF2ED0D5-05FC-40CB-8B4F-DEC0B2889C6C}"/>
    <cellStyle name="Normal 22 4" xfId="322" xr:uid="{9AF09B84-A269-4D88-BCC9-132BE26916C2}"/>
    <cellStyle name="Normal 22 4 2" xfId="768" xr:uid="{915D7BBE-1CAE-45B9-869C-FDFE2CC0AB55}"/>
    <cellStyle name="Normal 22 5" xfId="173" xr:uid="{66F4F991-92AD-4D07-BA9E-EB9A7BFF838B}"/>
    <cellStyle name="Normal 22 5 2" xfId="620" xr:uid="{ADBA4AC2-D55C-48CF-8D89-F0EF0CA8BBB1}"/>
    <cellStyle name="Normal 22 6" xfId="472" xr:uid="{C19BE7B2-FA05-4857-8835-31F55846BD11}"/>
    <cellStyle name="Normal 23" xfId="25" xr:uid="{F3695C56-9109-4CF4-867B-7A2E32BE592B}"/>
    <cellStyle name="Normal 23 2" xfId="323" xr:uid="{D1DBDA30-A372-44B4-A06C-7E7783EE802E}"/>
    <cellStyle name="Normal 23 2 2" xfId="769" xr:uid="{04F807E8-2A47-4D81-8806-C40B334CBB6A}"/>
    <cellStyle name="Normal 23 3" xfId="174" xr:uid="{805B0DD1-1EB2-409F-8F60-B05409237958}"/>
    <cellStyle name="Normal 23 3 2" xfId="621" xr:uid="{EB086735-AB4F-4E0D-9659-C54006F27F4E}"/>
    <cellStyle name="Normal 23 4" xfId="116" xr:uid="{ABA2ECB4-F4D4-44B3-BF80-380B8A9FDF7F}"/>
    <cellStyle name="Normal 23 4 2" xfId="414" xr:uid="{2B73A20E-7491-40E9-9DE9-EAAA69541E81}"/>
    <cellStyle name="Normal 23 4 2 2" xfId="860" xr:uid="{863C7CF4-06AF-458F-B77E-553FD631A3F5}"/>
    <cellStyle name="Normal 23 4 3" xfId="265" xr:uid="{BB333E57-EADD-4243-B9E8-29E20E810C6C}"/>
    <cellStyle name="Normal 23 4 3 2" xfId="712" xr:uid="{A3A2FC46-27DA-47FB-858C-5C8524A212DE}"/>
    <cellStyle name="Normal 23 4 4" xfId="564" xr:uid="{B86FB9FF-7169-4273-9BB0-38142654B7A4}"/>
    <cellStyle name="Normal 23 5" xfId="473" xr:uid="{3BA7AEF7-394E-4A29-BCB0-48A7B2110F75}"/>
    <cellStyle name="Normal 24" xfId="27" xr:uid="{AEF6BA12-9004-4763-A913-717F22A2E2C1}"/>
    <cellStyle name="Normal 24 2" xfId="119" xr:uid="{71A32018-3A66-429B-AD90-1D6416BB0419}"/>
    <cellStyle name="Normal 24 2 2" xfId="417" xr:uid="{6DDCD344-F968-4036-95F7-7BC23655A470}"/>
    <cellStyle name="Normal 24 2 2 2" xfId="863" xr:uid="{F51680B1-72F7-4B25-8563-FA8684D1BB12}"/>
    <cellStyle name="Normal 24 2 3" xfId="268" xr:uid="{5FB4C77D-8486-4830-B874-532F50CEF456}"/>
    <cellStyle name="Normal 24 2 3 2" xfId="715" xr:uid="{74434CDB-DB97-4881-A7A0-DFDA31124A83}"/>
    <cellStyle name="Normal 24 2 4" xfId="567" xr:uid="{0FE0DAAE-20DC-4EC0-931D-0C9AF281360B}"/>
    <cellStyle name="Normal 24 3" xfId="118" xr:uid="{2AE001C0-B878-4190-92F2-683EC1E2EB39}"/>
    <cellStyle name="Normal 24 3 2" xfId="416" xr:uid="{2C663C21-CEE1-451B-9927-A9C9449B169C}"/>
    <cellStyle name="Normal 24 3 2 2" xfId="862" xr:uid="{3043DAAB-CC7B-45F5-9CB1-3AC9F6E0E0A9}"/>
    <cellStyle name="Normal 24 3 3" xfId="267" xr:uid="{C49DC776-BED7-45E1-8240-36A58432CC70}"/>
    <cellStyle name="Normal 24 3 3 2" xfId="714" xr:uid="{8ADB2108-3FD4-4BC5-92B9-3BEE45C8675D}"/>
    <cellStyle name="Normal 24 3 4" xfId="566" xr:uid="{704399DA-0FB7-48BA-A5DC-E456C00D079C}"/>
    <cellStyle name="Normal 24 4" xfId="117" xr:uid="{766D8243-EE73-4599-B87D-60917C86564E}"/>
    <cellStyle name="Normal 24 4 2" xfId="415" xr:uid="{F2D9AC64-F9CC-465D-85FD-17058181EF24}"/>
    <cellStyle name="Normal 24 4 2 2" xfId="861" xr:uid="{6BF14778-56C8-4C00-BF52-A219CB0F6909}"/>
    <cellStyle name="Normal 24 4 3" xfId="266" xr:uid="{C169D15E-C1C2-472F-9CAA-DBAA46DB720F}"/>
    <cellStyle name="Normal 24 4 3 2" xfId="713" xr:uid="{4254CA81-173C-42EC-9711-9A115CC0BE91}"/>
    <cellStyle name="Normal 24 4 4" xfId="565" xr:uid="{B5602450-B5F4-4A9D-AE94-9D266073E6F1}"/>
    <cellStyle name="Normal 24 5" xfId="325" xr:uid="{DC29EE4B-C7E1-49E6-B592-99B77DF06BED}"/>
    <cellStyle name="Normal 24 5 2" xfId="771" xr:uid="{259EBDE2-5CB3-4485-A934-E14F6C11C2CA}"/>
    <cellStyle name="Normal 24 6" xfId="176" xr:uid="{9AB687C7-CC27-4AC3-BB76-2EBF63F543B7}"/>
    <cellStyle name="Normal 24 6 2" xfId="623" xr:uid="{55F60321-C1B2-4C12-AA57-7DC441EF448F}"/>
    <cellStyle name="Normal 24 7" xfId="475" xr:uid="{F1BB3459-203C-40E6-BE72-55483EBDF261}"/>
    <cellStyle name="Normal 25" xfId="28" xr:uid="{B4C5B66C-90BD-4F3A-8267-C3CFC55654A1}"/>
    <cellStyle name="Normal 25 2" xfId="125" xr:uid="{34313355-7975-49F1-878B-0C1151D7A0DA}"/>
    <cellStyle name="Normal 25 2 2" xfId="423" xr:uid="{5ECE9ECC-22DE-481D-A7B6-4BFE3BF46C76}"/>
    <cellStyle name="Normal 25 2 2 2" xfId="869" xr:uid="{21B43C84-2221-4AF5-A66B-83CFCB7DE3C8}"/>
    <cellStyle name="Normal 25 2 3" xfId="274" xr:uid="{FACA0D9C-2D4E-4794-A8CD-A3A2837DE58A}"/>
    <cellStyle name="Normal 25 2 3 2" xfId="721" xr:uid="{8DD3E499-325B-4F52-A240-2B8E2B5160A8}"/>
    <cellStyle name="Normal 25 2 4" xfId="573" xr:uid="{A51D3021-961C-4236-84E0-FE9528958036}"/>
    <cellStyle name="Normal 25 3" xfId="129" xr:uid="{3E10989F-D94D-40CA-8978-4C3268192D36}"/>
    <cellStyle name="Normal 25 3 2" xfId="427" xr:uid="{A3D10598-B1D0-4569-BCE4-A10FFAE30F7C}"/>
    <cellStyle name="Normal 25 3 2 2" xfId="873" xr:uid="{43A950BE-AA72-43FD-94E7-134BB3C381CC}"/>
    <cellStyle name="Normal 25 3 3" xfId="278" xr:uid="{03A125E1-1A2E-43F1-99E7-E51F29FBBDE7}"/>
    <cellStyle name="Normal 25 3 3 2" xfId="725" xr:uid="{B2435592-0E9A-4C99-84AA-58F4E18E4EB0}"/>
    <cellStyle name="Normal 25 3 4" xfId="577" xr:uid="{0ECE6E0D-3CBE-46E8-9B13-AF63261FEA05}"/>
    <cellStyle name="Normal 25 4" xfId="121" xr:uid="{A5B166E4-C5E6-47CD-A653-095C650FBE02}"/>
    <cellStyle name="Normal 25 4 2" xfId="419" xr:uid="{BC9DE9D3-4470-4B38-95C4-877EF2367075}"/>
    <cellStyle name="Normal 25 4 2 2" xfId="865" xr:uid="{12AD6745-0221-47CD-953E-00F8AFF79318}"/>
    <cellStyle name="Normal 25 4 3" xfId="270" xr:uid="{33556AF1-E26C-474B-87A2-D4C08A367BD8}"/>
    <cellStyle name="Normal 25 4 3 2" xfId="717" xr:uid="{2E1B567A-CF07-4D03-8BD0-0FA82A6DC101}"/>
    <cellStyle name="Normal 25 4 4" xfId="569" xr:uid="{147885B5-AB16-4EFD-99ED-9DEEACC99394}"/>
    <cellStyle name="Normal 25 5" xfId="132" xr:uid="{8AEE96FC-998C-4B36-88F6-F400B95F6313}"/>
    <cellStyle name="Normal 25 5 2" xfId="430" xr:uid="{A1024C62-14D2-4AB0-887E-DDB0E3737817}"/>
    <cellStyle name="Normal 25 5 2 2" xfId="876" xr:uid="{3F367737-B69A-402E-A40F-87E828887ADE}"/>
    <cellStyle name="Normal 25 5 3" xfId="281" xr:uid="{2DECD5FB-F7E6-482B-B003-D5CA9A6A24BB}"/>
    <cellStyle name="Normal 25 5 3 2" xfId="728" xr:uid="{355CED51-64D3-425A-B3C5-70BC6F45CB17}"/>
    <cellStyle name="Normal 25 5 4" xfId="580" xr:uid="{3EE706FB-A9E4-4152-B313-78EA7C18EEC8}"/>
    <cellStyle name="Normal 25 6" xfId="135" xr:uid="{17B4CCA7-B4C4-4571-913A-FA50A53D4B3C}"/>
    <cellStyle name="Normal 25 6 2" xfId="433" xr:uid="{C0F22742-5598-45B4-9062-5A307A4AAEAC}"/>
    <cellStyle name="Normal 25 6 2 2" xfId="879" xr:uid="{63BC8624-D57F-42B8-AA31-14DCCE1EE6E2}"/>
    <cellStyle name="Normal 25 6 3" xfId="284" xr:uid="{DC66A6C7-5A0F-4BB3-A2AD-8A66BE55CCF4}"/>
    <cellStyle name="Normal 25 6 3 2" xfId="731" xr:uid="{2A6A7219-1C07-4828-AE77-E280AD03195A}"/>
    <cellStyle name="Normal 25 6 4" xfId="583" xr:uid="{D2CB05DC-C5AD-4F53-86F1-D982E1134488}"/>
    <cellStyle name="Normal 25 7" xfId="326" xr:uid="{763A2DA7-D8C4-434F-AF7A-DACAE169171C}"/>
    <cellStyle name="Normal 25 7 2" xfId="772" xr:uid="{BF6CDDA9-E3EC-4C29-B081-0495AF4E1CBB}"/>
    <cellStyle name="Normal 25 8" xfId="177" xr:uid="{BEBA4AFE-1BA0-4300-BB2B-E88A5D8D765B}"/>
    <cellStyle name="Normal 25 8 2" xfId="624" xr:uid="{23A62B46-4580-4B9D-BF67-666B3710EC40}"/>
    <cellStyle name="Normal 25 9" xfId="476" xr:uid="{8A5A7076-A8B2-4667-BA76-5DD3752F8D7B}"/>
    <cellStyle name="Normal 26" xfId="26" xr:uid="{56E0E162-E1D6-4621-A196-7B2EF4DFF8C5}"/>
    <cellStyle name="Normal 26 10" xfId="130" xr:uid="{BE96E200-BF01-49BA-B36B-6F68670AE1C5}"/>
    <cellStyle name="Normal 26 10 2" xfId="428" xr:uid="{D44717B9-2AA5-406C-B1C5-B3D0E3DDD77C}"/>
    <cellStyle name="Normal 26 10 2 2" xfId="874" xr:uid="{998ED2EB-09CD-4DC0-81D8-3CC50ED5FB5A}"/>
    <cellStyle name="Normal 26 10 3" xfId="279" xr:uid="{FE20B2BD-1AE8-4C7B-A31A-337ACFB39E3A}"/>
    <cellStyle name="Normal 26 10 3 2" xfId="726" xr:uid="{FBEB00A8-2818-457F-8F45-BDDAD099F257}"/>
    <cellStyle name="Normal 26 10 4" xfId="578" xr:uid="{052A3764-B1C9-4CEC-BB4A-1612301B8C17}"/>
    <cellStyle name="Normal 26 11" xfId="133" xr:uid="{70D02C63-732F-4997-B149-6D77E2E9D677}"/>
    <cellStyle name="Normal 26 11 2" xfId="431" xr:uid="{AF4F05C5-1789-4576-9A8A-25B8F70B8503}"/>
    <cellStyle name="Normal 26 11 2 2" xfId="877" xr:uid="{F3FA1AC2-D978-4196-8D79-F835A4BA170D}"/>
    <cellStyle name="Normal 26 11 3" xfId="282" xr:uid="{7852AC8C-FBED-4718-B78D-132A5315BC1F}"/>
    <cellStyle name="Normal 26 11 3 2" xfId="729" xr:uid="{B96669DA-A6A0-45F8-966E-17BE06BF4862}"/>
    <cellStyle name="Normal 26 11 4" xfId="581" xr:uid="{84E551B3-5C8C-4A74-B56A-3BC6DBE7CE56}"/>
    <cellStyle name="Normal 26 12" xfId="324" xr:uid="{FF3F0293-D23D-49F2-8D83-77C93B925327}"/>
    <cellStyle name="Normal 26 12 2" xfId="770" xr:uid="{C1011703-30E4-41CD-9CF0-FCB105662888}"/>
    <cellStyle name="Normal 26 13" xfId="175" xr:uid="{CB519EC6-0FD7-4532-AEE8-33F63B3F3FC6}"/>
    <cellStyle name="Normal 26 13 2" xfId="622" xr:uid="{D4EBCF60-6549-4BEC-9A65-F8307CD4161C}"/>
    <cellStyle name="Normal 26 14" xfId="474" xr:uid="{B2DD3FEE-F8F6-4D6B-9696-BD6D9AAAAA82}"/>
    <cellStyle name="Normal 26 2" xfId="96" xr:uid="{14982061-88D0-47B6-BFB0-895C28ACDEA6}"/>
    <cellStyle name="Normal 26 2 2" xfId="394" xr:uid="{B5589FDF-F962-4EAB-9808-828833B4EC44}"/>
    <cellStyle name="Normal 26 2 2 2" xfId="840" xr:uid="{6E1638A1-14C9-47D6-8CC4-EC9654A7AD51}"/>
    <cellStyle name="Normal 26 2 3" xfId="245" xr:uid="{BFB7A90E-AA47-4D6F-9738-8098E1491263}"/>
    <cellStyle name="Normal 26 2 3 2" xfId="692" xr:uid="{E466F046-E2E9-46FD-8EE9-3C00B8B4F4F4}"/>
    <cellStyle name="Normal 26 2 4" xfId="544" xr:uid="{8D59CBF1-38DB-4286-AD8F-885E2B00115C}"/>
    <cellStyle name="Normal 26 3" xfId="95" xr:uid="{EEC65FCF-036D-40FF-8FAE-706963F77767}"/>
    <cellStyle name="Normal 26 3 2" xfId="393" xr:uid="{3A55C7BC-9DCC-47AE-A2D9-667DC4B84F4A}"/>
    <cellStyle name="Normal 26 3 2 2" xfId="839" xr:uid="{DDA9C707-8BFD-4BE7-BD98-2AEFCFB783D1}"/>
    <cellStyle name="Normal 26 3 3" xfId="244" xr:uid="{EA156D92-F5EC-487C-A2DB-A76204C199D9}"/>
    <cellStyle name="Normal 26 3 3 2" xfId="691" xr:uid="{59F78144-D37C-4A28-956A-43AFFB0E7168}"/>
    <cellStyle name="Normal 26 3 4" xfId="543" xr:uid="{5708252D-B291-4D84-8363-595C8A1C8B06}"/>
    <cellStyle name="Normal 26 4" xfId="97" xr:uid="{21651014-6577-4F86-93D9-1F30305D1388}"/>
    <cellStyle name="Normal 26 4 2" xfId="395" xr:uid="{A2EDE6D7-51E9-4297-B9DC-15D1261B5872}"/>
    <cellStyle name="Normal 26 4 2 2" xfId="841" xr:uid="{9CDBB3CF-D3BE-4AA8-9955-91084DD073E1}"/>
    <cellStyle name="Normal 26 4 3" xfId="246" xr:uid="{622CD99A-A1E5-4D63-B3F1-D22B76CAFD44}"/>
    <cellStyle name="Normal 26 4 3 2" xfId="693" xr:uid="{8E5CF8D7-C8E7-4A43-874A-8377E1CBEAB4}"/>
    <cellStyle name="Normal 26 4 4" xfId="545" xr:uid="{2CFB8C4D-2F5F-4111-B3A2-DA06073BE456}"/>
    <cellStyle name="Normal 26 5" xfId="98" xr:uid="{B3A4D69E-FFEF-44D9-A048-59F8C3314B01}"/>
    <cellStyle name="Normal 26 5 2" xfId="396" xr:uid="{A529CA9F-370E-42E9-A795-8975E986B5C4}"/>
    <cellStyle name="Normal 26 5 2 2" xfId="842" xr:uid="{48A1617C-14C7-45B3-9D70-1E044B47779E}"/>
    <cellStyle name="Normal 26 5 3" xfId="247" xr:uid="{FDC9CB66-0486-4C70-8A40-BB376162C45A}"/>
    <cellStyle name="Normal 26 5 3 2" xfId="694" xr:uid="{3C52F3A7-BDB8-4D18-B02D-F0500C8AE9DA}"/>
    <cellStyle name="Normal 26 5 4" xfId="546" xr:uid="{36AA7DAB-3EBD-42DC-803A-A3F0DF39A46F}"/>
    <cellStyle name="Normal 26 6" xfId="99" xr:uid="{7A98D498-7F80-43D5-A3D2-D3EDB63023B9}"/>
    <cellStyle name="Normal 26 6 2" xfId="397" xr:uid="{CAD2FC29-7B17-4896-93FA-1BB5106ACD0E}"/>
    <cellStyle name="Normal 26 6 2 2" xfId="843" xr:uid="{A4BD05E5-F5BA-4A1A-82BF-D13A26896C1C}"/>
    <cellStyle name="Normal 26 6 3" xfId="248" xr:uid="{07221F45-5D5B-4BD5-A4F2-3D15BEFD6E7C}"/>
    <cellStyle name="Normal 26 6 3 2" xfId="695" xr:uid="{F5CE92E7-60DB-4FAD-A8F5-20AE7D48AC7F}"/>
    <cellStyle name="Normal 26 6 4" xfId="547" xr:uid="{852F1E04-7A60-4D77-88DF-BEE3A01D7871}"/>
    <cellStyle name="Normal 26 7" xfId="100" xr:uid="{A9A7B62A-500C-48FF-8D41-7A56A59BF46F}"/>
    <cellStyle name="Normal 26 7 2" xfId="398" xr:uid="{7E099151-04F4-420D-B810-5191838F9558}"/>
    <cellStyle name="Normal 26 7 2 2" xfId="844" xr:uid="{97C1FD6C-97C9-4AA0-B769-9970E96C63FD}"/>
    <cellStyle name="Normal 26 7 3" xfId="249" xr:uid="{33496C8C-E82A-4434-8048-E84135F6FC4F}"/>
    <cellStyle name="Normal 26 7 3 2" xfId="696" xr:uid="{5930FE65-4017-4C46-B0E4-BAEA524E4754}"/>
    <cellStyle name="Normal 26 7 4" xfId="548" xr:uid="{C5E33835-D014-4525-B64A-4F22B2944181}"/>
    <cellStyle name="Normal 26 8" xfId="123" xr:uid="{2E6074FB-07E8-44D0-AB88-69734654E15F}"/>
    <cellStyle name="Normal 26 8 2" xfId="421" xr:uid="{C7AD15A7-B59B-4B82-9952-9EC9609F3926}"/>
    <cellStyle name="Normal 26 8 2 2" xfId="867" xr:uid="{7AFA3FDE-CCC4-48BD-91EC-AF969CDDB1D9}"/>
    <cellStyle name="Normal 26 8 3" xfId="272" xr:uid="{3BDCBFE9-E473-47AE-BB59-01F4BC23F595}"/>
    <cellStyle name="Normal 26 8 3 2" xfId="719" xr:uid="{CE89772F-6B52-42FB-9C76-2A70C34C6ED8}"/>
    <cellStyle name="Normal 26 8 4" xfId="571" xr:uid="{7DCD70B3-622B-42DE-8ACF-28D1269B7283}"/>
    <cellStyle name="Normal 26 9" xfId="126" xr:uid="{51D2D648-E7BF-4A3F-9DD9-0512A0491EA3}"/>
    <cellStyle name="Normal 26 9 2" xfId="424" xr:uid="{E2970065-6436-4651-B5A9-7B97CA922606}"/>
    <cellStyle name="Normal 26 9 2 2" xfId="870" xr:uid="{FDAEEF39-13DD-4E73-B5BD-991D4238FA9B}"/>
    <cellStyle name="Normal 26 9 3" xfId="275" xr:uid="{62CBE4F1-E077-4375-9C0C-45BC6840AB3A}"/>
    <cellStyle name="Normal 26 9 3 2" xfId="722" xr:uid="{57ED8195-F892-4D4F-A770-4849722F18F2}"/>
    <cellStyle name="Normal 26 9 4" xfId="574" xr:uid="{30AC3E94-E7FB-4D1F-9C11-AD6DDC00B125}"/>
    <cellStyle name="Normal 27" xfId="30" xr:uid="{47AF2446-23B0-40AE-BBDC-A2DD8D97863B}"/>
    <cellStyle name="Normal 27 2" xfId="104" xr:uid="{3EBDDF59-704C-45A7-BC03-6335C969E2F1}"/>
    <cellStyle name="Normal 27 2 2" xfId="402" xr:uid="{776E93F7-3198-45C2-BA27-C65A7262EC24}"/>
    <cellStyle name="Normal 27 2 2 2" xfId="848" xr:uid="{23CBFF0A-9752-4B04-959E-A95ECAF9A847}"/>
    <cellStyle name="Normal 27 2 3" xfId="253" xr:uid="{CD10FE23-487B-42C9-91E7-0FB6A6B3F008}"/>
    <cellStyle name="Normal 27 2 3 2" xfId="700" xr:uid="{8C77B8B0-42CC-4304-8126-3200C939BCF0}"/>
    <cellStyle name="Normal 27 2 4" xfId="552" xr:uid="{24FC2867-AF3B-458E-8F05-4165D43A3B10}"/>
    <cellStyle name="Normal 27 3" xfId="328" xr:uid="{BE1E4954-4BE2-4FF2-A8DD-822CFDF9C1A9}"/>
    <cellStyle name="Normal 27 3 2" xfId="774" xr:uid="{08B6A851-EBE6-4EB6-89D9-0DF8E24419B9}"/>
    <cellStyle name="Normal 27 4" xfId="136" xr:uid="{8D756A17-90A8-411B-AB5F-9B4DD612F533}"/>
    <cellStyle name="Normal 27 4 2" xfId="434" xr:uid="{58C99060-F699-41E6-8B17-DF01960CDB38}"/>
    <cellStyle name="Normal 27 4 2 2" xfId="880" xr:uid="{483F84C8-9A5A-4A67-8C52-82603E58BDB4}"/>
    <cellStyle name="Normal 27 4 3" xfId="285" xr:uid="{BA7EF0CF-90DE-4CD5-B06F-D933F3383AD8}"/>
    <cellStyle name="Normal 27 4 3 2" xfId="732" xr:uid="{A5A7E157-012D-45E2-99EF-C2E24CCB2A24}"/>
    <cellStyle name="Normal 27 4 4" xfId="584" xr:uid="{A5756F72-18B5-4AFA-B5E6-9CF2B09C7F3E}"/>
    <cellStyle name="Normal 27 5" xfId="179" xr:uid="{D2C121F2-EC2D-4D7C-A7DA-75641FD5490C}"/>
    <cellStyle name="Normal 27 5 2" xfId="626" xr:uid="{94E53D59-D806-43C7-90E8-37E809194BA8}"/>
    <cellStyle name="Normal 27 6" xfId="478" xr:uid="{F810062A-E678-41C7-AF5C-1AB91999D3EB}"/>
    <cellStyle name="Normal 28" xfId="31" xr:uid="{07613B90-E1BB-4902-8AFE-54D9EB695415}"/>
    <cellStyle name="Normal 28 2" xfId="105" xr:uid="{EF59A98B-A9C9-4321-9D17-1CC80EF6D7C4}"/>
    <cellStyle name="Normal 28 2 2" xfId="137" xr:uid="{21422E3D-58FF-4ADE-B4FD-B51C3CAC5FAD}"/>
    <cellStyle name="Normal 28 2 2 2" xfId="435" xr:uid="{DB0CF59B-2A6B-4C82-B13B-6C3BB9E17366}"/>
    <cellStyle name="Normal 28 2 2 2 2" xfId="881" xr:uid="{8D80A45D-7BE3-432F-98AC-9BE4360ECA93}"/>
    <cellStyle name="Normal 28 2 2 3" xfId="286" xr:uid="{2B3B37BB-D258-4419-A3AD-797025C050FE}"/>
    <cellStyle name="Normal 28 2 2 3 2" xfId="733" xr:uid="{4E1CAFD9-ABC8-4C57-B400-86103907AB48}"/>
    <cellStyle name="Normal 28 2 2 4" xfId="585" xr:uid="{FA349997-23FF-4EF4-98F8-9EACEC209A11}"/>
    <cellStyle name="Normal 28 2 3" xfId="403" xr:uid="{9B97DF2E-D053-4097-AD3A-A9CB04179F8A}"/>
    <cellStyle name="Normal 28 2 3 2" xfId="849" xr:uid="{EA355B47-0F4F-4031-99BE-28768B2BC8BD}"/>
    <cellStyle name="Normal 28 2 4" xfId="254" xr:uid="{997866B0-A6E6-496A-98CF-393D5DE496B1}"/>
    <cellStyle name="Normal 28 2 4 2" xfId="701" xr:uid="{A10D5F8A-6529-43BF-B1A1-E522D432F797}"/>
    <cellStyle name="Normal 28 2 5" xfId="553" xr:uid="{9D9DF591-17F4-4A97-A1E2-5C2E43C57637}"/>
    <cellStyle name="Normal 28 3" xfId="329" xr:uid="{A024E6DA-B056-4057-859F-4F467891EC4D}"/>
    <cellStyle name="Normal 28 3 2" xfId="775" xr:uid="{FF474F77-69E8-4176-B141-9731BF0405A3}"/>
    <cellStyle name="Normal 28 4" xfId="180" xr:uid="{EC142880-8237-4931-A40E-B32CB2895EEF}"/>
    <cellStyle name="Normal 28 4 2" xfId="627" xr:uid="{EA8E4B31-B542-48E0-8CDF-09B21CDEE58F}"/>
    <cellStyle name="Normal 28 5" xfId="479" xr:uid="{0BDF0945-40F0-48C0-A8BD-BC582884E9B2}"/>
    <cellStyle name="Normal 29" xfId="29" xr:uid="{5282477A-FCEE-471B-915F-722F8ACA88D2}"/>
    <cellStyle name="Normal 29 2" xfId="103" xr:uid="{925F86C8-44AB-40D5-B06B-53410752BE6D}"/>
    <cellStyle name="Normal 29 2 2" xfId="401" xr:uid="{CE8CE352-8130-4620-A5DC-4EEDD0079BDD}"/>
    <cellStyle name="Normal 29 2 2 2" xfId="847" xr:uid="{69AA6542-BD2A-4B96-956F-F826C4F70032}"/>
    <cellStyle name="Normal 29 2 3" xfId="252" xr:uid="{5F2A3DD7-7D85-4E2B-8813-5E0958F4FBD7}"/>
    <cellStyle name="Normal 29 2 3 2" xfId="699" xr:uid="{00ABDF26-C627-4C57-9AAB-4391B450F179}"/>
    <cellStyle name="Normal 29 2 4" xfId="551" xr:uid="{867D4190-0869-40B2-BABA-983ABE62B934}"/>
    <cellStyle name="Normal 29 3" xfId="327" xr:uid="{6F66F9CE-74CA-4F62-AE48-C6FA493C30F9}"/>
    <cellStyle name="Normal 29 3 2" xfId="773" xr:uid="{687BB082-560B-481E-BAE7-EEBD94769116}"/>
    <cellStyle name="Normal 29 4" xfId="101" xr:uid="{1E9F09F0-5A7B-4BB5-BCBF-910B2EA5ADF2}"/>
    <cellStyle name="Normal 29 4 2" xfId="399" xr:uid="{8BF50737-DBAA-4EC1-AE06-A10DE5845F16}"/>
    <cellStyle name="Normal 29 4 2 2" xfId="845" xr:uid="{3100A909-D8C4-4083-BFBF-EE0802D193A0}"/>
    <cellStyle name="Normal 29 4 3" xfId="250" xr:uid="{40402334-1801-47E5-9AD9-F23BAF819D4A}"/>
    <cellStyle name="Normal 29 4 3 2" xfId="697" xr:uid="{84A526EB-E248-442D-B734-5BC7FED86E74}"/>
    <cellStyle name="Normal 29 4 4" xfId="549" xr:uid="{DE664397-0271-405F-A0E3-B74386987465}"/>
    <cellStyle name="Normal 29 5" xfId="178" xr:uid="{4F6F3709-7CF2-416E-8AAC-DFE9FD7F80D3}"/>
    <cellStyle name="Normal 29 5 2" xfId="625" xr:uid="{1256E327-1C81-415E-ABE5-7707CEBEE1E6}"/>
    <cellStyle name="Normal 29 6" xfId="477" xr:uid="{FFC1694C-2043-4056-9F4E-F012B5483C92}"/>
    <cellStyle name="Normal 29 7" xfId="138" xr:uid="{40ECD725-34A9-4B49-96C5-5FAD004842FF}"/>
    <cellStyle name="Normal 29 7 2" xfId="436" xr:uid="{19F8AEF9-D8F3-46D8-9947-392830E62811}"/>
    <cellStyle name="Normal 29 7 2 2" xfId="882" xr:uid="{66B8F669-0F5E-4A03-B565-A61B707245BD}"/>
    <cellStyle name="Normal 29 7 3" xfId="287" xr:uid="{4459B783-B818-4956-B3DD-9E12AA26417B}"/>
    <cellStyle name="Normal 29 7 3 2" xfId="734" xr:uid="{AD02616D-FA0E-449B-888B-2C35F93589C4}"/>
    <cellStyle name="Normal 29 7 4" xfId="586" xr:uid="{054E1C39-CF61-48D2-A9A7-F84818034372}"/>
    <cellStyle name="Normal 29 8" xfId="140" xr:uid="{838BB5BA-C750-4FEA-9178-06263A4A6C4B}"/>
    <cellStyle name="Normal 29 8 2" xfId="438" xr:uid="{E3B566DB-3052-43F7-9414-DE0F0E5CE519}"/>
    <cellStyle name="Normal 29 8 2 2" xfId="884" xr:uid="{AA5FAFC6-132F-46C5-8139-B6D7E4366E08}"/>
    <cellStyle name="Normal 29 8 3" xfId="289" xr:uid="{3785740B-76E7-42B9-8406-54B6B99559F9}"/>
    <cellStyle name="Normal 29 8 3 2" xfId="736" xr:uid="{687E7F97-6A55-4656-9EDB-88F718C90EC2}"/>
    <cellStyle name="Normal 29 8 4" xfId="588" xr:uid="{A9A6DACE-770F-497A-897C-467AE133A5EC}"/>
    <cellStyle name="Normal 3" xfId="2" xr:uid="{00000000-0005-0000-0000-000002000000}"/>
    <cellStyle name="Normal 3 2" xfId="300" xr:uid="{927F944A-BD33-474A-BA7E-03BCF059FABC}"/>
    <cellStyle name="Normal 3 2 2" xfId="746" xr:uid="{D7342AD8-726D-49F5-9B0E-5FCF108D9C5B}"/>
    <cellStyle name="Normal 3 3" xfId="151" xr:uid="{362B718A-A887-48A0-9770-D49D9A094B69}"/>
    <cellStyle name="Normal 3 3 2" xfId="598" xr:uid="{D8FFF224-6810-492C-A188-C3548959FC71}"/>
    <cellStyle name="Normal 3 4" xfId="450" xr:uid="{B3DE7BFD-EF5A-4AEE-A77C-9710D97D0407}"/>
    <cellStyle name="Normal 30" xfId="32" xr:uid="{EA1E3A18-D30F-4F5E-8708-915D350FB663}"/>
    <cellStyle name="Normal 30 2" xfId="106" xr:uid="{A46FC9D6-908F-452E-865F-9E8E9262EF47}"/>
    <cellStyle name="Normal 30 2 2" xfId="404" xr:uid="{2E7D894A-E148-4708-A0E7-C5E732F0799F}"/>
    <cellStyle name="Normal 30 2 2 2" xfId="850" xr:uid="{BE7FAA3F-5870-4830-868C-9B0B663EA391}"/>
    <cellStyle name="Normal 30 2 3" xfId="255" xr:uid="{7F11372F-212D-49AE-AD2F-5A4A5D58EB2D}"/>
    <cellStyle name="Normal 30 2 3 2" xfId="702" xr:uid="{E0C92631-0D11-486A-8D7E-33124D0B9B0E}"/>
    <cellStyle name="Normal 30 2 4" xfId="554" xr:uid="{BA81B010-166B-482F-9D23-F6CC644F1CB4}"/>
    <cellStyle name="Normal 30 3" xfId="330" xr:uid="{A2B5A711-C49B-48FA-A485-64BB06AC3287}"/>
    <cellStyle name="Normal 30 3 2" xfId="776" xr:uid="{3FA353C3-EAB9-40AC-AA36-2581A9936F80}"/>
    <cellStyle name="Normal 30 4" xfId="181" xr:uid="{6C217E47-1DC7-485E-92D9-B26A35ECF673}"/>
    <cellStyle name="Normal 30 4 2" xfId="628" xr:uid="{8B2A5378-D3C7-45C1-8573-03A79CD865DB}"/>
    <cellStyle name="Normal 30 5" xfId="480" xr:uid="{8BCB2C02-DABC-4F2B-B889-0047D2BFE1B0}"/>
    <cellStyle name="Normal 30 7" xfId="141" xr:uid="{A8387375-06A4-4083-B158-D8C52144BD97}"/>
    <cellStyle name="Normal 30 7 2" xfId="439" xr:uid="{DA5DF291-DE2A-4995-AC2E-FDAA6672470E}"/>
    <cellStyle name="Normal 30 7 2 2" xfId="885" xr:uid="{630D1A5E-DCBF-4E07-8895-C46FC23F76E3}"/>
    <cellStyle name="Normal 30 7 3" xfId="290" xr:uid="{63F09A6E-C13F-4994-A631-87F4B324BA78}"/>
    <cellStyle name="Normal 30 7 3 2" xfId="737" xr:uid="{BD5EF8E8-E1AB-4F23-A438-CEF538AEE020}"/>
    <cellStyle name="Normal 30 7 4" xfId="589" xr:uid="{424D214D-E51A-44D4-AEBE-C96CF2906FB8}"/>
    <cellStyle name="Normal 31" xfId="34" xr:uid="{2AE67F3D-D116-4EBF-BDE3-203C456C64C9}"/>
    <cellStyle name="Normal 31 2" xfId="107" xr:uid="{C6BB44D7-3844-4254-840C-DA9194C4F92F}"/>
    <cellStyle name="Normal 31 2 2" xfId="405" xr:uid="{92DAAB59-AFE2-4850-89C8-ED24BA5D944B}"/>
    <cellStyle name="Normal 31 2 2 2" xfId="851" xr:uid="{83C95498-78D3-4EDA-A1C8-EDB0325CB9D4}"/>
    <cellStyle name="Normal 31 2 3" xfId="256" xr:uid="{7EB81EC4-57BE-4EEB-9C77-A58F3E5C64DA}"/>
    <cellStyle name="Normal 31 2 3 2" xfId="703" xr:uid="{8DC51FE6-CE64-4BB5-8A54-94EEBE3BC81D}"/>
    <cellStyle name="Normal 31 2 4" xfId="555" xr:uid="{102A9C14-8A7B-4944-90E9-285677E0D493}"/>
    <cellStyle name="Normal 31 3" xfId="332" xr:uid="{13C58D02-1098-4F93-AED7-6D400127EFBD}"/>
    <cellStyle name="Normal 31 3 2" xfId="778" xr:uid="{CE799A4C-AAF5-4B03-9767-8DC357FA6675}"/>
    <cellStyle name="Normal 31 4" xfId="183" xr:uid="{10EBBD6B-7A20-4A02-AE57-8C642C423407}"/>
    <cellStyle name="Normal 31 4 2" xfId="630" xr:uid="{BE7876F1-2524-4031-B402-3D948D4D3EBE}"/>
    <cellStyle name="Normal 31 5" xfId="482" xr:uid="{C4C32240-EBB6-4711-B35C-B836C01985CF}"/>
    <cellStyle name="Normal 31 9" xfId="142" xr:uid="{C3301C57-5043-4CCF-A216-A92769296044}"/>
    <cellStyle name="Normal 31 9 2" xfId="440" xr:uid="{1C25AEB6-D11E-4B64-8323-9E129F88709A}"/>
    <cellStyle name="Normal 31 9 2 2" xfId="886" xr:uid="{64C48054-FDAA-4FE9-B8B4-14D2A7B75A7C}"/>
    <cellStyle name="Normal 31 9 3" xfId="291" xr:uid="{408089E1-4CA0-4AA0-93FF-B1B5319AF2CC}"/>
    <cellStyle name="Normal 31 9 3 2" xfId="738" xr:uid="{A26F4F03-1233-448F-8849-DAE64DDB6986}"/>
    <cellStyle name="Normal 31 9 4" xfId="590" xr:uid="{BDCD7DC0-0DBC-4257-99BD-C2E4F432969A}"/>
    <cellStyle name="Normal 32" xfId="37" xr:uid="{41194A0E-1572-466A-8F59-EDA05766FCA2}"/>
    <cellStyle name="Normal 32 2" xfId="335" xr:uid="{A0476979-77C6-424F-AF95-18DC51226ACC}"/>
    <cellStyle name="Normal 32 2 2" xfId="781" xr:uid="{9711F494-1E21-4627-AC72-F6ADCDF2AAE9}"/>
    <cellStyle name="Normal 32 3" xfId="186" xr:uid="{E997ECD1-ABAC-4013-8B61-31DF4BB791D2}"/>
    <cellStyle name="Normal 32 3 2" xfId="633" xr:uid="{335B3FF9-EB05-4896-9AE3-0531C44F7AA2}"/>
    <cellStyle name="Normal 32 4" xfId="485" xr:uid="{74A8E4A9-4390-4D5A-BE90-CB05795DE4F2}"/>
    <cellStyle name="Normal 32 8" xfId="144" xr:uid="{9BBD8975-DCCD-49C7-BF43-B6BE41078094}"/>
    <cellStyle name="Normal 32 8 2" xfId="442" xr:uid="{3FA12CE4-E8B3-4F35-AE57-56A4C19FFA20}"/>
    <cellStyle name="Normal 32 8 2 2" xfId="888" xr:uid="{F62F1AD6-055C-4F58-979B-CFD758A9FC2C}"/>
    <cellStyle name="Normal 32 8 3" xfId="293" xr:uid="{CE4E81A7-80DB-428D-B422-96F96AD9FE2B}"/>
    <cellStyle name="Normal 32 8 3 2" xfId="740" xr:uid="{8475A524-61FC-4E7A-9BE6-1490725563A9}"/>
    <cellStyle name="Normal 32 8 4" xfId="592" xr:uid="{08A5586E-B297-44BD-82E0-39973D5F23B9}"/>
    <cellStyle name="Normal 33" xfId="38" xr:uid="{F0F0FDF0-A495-4A1D-9D44-0EA87672B8AD}"/>
    <cellStyle name="Normal 33 2" xfId="336" xr:uid="{913AA41F-C912-4781-825A-67205FB7234C}"/>
    <cellStyle name="Normal 33 2 2" xfId="782" xr:uid="{5E53CF32-1D70-404E-9EB1-F088BBBD9548}"/>
    <cellStyle name="Normal 33 3" xfId="187" xr:uid="{5AE9BC50-CAE3-4F77-B7D1-BCF9CF02C17B}"/>
    <cellStyle name="Normal 33 3 2" xfId="634" xr:uid="{A1446077-85AE-4C50-84EB-025273B1E23F}"/>
    <cellStyle name="Normal 33 4" xfId="486" xr:uid="{6CB9927C-B5AA-4289-A5A7-DA82FB49A11C}"/>
    <cellStyle name="Normal 33 7" xfId="146" xr:uid="{A46C2340-52B3-4023-8ACD-E02B3319392B}"/>
    <cellStyle name="Normal 33 7 2" xfId="444" xr:uid="{65337FED-DD96-4FC3-8C6F-2E32A0D5BFDE}"/>
    <cellStyle name="Normal 33 7 2 2" xfId="890" xr:uid="{EC90156D-5D0D-459C-9B1C-F0271D00533B}"/>
    <cellStyle name="Normal 33 7 3" xfId="295" xr:uid="{8EF4CC7A-AC1C-455B-AFF5-CC77E009179A}"/>
    <cellStyle name="Normal 33 7 3 2" xfId="742" xr:uid="{257E1381-D001-4BAB-97FE-A3A5E811B77C}"/>
    <cellStyle name="Normal 33 7 4" xfId="594" xr:uid="{CC09543F-3506-48C3-932D-510932931EA7}"/>
    <cellStyle name="Normal 33 8" xfId="145" xr:uid="{B1AF95A7-32E5-4578-8AEE-E894AB92C056}"/>
    <cellStyle name="Normal 33 8 2" xfId="443" xr:uid="{EC4D365C-E1A8-4AE3-87A1-7CDD77574C36}"/>
    <cellStyle name="Normal 33 8 2 2" xfId="889" xr:uid="{1E2C08D0-96A8-4F46-925D-E8FF6E18AAE9}"/>
    <cellStyle name="Normal 33 8 3" xfId="294" xr:uid="{CEA28208-E506-4177-9D5B-3A8D89761949}"/>
    <cellStyle name="Normal 33 8 3 2" xfId="741" xr:uid="{2544B7E2-7B2A-482B-9954-D2FFBAEAB439}"/>
    <cellStyle name="Normal 33 8 4" xfId="593" xr:uid="{6C7FC7AF-3B62-4EB2-8138-3496E2F3C17D}"/>
    <cellStyle name="Normal 34" xfId="39" xr:uid="{B9757182-5D5F-43D8-AB4F-2307CCEE2754}"/>
    <cellStyle name="Normal 34 2" xfId="337" xr:uid="{02A62D22-685F-42DC-86BD-954D4D066DA3}"/>
    <cellStyle name="Normal 34 2 2" xfId="783" xr:uid="{50FBC5EA-529C-4E8F-9178-FE519B5B3A85}"/>
    <cellStyle name="Normal 34 3" xfId="188" xr:uid="{BCC95A19-35FE-4762-A0E4-C22C220C76A3}"/>
    <cellStyle name="Normal 34 3 2" xfId="635" xr:uid="{87927594-EB42-4414-B01B-D057D1575F50}"/>
    <cellStyle name="Normal 34 4" xfId="487" xr:uid="{13DE4969-DDA2-4DAA-8A92-23A8B0BBDEFE}"/>
    <cellStyle name="Normal 35" xfId="40" xr:uid="{E097801D-FD79-4710-BA3C-EAD4742B3BE8}"/>
    <cellStyle name="Normal 35 2" xfId="338" xr:uid="{F1951735-B31D-4CBE-AF89-6E8C22C4A49C}"/>
    <cellStyle name="Normal 35 2 2" xfId="784" xr:uid="{5D027573-8F4F-44CE-A14E-0258BE53BB57}"/>
    <cellStyle name="Normal 35 3" xfId="189" xr:uid="{B871C053-A7CE-4E6B-A372-EDE52653BD8B}"/>
    <cellStyle name="Normal 35 3 2" xfId="636" xr:uid="{38361D0B-4CBD-49C0-9A30-3B624B221CA5}"/>
    <cellStyle name="Normal 35 4" xfId="488" xr:uid="{D8092E7E-C4BE-44F6-ABF2-105E43406ACB}"/>
    <cellStyle name="Normal 36" xfId="41" xr:uid="{9750FE6F-71FD-4A4A-ACC7-737E97820FD9}"/>
    <cellStyle name="Normal 36 2" xfId="339" xr:uid="{BEF9A9B3-09BB-476B-A19A-6D784094CF0C}"/>
    <cellStyle name="Normal 36 2 2" xfId="785" xr:uid="{C67C1EBF-D1D5-41AB-AEF9-CCF4262E1709}"/>
    <cellStyle name="Normal 36 3" xfId="190" xr:uid="{E2BD216F-1FDC-47EB-A929-C094D8C4F85F}"/>
    <cellStyle name="Normal 36 3 2" xfId="637" xr:uid="{C3DA4DED-C318-450B-8360-27C403C17F5B}"/>
    <cellStyle name="Normal 36 4" xfId="489" xr:uid="{40BF3F5F-57B5-402A-8042-AB5D9A2734E2}"/>
    <cellStyle name="Normal 37" xfId="46" xr:uid="{70994E71-DFDA-40FA-B5D8-75B43A95A19A}"/>
    <cellStyle name="Normal 37 2" xfId="344" xr:uid="{A9BAA7EA-4CE2-4840-A280-63D2FAAE2E21}"/>
    <cellStyle name="Normal 37 2 2" xfId="790" xr:uid="{C161EE7F-BA14-4144-A221-5F095877BE56}"/>
    <cellStyle name="Normal 37 3" xfId="195" xr:uid="{1795CBE6-053F-4B41-AB5C-5F3B81659842}"/>
    <cellStyle name="Normal 37 3 2" xfId="642" xr:uid="{1BCE8F99-827D-4623-8A24-FEA72B2E9DD3}"/>
    <cellStyle name="Normal 37 4" xfId="494" xr:uid="{AF0A4B4B-CA5A-4E16-9377-7727C1ABF75A}"/>
    <cellStyle name="Normal 38" xfId="42" xr:uid="{FB503028-CB0B-4481-990F-485EFCC160DB}"/>
    <cellStyle name="Normal 38 2" xfId="340" xr:uid="{D9DFD272-DC09-4842-8A6E-0823F0DC5541}"/>
    <cellStyle name="Normal 38 2 2" xfId="786" xr:uid="{034ED5B8-BA78-4E7B-B01F-9F5D9A5E726C}"/>
    <cellStyle name="Normal 38 3" xfId="191" xr:uid="{40BF0C85-97C0-4DA1-9EB8-3F538961E74F}"/>
    <cellStyle name="Normal 38 3 2" xfId="638" xr:uid="{67E868AB-0383-408A-B972-2FBBD51D10E4}"/>
    <cellStyle name="Normal 38 4" xfId="490" xr:uid="{A80F14BE-235A-4A57-80B9-41FCAAC21A49}"/>
    <cellStyle name="Normal 39" xfId="43" xr:uid="{E2A02D28-86DB-41F5-95D1-DAD0B89A542A}"/>
    <cellStyle name="Normal 39 2" xfId="341" xr:uid="{4A324511-7B19-4276-848A-D57011E836A0}"/>
    <cellStyle name="Normal 39 2 2" xfId="787" xr:uid="{B8079E07-45C1-4E8A-8A4B-78985DC31FA4}"/>
    <cellStyle name="Normal 39 3" xfId="192" xr:uid="{39C4DD3C-76C0-453B-AD12-1546C9FD4521}"/>
    <cellStyle name="Normal 39 3 2" xfId="639" xr:uid="{15C43640-53DE-4106-AFF3-1678B7774985}"/>
    <cellStyle name="Normal 39 4" xfId="491" xr:uid="{A1A78E93-52C6-4399-904D-CF9D854E570E}"/>
    <cellStyle name="Normal 4" xfId="3" xr:uid="{00000000-0005-0000-0000-000003000000}"/>
    <cellStyle name="Normal 4 2" xfId="301" xr:uid="{B5C29BB9-3A7C-48F4-93E7-982D164D134D}"/>
    <cellStyle name="Normal 4 2 2" xfId="747" xr:uid="{191DC435-B69D-419D-B6AD-17ACF372B3F8}"/>
    <cellStyle name="Normal 4 3" xfId="152" xr:uid="{541C6C35-D449-4805-9630-B4CB6944727C}"/>
    <cellStyle name="Normal 4 3 2" xfId="599" xr:uid="{D89D13DE-983D-4017-91C7-5AE474205CBF}"/>
    <cellStyle name="Normal 4 4" xfId="451" xr:uid="{07342E55-E039-4D53-BB58-A7195B2DA9A2}"/>
    <cellStyle name="Normal 40" xfId="44" xr:uid="{1F9166F0-58CF-49A6-94C6-EFC34C53A26C}"/>
    <cellStyle name="Normal 40 2" xfId="342" xr:uid="{CE8D8823-9293-4FAA-83FA-AA47F239D970}"/>
    <cellStyle name="Normal 40 2 2" xfId="788" xr:uid="{72603B7F-B2F4-431F-AAE0-9DE9CA7A5BA7}"/>
    <cellStyle name="Normal 40 3" xfId="193" xr:uid="{DE07453D-2FBE-49AB-A93D-388EE2F2E935}"/>
    <cellStyle name="Normal 40 3 2" xfId="640" xr:uid="{EDB52E5D-F376-4BEF-BFC0-74FB141C5CC8}"/>
    <cellStyle name="Normal 40 4" xfId="492" xr:uid="{A65184F8-1BE1-4EF4-A009-61E04454D833}"/>
    <cellStyle name="Normal 41" xfId="45" xr:uid="{22F3C225-DF6E-4433-9BE9-4513580BB891}"/>
    <cellStyle name="Normal 41 2" xfId="343" xr:uid="{1A2CD4A2-3E6A-4B06-9234-1070BAAA4760}"/>
    <cellStyle name="Normal 41 2 2" xfId="789" xr:uid="{E1458345-A05E-408F-9EE7-7E158DDEC7F0}"/>
    <cellStyle name="Normal 41 3" xfId="194" xr:uid="{82E8802A-389C-438D-B2EA-3C6A7DA5B8F4}"/>
    <cellStyle name="Normal 41 3 2" xfId="641" xr:uid="{57DF2B30-40F7-46E1-A0DC-866EB77E1FC6}"/>
    <cellStyle name="Normal 41 4" xfId="493" xr:uid="{3628B5E5-D5A6-4212-B036-0EE642B2F693}"/>
    <cellStyle name="Normal 42" xfId="47" xr:uid="{E15BB374-FC1F-48DF-BA18-A7E3B8ABE72E}"/>
    <cellStyle name="Normal 42 2" xfId="345" xr:uid="{C715339F-741F-4D1A-A004-F45A50D55474}"/>
    <cellStyle name="Normal 42 2 2" xfId="791" xr:uid="{98C75CA5-0030-458A-A602-F01B5A0A9CDE}"/>
    <cellStyle name="Normal 42 3" xfId="196" xr:uid="{BB321D1B-9A3D-49FA-8C3A-84AD90C297E6}"/>
    <cellStyle name="Normal 42 3 2" xfId="643" xr:uid="{6DBCA020-EF59-40F8-B327-251F2C832CC1}"/>
    <cellStyle name="Normal 42 4" xfId="495" xr:uid="{AD1A5AF5-EAC4-42AA-962C-52F559C5CAA9}"/>
    <cellStyle name="Normal 43" xfId="48" xr:uid="{7D4D520F-0238-4659-ADE2-C8C4661DEF98}"/>
    <cellStyle name="Normal 43 2" xfId="346" xr:uid="{9B8771E7-E236-4509-BA82-65548B6E2E71}"/>
    <cellStyle name="Normal 43 2 2" xfId="792" xr:uid="{81B196D8-1934-478E-9051-9DB53DE79E0F}"/>
    <cellStyle name="Normal 43 3" xfId="197" xr:uid="{FBD4C730-7CA0-4DAA-92C4-E6138454A309}"/>
    <cellStyle name="Normal 43 3 2" xfId="644" xr:uid="{B6242BAB-8BAA-4289-95EF-139D4172072D}"/>
    <cellStyle name="Normal 43 4" xfId="496" xr:uid="{45E0C6B2-BD59-4918-B38A-D1A409EC706D}"/>
    <cellStyle name="Normal 44" xfId="49" xr:uid="{0EC946F7-80B2-44CC-B7CF-2F2E7BD80DB0}"/>
    <cellStyle name="Normal 44 2" xfId="347" xr:uid="{67FCACD1-FB4A-4B48-83B5-F5EAF262A807}"/>
    <cellStyle name="Normal 44 2 2" xfId="793" xr:uid="{B4D20D63-1C0E-412D-A1CA-274C7A24A426}"/>
    <cellStyle name="Normal 44 3" xfId="198" xr:uid="{A9B9C5FF-7044-4B68-9DEA-28A42158C285}"/>
    <cellStyle name="Normal 44 3 2" xfId="645" xr:uid="{0BF77A32-CA43-459E-A68C-597C6A659576}"/>
    <cellStyle name="Normal 44 4" xfId="497" xr:uid="{EFDF61BA-8275-4D72-ADBA-1A6F5E134006}"/>
    <cellStyle name="Normal 45" xfId="50" xr:uid="{64CD105F-E7D9-4292-A2A2-54FE2AFE4358}"/>
    <cellStyle name="Normal 45 2" xfId="348" xr:uid="{B59FF346-ED6F-4419-B9BC-58204ED916FE}"/>
    <cellStyle name="Normal 45 2 2" xfId="794" xr:uid="{AC754225-04B4-45A7-80FE-86A7B6E955FD}"/>
    <cellStyle name="Normal 45 3" xfId="199" xr:uid="{502C6F75-1A4F-4AA4-B6B4-2EB0339D1200}"/>
    <cellStyle name="Normal 45 3 2" xfId="646" xr:uid="{65388E2A-8735-4ED0-8E39-55D57B2F91D3}"/>
    <cellStyle name="Normal 45 4" xfId="498" xr:uid="{EFC8D69E-8165-4D5D-B73D-9970949C8C0F}"/>
    <cellStyle name="Normal 46" xfId="51" xr:uid="{8AF1C58A-B6EF-4C23-BD49-FBE1B90E6630}"/>
    <cellStyle name="Normal 46 2" xfId="349" xr:uid="{B58A3B6C-02C3-4D79-9CB6-A679BFD2640C}"/>
    <cellStyle name="Normal 46 2 2" xfId="795" xr:uid="{9C10E974-004F-499D-8334-ABDF75E0A83C}"/>
    <cellStyle name="Normal 46 3" xfId="200" xr:uid="{D66E4773-6769-47F4-93CE-3CD1B3335EA2}"/>
    <cellStyle name="Normal 46 3 2" xfId="647" xr:uid="{AAEFE2B6-7E94-45E9-B9FB-A65583576210}"/>
    <cellStyle name="Normal 46 4" xfId="499" xr:uid="{B77E59C9-3B42-40FE-887B-2FF8556280FD}"/>
    <cellStyle name="Normal 47" xfId="52" xr:uid="{820D7C27-1150-499C-BD3C-363CDB9595B4}"/>
    <cellStyle name="Normal 47 2" xfId="350" xr:uid="{B1482CDE-3752-4466-A5D6-90253F47AF69}"/>
    <cellStyle name="Normal 47 2 2" xfId="796" xr:uid="{4D4ED200-2BBF-42E9-80EB-972F616A9D46}"/>
    <cellStyle name="Normal 47 3" xfId="201" xr:uid="{D5E74028-A5E1-4737-8248-A45B9284C173}"/>
    <cellStyle name="Normal 47 3 2" xfId="648" xr:uid="{AA3EE948-4711-4BA5-B5AE-26770A9ADEA6}"/>
    <cellStyle name="Normal 47 4" xfId="500" xr:uid="{4AB91C8C-17B1-4AB6-A080-9C7430C7FE16}"/>
    <cellStyle name="Normal 48" xfId="53" xr:uid="{766706EC-BD34-459E-884C-BD5CEF7A8CA0}"/>
    <cellStyle name="Normal 48 2" xfId="351" xr:uid="{F01738B2-6830-4DCA-B1FC-6507A7E75113}"/>
    <cellStyle name="Normal 48 2 2" xfId="797" xr:uid="{27F89247-B716-491F-98BB-5A67F2EC7E8F}"/>
    <cellStyle name="Normal 48 3" xfId="202" xr:uid="{95C598A7-B14D-4D3E-A446-B11EFB350E41}"/>
    <cellStyle name="Normal 48 3 2" xfId="649" xr:uid="{BAAE43BE-28EF-4326-912A-8B9E56907C82}"/>
    <cellStyle name="Normal 48 4" xfId="501" xr:uid="{049C0764-8ED4-4D87-B57C-5BC349B7BA42}"/>
    <cellStyle name="Normal 49" xfId="54" xr:uid="{DC578B1B-FEE0-4576-A100-8D28555B92D7}"/>
    <cellStyle name="Normal 49 2" xfId="352" xr:uid="{48DD2632-7153-4F93-BD1A-61201AC6CBD1}"/>
    <cellStyle name="Normal 49 2 2" xfId="798" xr:uid="{74FA43D0-E206-4486-91E5-791299060149}"/>
    <cellStyle name="Normal 49 3" xfId="203" xr:uid="{BF29D79F-297F-4B83-83DE-E82A751F5686}"/>
    <cellStyle name="Normal 49 3 2" xfId="650" xr:uid="{0ED613ED-88A0-4DAC-9C16-93D29E187262}"/>
    <cellStyle name="Normal 49 4" xfId="502" xr:uid="{DB84CF09-1B02-48E3-BFA5-A3B454A3CF55}"/>
    <cellStyle name="Normal 5" xfId="4" xr:uid="{00000000-0005-0000-0000-000004000000}"/>
    <cellStyle name="Normal 5 2" xfId="302" xr:uid="{4A57AD43-3772-43BA-A77F-DC2B1194B75F}"/>
    <cellStyle name="Normal 5 2 2" xfId="748" xr:uid="{99E265B5-314D-4C71-AD38-E58BE48158CC}"/>
    <cellStyle name="Normal 5 3" xfId="153" xr:uid="{F8916E77-6DAA-4670-A210-2814989CA281}"/>
    <cellStyle name="Normal 5 3 2" xfId="600" xr:uid="{3B126EDF-B76F-4713-9311-A7D5F7D6C2CF}"/>
    <cellStyle name="Normal 5 4" xfId="452" xr:uid="{B6EEA984-C3E9-4BE6-B19B-AE23E8B7A515}"/>
    <cellStyle name="Normal 50" xfId="55" xr:uid="{7FB76190-0D39-4570-95BF-C16FF6C2714E}"/>
    <cellStyle name="Normal 50 2" xfId="353" xr:uid="{533E61D5-92B9-49C0-B039-14691EECA50F}"/>
    <cellStyle name="Normal 50 2 2" xfId="799" xr:uid="{CDC4EEC5-92BF-42ED-A13E-7190DE10394A}"/>
    <cellStyle name="Normal 50 3" xfId="204" xr:uid="{647CA760-A082-45FB-8920-6C648CD3CA2D}"/>
    <cellStyle name="Normal 50 3 2" xfId="651" xr:uid="{F9AB71DC-BBBA-41C7-B39C-ECF5F8888005}"/>
    <cellStyle name="Normal 50 4" xfId="503" xr:uid="{656C5876-419A-41C5-B6DB-9BAF8B8AE47C}"/>
    <cellStyle name="Normal 51" xfId="56" xr:uid="{0CFFF9A5-3F79-44F5-9AAA-EA3E447C4B0E}"/>
    <cellStyle name="Normal 51 2" xfId="354" xr:uid="{031B2DE7-74F1-4FA3-BE8D-79E77A030D24}"/>
    <cellStyle name="Normal 51 2 2" xfId="800" xr:uid="{6D32F04E-30CD-4ABE-B4A1-9F10DDFC6657}"/>
    <cellStyle name="Normal 51 3" xfId="205" xr:uid="{CDD08D8F-C097-4C3B-9A66-E737FDCB6089}"/>
    <cellStyle name="Normal 51 3 2" xfId="652" xr:uid="{15C15ADE-9587-4FC5-90D7-766450902BF1}"/>
    <cellStyle name="Normal 51 4" xfId="504" xr:uid="{24B832C3-D5C9-420A-87E8-ADA4FD79DD62}"/>
    <cellStyle name="Normal 52" xfId="57" xr:uid="{62EEBC27-C11E-4D00-BB7A-FD18CAC945F3}"/>
    <cellStyle name="Normal 52 2" xfId="355" xr:uid="{6A45AEC2-2FED-4DB9-BC4C-83A6339DA621}"/>
    <cellStyle name="Normal 52 2 2" xfId="801" xr:uid="{BF2FD281-9B5F-447E-B894-89FCB7C945A0}"/>
    <cellStyle name="Normal 52 3" xfId="206" xr:uid="{E2126C97-CD2F-417B-883A-15311328311C}"/>
    <cellStyle name="Normal 52 3 2" xfId="653" xr:uid="{0334FF50-3A41-474B-9F42-8BC7A8EEE61D}"/>
    <cellStyle name="Normal 52 4" xfId="505" xr:uid="{2882B560-40CE-4A4B-8738-887DD32C926E}"/>
    <cellStyle name="Normal 53" xfId="58" xr:uid="{BF275FA0-4996-423C-BC20-DE448EF2A3D1}"/>
    <cellStyle name="Normal 53 2" xfId="66" xr:uid="{CEE5B506-1187-4FE7-A363-E94896A63FC1}"/>
    <cellStyle name="Normal 53 2 2" xfId="364" xr:uid="{8774CF8F-FD7E-422C-917C-2E4AB871FA4E}"/>
    <cellStyle name="Normal 53 2 2 2" xfId="810" xr:uid="{670DBE83-8F9C-4A24-BB08-C8E5E3EF6203}"/>
    <cellStyle name="Normal 53 2 3" xfId="215" xr:uid="{410ABCD0-232D-482C-B926-40F7E980ACC6}"/>
    <cellStyle name="Normal 53 2 3 2" xfId="662" xr:uid="{2CA71620-5159-4F15-A049-DCB7D4245438}"/>
    <cellStyle name="Normal 53 2 4" xfId="514" xr:uid="{FDA17383-29B2-4B3C-9664-D5E052039A27}"/>
    <cellStyle name="Normal 53 3" xfId="356" xr:uid="{BED6A1F1-E003-4CD1-AE4F-38D598AAC796}"/>
    <cellStyle name="Normal 53 3 2" xfId="802" xr:uid="{BA74B7D9-4613-43C7-A5F6-7AFA72250639}"/>
    <cellStyle name="Normal 53 4" xfId="207" xr:uid="{41A21666-E539-401A-8DE5-F76C78AAA1EC}"/>
    <cellStyle name="Normal 53 4 2" xfId="654" xr:uid="{0B4ED820-2399-418E-A0AF-AC50927E8E91}"/>
    <cellStyle name="Normal 53 5" xfId="506" xr:uid="{D033633D-1DBA-46BA-A8C5-797CD2B5BCC8}"/>
    <cellStyle name="Normal 54" xfId="59" xr:uid="{958FE333-6A4B-4543-BE9C-322405EFB467}"/>
    <cellStyle name="Normal 54 2" xfId="63" xr:uid="{B8069EA5-1A21-4632-B8FE-0F551CB9FCA1}"/>
    <cellStyle name="Normal 54 2 2" xfId="361" xr:uid="{F8EA50EA-4DBE-42BF-BB99-9DFC6AE0B189}"/>
    <cellStyle name="Normal 54 2 2 2" xfId="807" xr:uid="{392E6472-E6C9-42CB-A601-89F0C2F9B1EA}"/>
    <cellStyle name="Normal 54 2 3" xfId="212" xr:uid="{EA5624ED-5939-486A-8233-091EF671E4B5}"/>
    <cellStyle name="Normal 54 2 3 2" xfId="659" xr:uid="{21647275-CE96-4333-8DA2-48B683B7F808}"/>
    <cellStyle name="Normal 54 2 4" xfId="511" xr:uid="{B61A3E6C-2D77-4561-A52E-0940B149460C}"/>
    <cellStyle name="Normal 54 3" xfId="357" xr:uid="{34EB50C8-8A8E-484E-BB08-A8751AC622CE}"/>
    <cellStyle name="Normal 54 3 2" xfId="803" xr:uid="{C2CCD489-073A-4A84-8106-A76084DA9974}"/>
    <cellStyle name="Normal 54 4" xfId="208" xr:uid="{1F4372FE-2B28-4F29-B8E1-866C260A3116}"/>
    <cellStyle name="Normal 54 4 2" xfId="655" xr:uid="{7FBD3CC8-922D-4C30-A460-3793AF997C94}"/>
    <cellStyle name="Normal 54 5" xfId="507" xr:uid="{A1F9FAED-97EA-49A8-A4F2-DBD4EF34F5F6}"/>
    <cellStyle name="Normal 55" xfId="60" xr:uid="{06E119D2-F25F-4008-9FAF-0E9F02394E7A}"/>
    <cellStyle name="Normal 55 2" xfId="358" xr:uid="{248383CD-0B2F-4C1F-AD42-F86A870D2F23}"/>
    <cellStyle name="Normal 55 2 2" xfId="804" xr:uid="{D52E23EC-C452-4DDA-A437-A8B0A888543A}"/>
    <cellStyle name="Normal 55 3" xfId="209" xr:uid="{F6D45EC8-B74A-4127-81F3-2BED471A5C24}"/>
    <cellStyle name="Normal 55 3 2" xfId="656" xr:uid="{98740337-95B7-4396-A6E8-1697C1D788B4}"/>
    <cellStyle name="Normal 55 4" xfId="508" xr:uid="{A72B2626-05E8-4A80-AEEA-D35C909A4CCE}"/>
    <cellStyle name="Normal 56" xfId="62" xr:uid="{C4358E4F-7F27-44D9-851F-DA331B4EE2E0}"/>
    <cellStyle name="Normal 56 2" xfId="360" xr:uid="{7A790281-0421-42FB-B1A9-7344871C85FE}"/>
    <cellStyle name="Normal 56 2 2" xfId="806" xr:uid="{2A4AC7E2-4844-41E1-9AAA-650198168078}"/>
    <cellStyle name="Normal 56 3" xfId="211" xr:uid="{551FCBD9-0EC8-432C-BC33-117DD8608142}"/>
    <cellStyle name="Normal 56 3 2" xfId="658" xr:uid="{C1F2DCF2-EDAF-476A-B32E-9F850A71B2C7}"/>
    <cellStyle name="Normal 56 4" xfId="510" xr:uid="{A4805080-D1F3-4EB4-B279-C98309764688}"/>
    <cellStyle name="Normal 57" xfId="64" xr:uid="{6FAC6ECA-E0CF-4477-B02D-D6E12F1A68DD}"/>
    <cellStyle name="Normal 57 2" xfId="362" xr:uid="{631C7BC1-CA4C-42C1-B995-D2975EE735E8}"/>
    <cellStyle name="Normal 57 2 2" xfId="808" xr:uid="{7DB5C97C-7D03-479C-8888-293954D45314}"/>
    <cellStyle name="Normal 57 3" xfId="213" xr:uid="{7E39E080-DB5F-423E-B787-E63D94027A1D}"/>
    <cellStyle name="Normal 57 3 2" xfId="660" xr:uid="{2A6D4DD9-AE3C-4453-B9B8-F2B31AD09200}"/>
    <cellStyle name="Normal 57 4" xfId="512" xr:uid="{8236A361-E464-4A05-B25B-6B22BB822C0A}"/>
    <cellStyle name="Normal 58" xfId="65" xr:uid="{1C19D8B1-CBFD-42D6-8401-B4C0DAEBDFD5}"/>
    <cellStyle name="Normal 58 2" xfId="363" xr:uid="{94CB654F-A184-468A-96C9-75B5D2F30FB4}"/>
    <cellStyle name="Normal 58 2 2" xfId="809" xr:uid="{81005C30-5F0E-42A5-8756-43560F0DDCD4}"/>
    <cellStyle name="Normal 58 3" xfId="214" xr:uid="{EC124685-94D7-4382-B2C3-9AD0FFFCB362}"/>
    <cellStyle name="Normal 58 3 2" xfId="661" xr:uid="{35D22B24-0D5B-42D7-9138-A049A0B7ACD3}"/>
    <cellStyle name="Normal 58 4" xfId="513" xr:uid="{EF0F0632-F247-4989-A0A3-51483339A73B}"/>
    <cellStyle name="Normal 59" xfId="298" xr:uid="{2EA3F54F-FF7A-46E2-A1CD-84F28270B2BC}"/>
    <cellStyle name="Normal 6" xfId="7" xr:uid="{76E1A648-048B-471C-8BE5-93FEFDD17E09}"/>
    <cellStyle name="Normal 6 2" xfId="74" xr:uid="{DAA39BAC-51A7-4173-961A-1A0FA77B13EE}"/>
    <cellStyle name="Normal 6 2 2" xfId="372" xr:uid="{2CABEABA-E2DF-4BBE-8659-329B8B897A34}"/>
    <cellStyle name="Normal 6 2 2 2" xfId="818" xr:uid="{1A83EB03-25D9-4F63-88E7-6835AA481065}"/>
    <cellStyle name="Normal 6 2 3" xfId="223" xr:uid="{15E9A53C-0A81-484A-B8BB-88C19BB748AB}"/>
    <cellStyle name="Normal 6 2 3 2" xfId="670" xr:uid="{CEB76069-D4B2-420F-B2FA-40B4EC820157}"/>
    <cellStyle name="Normal 6 2 4" xfId="522" xr:uid="{ADC3AFFD-A804-4788-A011-32341A9335CA}"/>
    <cellStyle name="Normal 6 3" xfId="76" xr:uid="{E20E6295-3EC4-49CE-9482-3B5DDB4A9831}"/>
    <cellStyle name="Normal 6 3 2" xfId="374" xr:uid="{57D8613A-4C73-4B46-8C39-E6B9BF9ADC28}"/>
    <cellStyle name="Normal 6 3 2 2" xfId="820" xr:uid="{A65EE5FE-139A-4BE8-82A5-4F5FF2F686C2}"/>
    <cellStyle name="Normal 6 3 3" xfId="225" xr:uid="{F3A175F9-023A-4DEE-A28B-A32696416F73}"/>
    <cellStyle name="Normal 6 3 3 2" xfId="672" xr:uid="{003D9675-A8EE-4D79-AAA8-81F3C9E4B76A}"/>
    <cellStyle name="Normal 6 3 4" xfId="524" xr:uid="{2EB15905-4D65-45CE-98AC-794E968BB2DD}"/>
    <cellStyle name="Normal 6 4" xfId="305" xr:uid="{D405E15F-8193-44BE-9952-D87E720F6D73}"/>
    <cellStyle name="Normal 6 4 2" xfId="751" xr:uid="{980A9FB4-0816-4BB0-9B94-A2736745DE64}"/>
    <cellStyle name="Normal 6 5" xfId="73" xr:uid="{5416120B-B6CB-4F39-93EA-5934546B7F85}"/>
    <cellStyle name="Normal 6 5 2" xfId="371" xr:uid="{AEA38838-EB8E-4BFE-A89B-C3B030023BA0}"/>
    <cellStyle name="Normal 6 5 2 2" xfId="817" xr:uid="{232B2066-9A11-4DA7-ACDD-6F50A234A1A3}"/>
    <cellStyle name="Normal 6 5 3" xfId="222" xr:uid="{CFCB2D01-2A60-4C3B-A20A-D69AD7425FDD}"/>
    <cellStyle name="Normal 6 5 3 2" xfId="669" xr:uid="{9A96D915-5B06-43C7-B642-9D5B01D1F435}"/>
    <cellStyle name="Normal 6 5 4" xfId="521" xr:uid="{9BA60D48-B9A7-4554-9D72-6583696D5615}"/>
    <cellStyle name="Normal 6 6" xfId="156" xr:uid="{1FF92954-F040-4BD7-BBB9-76F4FB1BCF5C}"/>
    <cellStyle name="Normal 6 6 2" xfId="603" xr:uid="{DED4EBDC-341F-44FE-AB52-77306D510FF1}"/>
    <cellStyle name="Normal 6 7" xfId="455" xr:uid="{AA3BB4F5-97A8-4A91-A42C-81DF6756166D}"/>
    <cellStyle name="Normal 60" xfId="92" xr:uid="{875F6E86-2B16-4541-BF8E-FCF7A446C392}"/>
    <cellStyle name="Normal 60 2" xfId="390" xr:uid="{8AB39558-60F6-4945-B390-4532149B1D6A}"/>
    <cellStyle name="Normal 60 2 2" xfId="836" xr:uid="{8FFD6AC7-9B34-416C-B4CB-9EE044CFF0F9}"/>
    <cellStyle name="Normal 60 3" xfId="241" xr:uid="{94F54005-4030-4489-9D89-8670508A6F26}"/>
    <cellStyle name="Normal 60 3 2" xfId="688" xr:uid="{1C80F90C-B97F-4605-8AE4-F2DB7FCF2026}"/>
    <cellStyle name="Normal 60 4" xfId="540" xr:uid="{71BBAFC8-B53D-455D-A7EF-A7C0763A28EF}"/>
    <cellStyle name="Normal 61" xfId="79" xr:uid="{81F50EAE-832A-4B1F-B4D3-116E08B91968}"/>
    <cellStyle name="Normal 61 2" xfId="377" xr:uid="{2813E5B7-55CC-43FF-9841-06241E43F003}"/>
    <cellStyle name="Normal 61 2 2" xfId="823" xr:uid="{DD8B6D64-CACC-4C99-AA3E-964B0D06DC49}"/>
    <cellStyle name="Normal 61 3" xfId="228" xr:uid="{A975974F-EBCA-458D-9650-8E7F883E151A}"/>
    <cellStyle name="Normal 61 3 2" xfId="675" xr:uid="{6545AB16-DFDD-4ABF-9440-4889CE901B06}"/>
    <cellStyle name="Normal 61 4" xfId="527" xr:uid="{F4A4AD64-2968-4362-AA70-BEA657BE18DE}"/>
    <cellStyle name="Normal 62" xfId="447" xr:uid="{7E89E6DE-D8BF-4508-87DA-62F17B167DFA}"/>
    <cellStyle name="Normal 63" xfId="149" xr:uid="{5E82B01E-ECB1-4041-8E6D-811965363030}"/>
    <cellStyle name="Normal 64" xfId="448" xr:uid="{0DD68F29-1B9A-4025-A414-8244529CB003}"/>
    <cellStyle name="Normal 65" xfId="894" xr:uid="{832C0C74-1D3C-4343-80ED-DB5B2E9A5822}"/>
    <cellStyle name="Normal 66" xfId="895" xr:uid="{934261A5-663B-429B-9A28-4BEDF332EE82}"/>
    <cellStyle name="Normal 7" xfId="5" xr:uid="{15D6BDD2-E784-4031-885D-947BFFDB638B}"/>
    <cellStyle name="Normal 7 10" xfId="453" xr:uid="{4E812EF0-D23C-4266-BA30-6AE80BC6B86A}"/>
    <cellStyle name="Normal 7 2" xfId="13" xr:uid="{2E34F7D6-F03B-459F-BA6B-791238651F7E}"/>
    <cellStyle name="Normal 7 2 2" xfId="33" xr:uid="{D44E7608-16CF-41B4-9D02-3B368B1A90F8}"/>
    <cellStyle name="Normal 7 2 2 2" xfId="331" xr:uid="{065C64E1-8CAE-4F21-9C36-5ED47CE0D7DA}"/>
    <cellStyle name="Normal 7 2 2 2 2" xfId="777" xr:uid="{507E4D95-DB44-43D5-924F-5B3BC3845B07}"/>
    <cellStyle name="Normal 7 2 2 3" xfId="182" xr:uid="{DA3F542D-1717-48FB-AF02-352591C4D61B}"/>
    <cellStyle name="Normal 7 2 2 3 2" xfId="629" xr:uid="{398CA49C-FAC7-46F6-B67F-29815ED46433}"/>
    <cellStyle name="Normal 7 2 2 4" xfId="481" xr:uid="{AC7F8892-D360-48E0-9677-6783F3FDB22F}"/>
    <cellStyle name="Normal 7 2 3" xfId="35" xr:uid="{ABD8A95C-49AF-494C-A8CC-8D74324F02CE}"/>
    <cellStyle name="Normal 7 2 3 2" xfId="61" xr:uid="{B48DB3D6-545A-4C0C-86C7-FBB70769F2BA}"/>
    <cellStyle name="Normal 7 2 3 2 2" xfId="359" xr:uid="{422CEA57-2AF9-4C11-B880-65138D80EA7E}"/>
    <cellStyle name="Normal 7 2 3 2 2 2" xfId="805" xr:uid="{BA65B82B-AC32-4AEC-AC85-EC6F4A738E41}"/>
    <cellStyle name="Normal 7 2 3 2 3" xfId="210" xr:uid="{43697CD4-18B3-4BC1-9FD3-BA3AA2544A66}"/>
    <cellStyle name="Normal 7 2 3 2 3 2" xfId="657" xr:uid="{281340D3-B78F-4130-9368-1FD6BC1BCB2F}"/>
    <cellStyle name="Normal 7 2 3 2 4" xfId="509" xr:uid="{1A844CD8-94E6-4FE3-8BAF-8922625B52A5}"/>
    <cellStyle name="Normal 7 2 3 3" xfId="333" xr:uid="{8016AC7A-F7F6-4F41-BA76-A992F11E34E1}"/>
    <cellStyle name="Normal 7 2 3 3 2" xfId="779" xr:uid="{7DE1B3BC-665B-4D9E-A5AC-0E94E9AF70DA}"/>
    <cellStyle name="Normal 7 2 3 4" xfId="184" xr:uid="{62CD7359-DED4-4CD2-8DD5-7F30AD2C1A50}"/>
    <cellStyle name="Normal 7 2 3 4 2" xfId="631" xr:uid="{388A41CC-0BD5-4229-BC3B-A1040F875274}"/>
    <cellStyle name="Normal 7 2 3 5" xfId="483" xr:uid="{0DAD5725-6AE4-4819-958E-FE944B6A0D0C}"/>
    <cellStyle name="Normal 7 2 4" xfId="108" xr:uid="{55434114-0C08-4153-8D4A-DBBDDB29C74D}"/>
    <cellStyle name="Normal 7 2 4 2" xfId="406" xr:uid="{C3AFED1B-854F-485A-83AC-1FC4DE49EA88}"/>
    <cellStyle name="Normal 7 2 4 2 2" xfId="852" xr:uid="{E8B67348-26A0-4DC3-8FCA-772D019222B4}"/>
    <cellStyle name="Normal 7 2 4 3" xfId="257" xr:uid="{C364F912-7C37-418E-80C3-BADAE093464F}"/>
    <cellStyle name="Normal 7 2 4 3 2" xfId="704" xr:uid="{36A9FB93-6A00-4D0E-925C-E81A47EA1EC6}"/>
    <cellStyle name="Normal 7 2 4 4" xfId="556" xr:uid="{12422C4B-EFC2-4E5E-AA9F-815A2ED88F22}"/>
    <cellStyle name="Normal 7 2 5" xfId="311" xr:uid="{8AFE385D-0E3C-4983-B21A-6756D0B606D6}"/>
    <cellStyle name="Normal 7 2 5 2" xfId="757" xr:uid="{1B5FD4A7-719E-45CF-A06E-4B2F6B4D97AC}"/>
    <cellStyle name="Normal 7 2 6" xfId="162" xr:uid="{A09C4C34-436C-4087-9ADD-BB8B54CFCA8E}"/>
    <cellStyle name="Normal 7 2 6 2" xfId="609" xr:uid="{D2297145-0870-412F-B166-0283C09BCBD7}"/>
    <cellStyle name="Normal 7 2 7" xfId="461" xr:uid="{340A16B5-1A80-4B68-B419-70705FDEE4D6}"/>
    <cellStyle name="Normal 7 3" xfId="67" xr:uid="{FC975770-9DB3-4261-96DA-B656B7038375}"/>
    <cellStyle name="Normal 7 3 2" xfId="75" xr:uid="{4CC237F5-3403-4A56-8515-7D68E6826DF7}"/>
    <cellStyle name="Normal 7 3 2 2" xfId="373" xr:uid="{1FE38658-556A-428C-8FA5-A20F170C47F9}"/>
    <cellStyle name="Normal 7 3 2 2 2" xfId="819" xr:uid="{DD3B2256-FCE0-466C-8221-6B1FE5191D3D}"/>
    <cellStyle name="Normal 7 3 2 3" xfId="93" xr:uid="{BC7F0151-A329-4304-BF1C-68E4F4DC7C7A}"/>
    <cellStyle name="Normal 7 3 2 3 2" xfId="391" xr:uid="{9F8FBB81-FEBE-468F-8D70-2DCA7BA1DF8E}"/>
    <cellStyle name="Normal 7 3 2 3 2 2" xfId="837" xr:uid="{B616370A-2F1E-409F-87E8-409FB8FB5A97}"/>
    <cellStyle name="Normal 7 3 2 3 3" xfId="242" xr:uid="{E178DC2E-8037-413E-8909-922F85DE3BDD}"/>
    <cellStyle name="Normal 7 3 2 3 3 2" xfId="689" xr:uid="{61C748C6-6B83-4D00-BFDF-C36129A929F9}"/>
    <cellStyle name="Normal 7 3 2 3 4" xfId="541" xr:uid="{E8A9F0A0-D31D-4175-B056-775418C7EF96}"/>
    <cellStyle name="Normal 7 3 2 4" xfId="224" xr:uid="{206E8DC3-5BC6-4F4B-AC72-BBCDBD66CC10}"/>
    <cellStyle name="Normal 7 3 2 4 2" xfId="671" xr:uid="{08F7B70B-03B2-4FA3-ADE7-848EC5EDF5BB}"/>
    <cellStyle name="Normal 7 3 2 5" xfId="523" xr:uid="{4ADD3013-92D8-4B1B-BC0E-D74DC88596DF}"/>
    <cellStyle name="Normal 7 3 3" xfId="365" xr:uid="{DC1393DD-BD15-4127-A378-1BDD06935529}"/>
    <cellStyle name="Normal 7 3 3 2" xfId="811" xr:uid="{9BF7610B-45C6-49EF-B51F-B6B9617A5365}"/>
    <cellStyle name="Normal 7 3 4" xfId="216" xr:uid="{8DF66007-26EB-4767-8EDB-783BD8374BDB}"/>
    <cellStyle name="Normal 7 3 4 2" xfId="663" xr:uid="{43FFBC2E-1087-454D-8617-39411FDBE5DF}"/>
    <cellStyle name="Normal 7 3 5" xfId="515" xr:uid="{0740E75D-9F57-498B-AF30-8F2329FBFD9C}"/>
    <cellStyle name="Normal 7 4" xfId="70" xr:uid="{993E4747-EDA8-43CE-A0A7-B31A10505DCA}"/>
    <cellStyle name="Normal 7 4 2" xfId="368" xr:uid="{379E054D-D8CF-4E34-9CE6-53CB54AECDE2}"/>
    <cellStyle name="Normal 7 4 2 2" xfId="814" xr:uid="{5DAD89CE-4188-4369-B4B9-38E697D0B5EA}"/>
    <cellStyle name="Normal 7 4 3" xfId="219" xr:uid="{32C5DBE8-0030-40B7-8F4C-DD5210A41586}"/>
    <cellStyle name="Normal 7 4 3 2" xfId="666" xr:uid="{26C913AF-DC42-454B-8EBF-160F464531D6}"/>
    <cellStyle name="Normal 7 4 4" xfId="518" xr:uid="{BD59DA9B-1C18-4F9B-8100-DC580B286494}"/>
    <cellStyle name="Normal 7 5" xfId="72" xr:uid="{275D2674-7934-42FA-8345-7F9444885853}"/>
    <cellStyle name="Normal 7 5 2" xfId="370" xr:uid="{2E79D484-7035-40D8-AAB5-48E897D54644}"/>
    <cellStyle name="Normal 7 5 2 2" xfId="816" xr:uid="{9E44521F-91BD-4220-A1FB-4824FAD40035}"/>
    <cellStyle name="Normal 7 5 3" xfId="221" xr:uid="{DCA67636-83F5-44EF-B0B9-5DF88BC6B2DB}"/>
    <cellStyle name="Normal 7 5 3 2" xfId="668" xr:uid="{8F7CA679-7220-4992-A0B2-87A304AF888F}"/>
    <cellStyle name="Normal 7 5 4" xfId="520" xr:uid="{B04DFC6C-4305-4147-9B7F-7432A284692D}"/>
    <cellStyle name="Normal 7 6" xfId="102" xr:uid="{BBCD622F-47E3-4B40-82E0-F1131C041E13}"/>
    <cellStyle name="Normal 7 6 2" xfId="112" xr:uid="{15D3E263-00E0-4B6D-9D9D-5D8C2784D05D}"/>
    <cellStyle name="Normal 7 6 2 2" xfId="127" xr:uid="{73F79758-BF26-4A0B-94E8-7895A4A577A9}"/>
    <cellStyle name="Normal 7 6 2 2 2" xfId="139" xr:uid="{A6ED49ED-E2C3-416F-BD2B-13B469CBDE86}"/>
    <cellStyle name="Normal 7 6 2 2 2 2" xfId="147" xr:uid="{5502AB86-4369-48CA-8195-364CD5C52CFD}"/>
    <cellStyle name="Normal 7 6 2 2 2 2 2" xfId="445" xr:uid="{8794D4F9-7313-496E-B8AE-959F654C66AD}"/>
    <cellStyle name="Normal 7 6 2 2 2 2 2 2" xfId="891" xr:uid="{6620BAF0-6D86-4A94-8B61-87C542A06D23}"/>
    <cellStyle name="Normal 7 6 2 2 2 2 3" xfId="296" xr:uid="{196FA91E-A82C-420F-9013-38EFCDBFECA3}"/>
    <cellStyle name="Normal 7 6 2 2 2 2 3 2" xfId="743" xr:uid="{DB48D680-632D-4ACA-B7F1-732E692468D8}"/>
    <cellStyle name="Normal 7 6 2 2 2 2 4" xfId="595" xr:uid="{4AD0CBC2-D87A-4CE3-AE4E-218E9F52611D}"/>
    <cellStyle name="Normal 7 6 2 2 2 3" xfId="437" xr:uid="{57EBAB10-F84F-452E-807D-7CBF13B0A054}"/>
    <cellStyle name="Normal 7 6 2 2 2 3 2" xfId="883" xr:uid="{11563266-CB36-4178-919D-C2A8CD2EC99F}"/>
    <cellStyle name="Normal 7 6 2 2 2 4" xfId="288" xr:uid="{17449C48-B8BA-4106-BE6F-4830DD8EC421}"/>
    <cellStyle name="Normal 7 6 2 2 2 4 2" xfId="735" xr:uid="{588D883E-0FDB-4640-A61A-F757D0CC20EB}"/>
    <cellStyle name="Normal 7 6 2 2 2 5" xfId="587" xr:uid="{5E5FB8B5-B3E3-4483-9ED4-C2F36CEFB6D6}"/>
    <cellStyle name="Normal 7 6 2 2 3" xfId="425" xr:uid="{439B4418-0681-40D0-97DB-71FB2DE50097}"/>
    <cellStyle name="Normal 7 6 2 2 3 2" xfId="871" xr:uid="{B03FE7B6-40FB-4D6F-BB56-09508453B1BF}"/>
    <cellStyle name="Normal 7 6 2 2 4" xfId="276" xr:uid="{79A2FFD2-6FEC-4C3D-9BE7-E8F8D6DBE875}"/>
    <cellStyle name="Normal 7 6 2 2 4 2" xfId="723" xr:uid="{7EA3C4E4-17E4-4E6F-A6BE-9F3B80802FC0}"/>
    <cellStyle name="Normal 7 6 2 2 5" xfId="575" xr:uid="{1F6BBF29-1775-4A64-91C9-4C4F4C86F278}"/>
    <cellStyle name="Normal 7 6 2 3" xfId="410" xr:uid="{98DE164E-A823-424A-9D4B-9A54FBEADCF7}"/>
    <cellStyle name="Normal 7 6 2 3 2" xfId="856" xr:uid="{DB82C63B-BE6F-4384-B2B5-98B643264A0A}"/>
    <cellStyle name="Normal 7 6 2 4" xfId="261" xr:uid="{168F89A6-805C-4BB5-879B-EBC3385538C6}"/>
    <cellStyle name="Normal 7 6 2 4 2" xfId="708" xr:uid="{D5AFF147-F533-4267-B638-19327C4CD4A6}"/>
    <cellStyle name="Normal 7 6 2 5" xfId="560" xr:uid="{F37EB97A-33D8-41E2-9969-4471F8520105}"/>
    <cellStyle name="Normal 7 6 3" xfId="400" xr:uid="{FF59DA0C-7B7F-4930-BC66-0A9497253889}"/>
    <cellStyle name="Normal 7 6 3 2" xfId="846" xr:uid="{BCC22A2E-96F7-423E-BA39-00AF873918AD}"/>
    <cellStyle name="Normal 7 6 4" xfId="251" xr:uid="{F6DAA6D8-2AAC-4044-A01E-111DCC8FBE6B}"/>
    <cellStyle name="Normal 7 6 4 2" xfId="698" xr:uid="{7776D602-99F0-446A-AD64-9D7CFB3E80DB}"/>
    <cellStyle name="Normal 7 6 5" xfId="550" xr:uid="{0D949974-4753-453E-955B-8A42CE00EF91}"/>
    <cellStyle name="Normal 7 7" xfId="78" xr:uid="{70EE985C-7E33-4D92-B6A3-731B58540E01}"/>
    <cellStyle name="Normal 7 7 2" xfId="376" xr:uid="{2A5A579A-272E-4065-B64F-B28575A55693}"/>
    <cellStyle name="Normal 7 7 2 2" xfId="822" xr:uid="{9CBDDCAD-9934-46D5-9E2A-F151841A8E23}"/>
    <cellStyle name="Normal 7 7 3" xfId="227" xr:uid="{29DFDD7F-5266-4632-9EEB-B19FA446ACFB}"/>
    <cellStyle name="Normal 7 7 3 2" xfId="674" xr:uid="{D4C4490E-84BB-4A08-9931-4F800F22D457}"/>
    <cellStyle name="Normal 7 7 4" xfId="526" xr:uid="{A68A2D41-C819-43B6-9ECF-363DD15F907A}"/>
    <cellStyle name="Normal 7 8" xfId="303" xr:uid="{EF843EEE-A40D-4CEB-9599-FE2D05855E7A}"/>
    <cellStyle name="Normal 7 8 2" xfId="749" xr:uid="{587669E3-3A67-4E6D-88BC-D96AA2BF9AC0}"/>
    <cellStyle name="Normal 7 9" xfId="154" xr:uid="{85EE5C3D-5C4C-45FF-A863-A48C9A65EDB1}"/>
    <cellStyle name="Normal 7 9 2" xfId="601" xr:uid="{E71919FD-6C75-45F0-A17F-4978435F31E5}"/>
    <cellStyle name="Normal 8" xfId="6" xr:uid="{B06E444D-4F01-4EA7-B241-5C710F62B1E5}"/>
    <cellStyle name="Normal 8 2" xfId="68" xr:uid="{C58A5FAC-2010-4641-AD3C-5AA05D640BC0}"/>
    <cellStyle name="Normal 8 2 2" xfId="366" xr:uid="{BE171658-A63A-49A0-8146-C3FBF4CB569E}"/>
    <cellStyle name="Normal 8 2 2 2" xfId="812" xr:uid="{89C956CF-63B3-4712-AA76-A0855F51AC3F}"/>
    <cellStyle name="Normal 8 2 3" xfId="217" xr:uid="{E10CAD96-A6F8-4E4E-B5C4-060A1D54231E}"/>
    <cellStyle name="Normal 8 2 3 2" xfId="664" xr:uid="{3E946C81-7CDA-42DB-A4B6-283CC524149B}"/>
    <cellStyle name="Normal 8 2 4" xfId="516" xr:uid="{96FA5DE9-674A-484A-9D7F-EC989414AAC5}"/>
    <cellStyle name="Normal 8 3" xfId="69" xr:uid="{70F23EE4-6D0B-48E2-9618-B0FF180E398B}"/>
    <cellStyle name="Normal 8 3 2" xfId="367" xr:uid="{C72E4410-6DC9-4C4F-A7B5-B2A20C58DBCF}"/>
    <cellStyle name="Normal 8 3 2 2" xfId="813" xr:uid="{28A4F8D7-7A26-49AF-82C4-529AB215CA17}"/>
    <cellStyle name="Normal 8 3 3" xfId="218" xr:uid="{7AB6D724-6E19-4B27-850A-2FD0D12D6108}"/>
    <cellStyle name="Normal 8 3 3 2" xfId="665" xr:uid="{38A73C1E-AAD7-40B6-A642-1BC26862317F}"/>
    <cellStyle name="Normal 8 3 4" xfId="517" xr:uid="{EDD60CBB-EF01-426F-9AE3-48CE71B1EB99}"/>
    <cellStyle name="Normal 8 4" xfId="71" xr:uid="{15CB17EC-83B1-49CC-963A-37F5D0ADE4DC}"/>
    <cellStyle name="Normal 8 4 2" xfId="369" xr:uid="{30F947AF-F429-4FA0-AFF5-D70221AD5C72}"/>
    <cellStyle name="Normal 8 4 2 2" xfId="815" xr:uid="{7DB3F1E6-DB09-4DD2-A83B-FC7C8BC4AAC5}"/>
    <cellStyle name="Normal 8 4 3" xfId="220" xr:uid="{8AA7841C-51EF-4897-99BD-E18388A5F38C}"/>
    <cellStyle name="Normal 8 4 3 2" xfId="667" xr:uid="{40C2A802-83EA-4D44-BC9A-9FF7721C6A6E}"/>
    <cellStyle name="Normal 8 4 4" xfId="519" xr:uid="{388B6384-D2E8-49EB-B75D-8596D8F7195E}"/>
    <cellStyle name="Normal 8 5" xfId="304" xr:uid="{95990B0A-E069-4BE4-A62F-7A5DD2C0AD18}"/>
    <cellStyle name="Normal 8 5 2" xfId="750" xr:uid="{A7C1A9D1-53CD-43D2-811B-D919071CCC13}"/>
    <cellStyle name="Normal 8 6" xfId="155" xr:uid="{A26E2BE9-5209-4869-9538-90AA3A78D533}"/>
    <cellStyle name="Normal 8 6 2" xfId="602" xr:uid="{A00BB4CA-74D6-4C2A-8280-69CB6052758C}"/>
    <cellStyle name="Normal 8 7" xfId="454" xr:uid="{50098DED-1722-4B63-BDFE-9B277153685D}"/>
    <cellStyle name="Normal 9" xfId="15" xr:uid="{06906B83-0E2D-42BE-A0FC-E3BECAF283A4}"/>
    <cellStyle name="Normal 9 2" xfId="16" xr:uid="{47E27763-3305-46ED-B30A-2532D2F44915}"/>
    <cellStyle name="Normal 9 2 2" xfId="314" xr:uid="{AE2FA837-4B87-4DDC-91AD-C953CB669F45}"/>
    <cellStyle name="Normal 9 2 2 2" xfId="760" xr:uid="{2CA1FCA0-A194-4190-8081-32A9CA5DF380}"/>
    <cellStyle name="Normal 9 2 3" xfId="165" xr:uid="{6A832FDE-54DA-4F39-ACDB-BE4E8AE8A21B}"/>
    <cellStyle name="Normal 9 2 3 2" xfId="612" xr:uid="{4A6A3B37-83A8-4063-896D-F6A0C2183F16}"/>
    <cellStyle name="Normal 9 2 4" xfId="464" xr:uid="{013DE47B-56A4-4CE9-A7D5-6C3C94A023FF}"/>
    <cellStyle name="Normal 9 3" xfId="109" xr:uid="{41FE7570-08A2-4B20-8D6E-8DCA44599E1A}"/>
    <cellStyle name="Normal 9 3 2" xfId="407" xr:uid="{B12C3677-CAFA-430A-AF15-89C4DA113EFD}"/>
    <cellStyle name="Normal 9 3 2 2" xfId="853" xr:uid="{B624FEE1-8965-48C6-97CD-AEF95C370B2D}"/>
    <cellStyle name="Normal 9 3 3" xfId="258" xr:uid="{59C7401F-4944-4BC4-80DB-F984A3074C5B}"/>
    <cellStyle name="Normal 9 3 3 2" xfId="705" xr:uid="{28B12ECA-0CDB-4F0D-A639-D19FEA935408}"/>
    <cellStyle name="Normal 9 3 4" xfId="557" xr:uid="{C01DA90D-69D5-41B9-BC00-C1D5DFCC2CBE}"/>
    <cellStyle name="Normal 9 4" xfId="110" xr:uid="{7D32D067-8A16-453E-B5F1-804F136F51F5}"/>
    <cellStyle name="Normal 9 4 2" xfId="408" xr:uid="{11EEA825-F89B-4F01-8392-3F7DD2DC870F}"/>
    <cellStyle name="Normal 9 4 2 2" xfId="854" xr:uid="{AEFEA594-55A2-4DF5-B27C-E6D53D62F5D4}"/>
    <cellStyle name="Normal 9 4 3" xfId="259" xr:uid="{BF157F03-0E2C-4EF6-8121-0CD92D456D87}"/>
    <cellStyle name="Normal 9 4 3 2" xfId="706" xr:uid="{CF780ECE-8CD1-4F94-BD3C-7FDEB75EAF83}"/>
    <cellStyle name="Normal 9 4 4" xfId="558" xr:uid="{FB9BB463-99BF-4CD1-A523-BB4CC9F03C82}"/>
    <cellStyle name="Normal 9 5" xfId="313" xr:uid="{5AE8D254-C3BE-4CA1-B8BE-34A379741E56}"/>
    <cellStyle name="Normal 9 5 2" xfId="759" xr:uid="{B60D938C-9E34-476B-8615-202F560398FE}"/>
    <cellStyle name="Normal 9 6" xfId="82" xr:uid="{03C9F9C0-9678-4653-9AB4-D180BE62ACEB}"/>
    <cellStyle name="Normal 9 6 2" xfId="380" xr:uid="{B5805977-E430-4718-9D00-9533AD607965}"/>
    <cellStyle name="Normal 9 6 2 2" xfId="826" xr:uid="{09FCE5FC-F2BE-477C-8E68-6E9E7571956D}"/>
    <cellStyle name="Normal 9 6 3" xfId="231" xr:uid="{B94CBDCE-0EC1-4212-851E-270A4D52D878}"/>
    <cellStyle name="Normal 9 6 3 2" xfId="678" xr:uid="{580F204D-39EB-43DA-85AC-0226707D1E71}"/>
    <cellStyle name="Normal 9 6 4" xfId="530" xr:uid="{0189BAA4-433E-4A84-8EDA-823B12D60712}"/>
    <cellStyle name="Normal 9 7" xfId="164" xr:uid="{8AE32A19-9F42-4163-BEC1-7A81FBB34D65}"/>
    <cellStyle name="Normal 9 7 2" xfId="611" xr:uid="{9D3B3347-0B1D-4869-B3D7-90F194FCE2CA}"/>
    <cellStyle name="Normal 9 8" xfId="463" xr:uid="{E44A9E1A-B664-42D0-A297-F7B7098AF677}"/>
  </cellStyles>
  <dxfs count="3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2" formatCode="&quot;R$&quot;\ #,##0.00;[Red]\-&quot;R$&quot;\ #,##0.00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8" formatCode="[$R$ -416]#,##0.00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0" formatCode="[$-416]d\-mmm\-yy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70" formatCode="[$-416]d\-mmm\-yy"/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5B95F9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2" defaultPivotStyle="PivotStyleLight16">
    <tableStyle name="FECHAMENTO-style" pivot="0" count="2" xr9:uid="{00000000-0011-0000-FFFF-FFFF00000000}">
      <tableStyleElement type="firstRowStripe" dxfId="30"/>
      <tableStyleElement type="secondRowStripe" dxfId="29"/>
    </tableStyle>
    <tableStyle name="FECHAMENTO-style 2" pivot="0" count="2" xr9:uid="{00000000-0011-0000-FFFF-FFFF01000000}">
      <tableStyleElement type="firstRowStripe" dxfId="28"/>
      <tableStyleElement type="secondRowStripe" dxfId="27"/>
    </tableStyle>
    <tableStyle name="FECHAMENTO-style 3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FECHAMENTO-style 4" pivot="0" count="2" xr9:uid="{00000000-0011-0000-FFFF-FFFF03000000}"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179069</xdr:colOff>
      <xdr:row>1</xdr:row>
      <xdr:rowOff>26469</xdr:rowOff>
    </xdr:from>
    <xdr:to>
      <xdr:col>6</xdr:col>
      <xdr:colOff>207645</xdr:colOff>
      <xdr:row>1</xdr:row>
      <xdr:rowOff>702563</xdr:rowOff>
    </xdr:to>
    <xdr:pic>
      <xdr:nvPicPr>
        <xdr:cNvPr id="2" name="Imagem 1" descr="LOGO ENGELÉTRICA CDR X5.jpg">
          <a:extLst>
            <a:ext uri="{FF2B5EF4-FFF2-40B4-BE49-F238E27FC236}">
              <a16:creationId xmlns:a16="http://schemas.microsoft.com/office/drawing/2014/main" id="{25D85BB0-5EFC-4359-A463-E57CC6BA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4" y="216969"/>
          <a:ext cx="3288031" cy="6760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323850</xdr:colOff>
      <xdr:row>0</xdr:row>
      <xdr:rowOff>9525</xdr:rowOff>
    </xdr:from>
    <xdr:ext cx="2943225" cy="6286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323850</xdr:colOff>
      <xdr:row>0</xdr:row>
      <xdr:rowOff>9525</xdr:rowOff>
    </xdr:from>
    <xdr:ext cx="2943225" cy="628650"/>
    <xdr:pic>
      <xdr:nvPicPr>
        <xdr:cNvPr id="2" name="image4.pn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3" displayName="Table_3" ref="A3:R88">
  <tableColumns count="18">
    <tableColumn id="1" xr3:uid="{00000000-0010-0000-0000-000001000000}" name="LOTE ENVIADO" dataDxfId="21" dataCellStyle="Normal 7"/>
    <tableColumn id="2" xr3:uid="{00000000-0010-0000-0000-000002000000}" name="DATA ENVIO LOTE" dataDxfId="20" dataCellStyle="Normal 7"/>
    <tableColumn id="3" xr3:uid="{00000000-0010-0000-0000-000003000000}" name="Nº CONTRATO" dataDxfId="19" dataCellStyle="Normal 7"/>
    <tableColumn id="4" xr3:uid="{00000000-0010-0000-0000-000004000000}" name="DATA EXECUÇÃO" dataDxfId="18" dataCellStyle="Normal 7"/>
    <tableColumn id="5" xr3:uid="{00000000-0010-0000-0000-000005000000}" name="EQUIPE" dataDxfId="17" dataCellStyle="Normal 7"/>
    <tableColumn id="6" xr3:uid="{00000000-0010-0000-0000-000006000000}" name="ENCARREGADO" dataDxfId="16" dataCellStyle="Normal 7"/>
    <tableColumn id="7" xr3:uid="{00000000-0010-0000-0000-000007000000}" name="IDENTIFICAÇÃO EQUIPAMENTO" dataDxfId="15" dataCellStyle="Normal 7"/>
    <tableColumn id="8" xr3:uid="{00000000-0010-0000-0000-000008000000}" name="OS COI" dataDxfId="14" dataCellStyle="Normal 7"/>
    <tableColumn id="9" xr3:uid="{00000000-0010-0000-0000-000009000000}" name="OS PRIMARIA" dataDxfId="13" dataCellStyle="Normal 7"/>
    <tableColumn id="10" xr3:uid="{00000000-0010-0000-0000-00000A000000}" name="OS SECUNDARIA" dataDxfId="12" dataCellStyle="Normal 7"/>
    <tableColumn id="11" xr3:uid="{00000000-0010-0000-0000-00000B000000}" name="CONTROLE CRS" dataDxfId="11" dataCellStyle="Normal 7"/>
    <tableColumn id="12" xr3:uid="{00000000-0010-0000-0000-00000C000000}" name="Apoio Linha Viva" dataDxfId="10" dataCellStyle="Normal 7"/>
    <tableColumn id="13" xr3:uid="{00000000-0010-0000-0000-00000D000000}" name="Nº DA OBRA  EMERGENCIAL" dataDxfId="9" dataCellStyle="Normal 7"/>
    <tableColumn id="14" xr3:uid="{00000000-0010-0000-0000-00000E000000}" name="VALOR CRS" dataDxfId="8" dataCellStyle="Normal 7"/>
    <tableColumn id="15" xr3:uid="{00000000-0010-0000-0000-00000F000000}" name=" VALOR NÚCLEO  " dataDxfId="7" dataCellStyle="Normal 7"/>
    <tableColumn id="16" xr3:uid="{00000000-0010-0000-0000-000010000000}" name="DIFERENÇA" dataDxfId="6" dataCellStyle="Normal 7"/>
    <tableColumn id="17" xr3:uid="{00000000-0010-0000-0000-000011000000}" name="OBSERVAÇÕES ENERGISA" dataDxfId="5" dataCellStyle="Normal 7"/>
    <tableColumn id="18" xr3:uid="{00000000-0010-0000-0000-000012000000}" name="OBSERVAÇÕES DINAMO" dataDxfId="4" dataCellStyle="Normal 7"/>
  </tableColumns>
  <tableStyleInfo name="FECHAMENTO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1F497D"/>
  </sheetPr>
  <dimension ref="A1:Z1067"/>
  <sheetViews>
    <sheetView workbookViewId="0">
      <pane ySplit="1" topLeftCell="A10" activePane="bottomLeft" state="frozen"/>
      <selection pane="bottomLeft" activeCell="B13" sqref="B13"/>
    </sheetView>
  </sheetViews>
  <sheetFormatPr defaultColWidth="14.44140625" defaultRowHeight="15" customHeight="1"/>
  <cols>
    <col min="1" max="1" width="19.44140625" style="810" customWidth="1"/>
    <col min="2" max="2" width="91.5546875" style="798" customWidth="1"/>
    <col min="3" max="3" width="18.109375" style="810" customWidth="1"/>
    <col min="4" max="4" width="80.33203125" hidden="1" customWidth="1"/>
    <col min="5" max="5" width="23" hidden="1" customWidth="1"/>
    <col min="6" max="6" width="31.33203125" hidden="1" customWidth="1"/>
    <col min="7" max="7" width="24.88671875" hidden="1" customWidth="1"/>
    <col min="8" max="14" width="13.33203125" customWidth="1"/>
    <col min="15" max="15" width="3.33203125" customWidth="1"/>
    <col min="16" max="16" width="8.5546875" customWidth="1"/>
    <col min="17" max="26" width="13.33203125" customWidth="1"/>
  </cols>
  <sheetData>
    <row r="1" spans="1:26" ht="25.5" customHeight="1">
      <c r="A1" s="799" t="s">
        <v>737</v>
      </c>
      <c r="B1" s="786" t="s">
        <v>0</v>
      </c>
      <c r="C1" s="81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" hidden="1" customHeight="1">
      <c r="A2" s="800">
        <v>90399</v>
      </c>
      <c r="B2" s="787" t="s">
        <v>687</v>
      </c>
      <c r="C2" s="812" t="s">
        <v>10</v>
      </c>
      <c r="D2" s="4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3"/>
      <c r="V2" s="3"/>
      <c r="W2" s="3"/>
      <c r="X2" s="3"/>
      <c r="Y2" s="3"/>
      <c r="Z2" s="3"/>
    </row>
    <row r="3" spans="1:26" ht="21" hidden="1" customHeight="1">
      <c r="A3" s="835">
        <v>90648</v>
      </c>
      <c r="B3" s="844" t="s">
        <v>990</v>
      </c>
      <c r="C3" s="835" t="s">
        <v>10</v>
      </c>
      <c r="D3" s="7">
        <v>10016721</v>
      </c>
      <c r="E3" s="5">
        <v>1</v>
      </c>
      <c r="F3" s="5" t="s">
        <v>8</v>
      </c>
      <c r="G3" s="5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3"/>
      <c r="V3" s="3"/>
      <c r="W3" s="3"/>
      <c r="X3" s="3"/>
      <c r="Y3" s="3"/>
      <c r="Z3" s="3"/>
    </row>
    <row r="4" spans="1:26" ht="21" customHeight="1">
      <c r="A4" s="800">
        <v>90301</v>
      </c>
      <c r="B4" s="816" t="s">
        <v>753</v>
      </c>
      <c r="C4" s="812" t="s">
        <v>962</v>
      </c>
      <c r="D4" s="4"/>
      <c r="E4" s="5"/>
      <c r="F4" s="5"/>
      <c r="G4" s="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3"/>
      <c r="V4" s="3"/>
      <c r="W4" s="3"/>
      <c r="X4" s="3"/>
      <c r="Y4" s="3"/>
      <c r="Z4" s="3"/>
    </row>
    <row r="5" spans="1:26" ht="21" customHeight="1">
      <c r="A5" s="835">
        <v>90301</v>
      </c>
      <c r="B5" s="844" t="s">
        <v>753</v>
      </c>
      <c r="C5" s="835" t="s">
        <v>13</v>
      </c>
      <c r="D5" s="4"/>
      <c r="E5" s="5"/>
      <c r="F5" s="5"/>
      <c r="G5" s="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3"/>
      <c r="V5" s="3"/>
      <c r="W5" s="3"/>
      <c r="X5" s="3"/>
      <c r="Y5" s="3"/>
      <c r="Z5" s="3"/>
    </row>
    <row r="6" spans="1:26" ht="21" customHeight="1">
      <c r="A6" s="800">
        <v>90013</v>
      </c>
      <c r="B6" s="816" t="s">
        <v>605</v>
      </c>
      <c r="C6" s="812" t="s">
        <v>962</v>
      </c>
      <c r="D6" s="9">
        <v>10000856</v>
      </c>
      <c r="E6" s="5">
        <v>0.245</v>
      </c>
      <c r="F6" s="5" t="s">
        <v>8</v>
      </c>
      <c r="G6" s="5" t="s">
        <v>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>
      <c r="A7" s="835">
        <v>90013</v>
      </c>
      <c r="B7" s="844" t="s">
        <v>605</v>
      </c>
      <c r="C7" s="835" t="s">
        <v>13</v>
      </c>
      <c r="D7" s="11" t="s">
        <v>11</v>
      </c>
      <c r="E7" s="5">
        <v>4.0199999999999996</v>
      </c>
      <c r="F7" s="5" t="s">
        <v>8</v>
      </c>
      <c r="G7" s="5" t="s">
        <v>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>
      <c r="A8" s="835">
        <v>113</v>
      </c>
      <c r="B8" s="844" t="s">
        <v>991</v>
      </c>
      <c r="C8" s="835" t="s">
        <v>10</v>
      </c>
      <c r="D8" s="9">
        <v>10000857</v>
      </c>
      <c r="E8" s="5">
        <v>0.39</v>
      </c>
      <c r="F8" s="5" t="s">
        <v>8</v>
      </c>
      <c r="G8" s="5" t="s">
        <v>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" customHeight="1">
      <c r="A9" s="835">
        <v>2814</v>
      </c>
      <c r="B9" s="844" t="s">
        <v>992</v>
      </c>
      <c r="C9" s="835" t="s">
        <v>10</v>
      </c>
      <c r="D9" s="9"/>
      <c r="E9" s="5"/>
      <c r="F9" s="5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" customHeight="1">
      <c r="A10" s="800">
        <v>90315</v>
      </c>
      <c r="B10" s="787" t="s">
        <v>666</v>
      </c>
      <c r="C10" s="812" t="s">
        <v>10</v>
      </c>
      <c r="D10" s="9">
        <v>10000846</v>
      </c>
      <c r="E10" s="5">
        <v>0.34</v>
      </c>
      <c r="F10" s="5" t="s">
        <v>8</v>
      </c>
      <c r="G10" s="5" t="s">
        <v>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" customHeight="1">
      <c r="A11" s="835">
        <v>90315</v>
      </c>
      <c r="B11" s="844" t="s">
        <v>666</v>
      </c>
      <c r="C11" s="835" t="s">
        <v>13</v>
      </c>
      <c r="D11" s="9">
        <v>10000805</v>
      </c>
      <c r="E11" s="5">
        <v>0.89500000000000002</v>
      </c>
      <c r="F11" s="5" t="s">
        <v>8</v>
      </c>
      <c r="G11" s="5" t="s">
        <v>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" customHeight="1">
      <c r="A12" s="800">
        <v>90308</v>
      </c>
      <c r="B12" s="787" t="s">
        <v>665</v>
      </c>
      <c r="C12" s="812" t="s">
        <v>10</v>
      </c>
      <c r="D12" s="9">
        <v>10000800</v>
      </c>
      <c r="E12" s="5">
        <v>0.24</v>
      </c>
      <c r="F12" s="5" t="s">
        <v>8</v>
      </c>
      <c r="G12" s="5" t="s">
        <v>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" customHeight="1">
      <c r="A13" s="835">
        <v>90308</v>
      </c>
      <c r="B13" s="844" t="s">
        <v>1158</v>
      </c>
      <c r="C13" s="835" t="s">
        <v>13</v>
      </c>
      <c r="D13" s="9">
        <v>10000809</v>
      </c>
      <c r="E13" s="5">
        <v>0.18</v>
      </c>
      <c r="F13" s="5" t="s">
        <v>8</v>
      </c>
      <c r="G13" s="5" t="s">
        <v>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" customHeight="1">
      <c r="A14" s="835">
        <v>90309</v>
      </c>
      <c r="B14" s="844" t="s">
        <v>993</v>
      </c>
      <c r="C14" s="835" t="s">
        <v>13</v>
      </c>
      <c r="D14" s="9">
        <v>10000817</v>
      </c>
      <c r="E14" s="5">
        <v>0.6</v>
      </c>
      <c r="F14" s="5" t="s">
        <v>8</v>
      </c>
      <c r="G14" s="5" t="s">
        <v>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" customHeight="1">
      <c r="A15" s="835">
        <v>90307</v>
      </c>
      <c r="B15" s="844" t="s">
        <v>994</v>
      </c>
      <c r="C15" s="835" t="s">
        <v>13</v>
      </c>
      <c r="D15" s="9">
        <v>10000849</v>
      </c>
      <c r="E15" s="5">
        <v>0.25</v>
      </c>
      <c r="F15" s="5" t="s">
        <v>8</v>
      </c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" customHeight="1">
      <c r="A16" s="800">
        <v>121</v>
      </c>
      <c r="B16" s="816" t="s">
        <v>12</v>
      </c>
      <c r="C16" s="812"/>
      <c r="D16" s="9">
        <v>10000840</v>
      </c>
      <c r="E16" s="5">
        <v>0.21</v>
      </c>
      <c r="F16" s="5" t="s">
        <v>8</v>
      </c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" customHeight="1">
      <c r="A17" s="835">
        <v>121</v>
      </c>
      <c r="B17" s="844" t="s">
        <v>12</v>
      </c>
      <c r="C17" s="835" t="s">
        <v>10</v>
      </c>
      <c r="D17" s="9">
        <v>10000808</v>
      </c>
      <c r="E17" s="5">
        <v>0.11</v>
      </c>
      <c r="F17" s="5" t="s">
        <v>8</v>
      </c>
      <c r="G17" s="5" t="s">
        <v>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customHeight="1">
      <c r="A18" s="835">
        <v>90303</v>
      </c>
      <c r="B18" s="844" t="s">
        <v>995</v>
      </c>
      <c r="C18" s="835" t="s">
        <v>13</v>
      </c>
      <c r="D18" s="771"/>
      <c r="E18" s="5"/>
      <c r="F18" s="5"/>
      <c r="G18" s="5"/>
      <c r="H18" s="772"/>
      <c r="I18" s="772"/>
      <c r="J18" s="772"/>
      <c r="K18" s="772"/>
      <c r="L18" s="772"/>
      <c r="M18" s="772"/>
      <c r="N18" s="772"/>
      <c r="O18" s="772"/>
      <c r="P18" s="772"/>
      <c r="Q18" s="772"/>
      <c r="R18" s="772"/>
      <c r="S18" s="772"/>
      <c r="T18" s="772"/>
      <c r="U18" s="772"/>
      <c r="V18" s="772"/>
      <c r="W18" s="772"/>
      <c r="X18" s="772"/>
      <c r="Y18" s="772"/>
      <c r="Z18" s="772"/>
    </row>
    <row r="19" spans="1:26" ht="21" customHeight="1">
      <c r="A19" s="800">
        <v>90305</v>
      </c>
      <c r="B19" s="816" t="s">
        <v>664</v>
      </c>
      <c r="C19" s="812" t="s">
        <v>13</v>
      </c>
      <c r="D19" s="9">
        <v>10000807</v>
      </c>
      <c r="E19" s="5">
        <v>0.7</v>
      </c>
      <c r="F19" s="5" t="s">
        <v>8</v>
      </c>
      <c r="G19" s="5" t="s">
        <v>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customHeight="1">
      <c r="A20" s="835">
        <v>90305</v>
      </c>
      <c r="B20" s="844" t="s">
        <v>664</v>
      </c>
      <c r="C20" s="835" t="s">
        <v>13</v>
      </c>
      <c r="D20" s="9">
        <v>10000812</v>
      </c>
      <c r="E20" s="5">
        <v>3.2000000000000001E-2</v>
      </c>
      <c r="F20" s="5" t="s">
        <v>8</v>
      </c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" customHeight="1">
      <c r="A21" s="800">
        <v>2815</v>
      </c>
      <c r="B21" s="787" t="s">
        <v>14</v>
      </c>
      <c r="C21" s="812" t="s">
        <v>10</v>
      </c>
      <c r="D21" s="9">
        <v>10000816</v>
      </c>
      <c r="E21" s="5">
        <v>0.31</v>
      </c>
      <c r="F21" s="5" t="s">
        <v>8</v>
      </c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" customHeight="1">
      <c r="A22" s="835">
        <v>2815</v>
      </c>
      <c r="B22" s="844" t="s">
        <v>14</v>
      </c>
      <c r="C22" s="835" t="s">
        <v>10</v>
      </c>
      <c r="D22" s="9">
        <v>10000859</v>
      </c>
      <c r="E22" s="5">
        <v>0.4</v>
      </c>
      <c r="F22" s="5" t="s">
        <v>8</v>
      </c>
      <c r="G22" s="5" t="s">
        <v>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" customHeight="1">
      <c r="A23" s="800">
        <v>2878</v>
      </c>
      <c r="B23" s="787" t="s">
        <v>592</v>
      </c>
      <c r="C23" s="812" t="s">
        <v>10</v>
      </c>
      <c r="D23" s="9">
        <v>10000853</v>
      </c>
      <c r="E23" s="5">
        <v>0.18</v>
      </c>
      <c r="F23" s="5" t="s">
        <v>8</v>
      </c>
      <c r="G23" s="5" t="s">
        <v>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" customHeight="1">
      <c r="A24" s="835">
        <v>2878</v>
      </c>
      <c r="B24" s="844" t="s">
        <v>592</v>
      </c>
      <c r="C24" s="835" t="s">
        <v>10</v>
      </c>
      <c r="D24" s="9">
        <v>10000839</v>
      </c>
      <c r="E24" s="5">
        <v>0.46</v>
      </c>
      <c r="F24" s="5" t="s">
        <v>8</v>
      </c>
      <c r="G24" s="5" t="s">
        <v>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1" hidden="1" customHeight="1">
      <c r="A25" s="835">
        <v>90537</v>
      </c>
      <c r="B25" s="844" t="s">
        <v>996</v>
      </c>
      <c r="C25" s="835" t="s">
        <v>13</v>
      </c>
      <c r="D25" s="9">
        <v>10000867</v>
      </c>
      <c r="E25" s="5">
        <v>0.02</v>
      </c>
      <c r="F25" s="5" t="s">
        <v>8</v>
      </c>
      <c r="G25" s="5" t="s">
        <v>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hidden="1" customHeight="1">
      <c r="A26" s="801">
        <v>90538</v>
      </c>
      <c r="B26" s="794" t="s">
        <v>712</v>
      </c>
      <c r="C26" s="801" t="s">
        <v>13</v>
      </c>
      <c r="D26" s="9">
        <v>10000868</v>
      </c>
      <c r="E26" s="5">
        <v>0.01</v>
      </c>
      <c r="F26" s="5" t="s">
        <v>8</v>
      </c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hidden="1" customHeight="1">
      <c r="A27" s="835">
        <v>90538</v>
      </c>
      <c r="B27" s="844" t="s">
        <v>712</v>
      </c>
      <c r="C27" s="835" t="s">
        <v>13</v>
      </c>
      <c r="D27" s="12"/>
      <c r="E27" s="10"/>
      <c r="F27" s="10"/>
      <c r="G27" s="10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  <c r="X27" s="3"/>
      <c r="Y27" s="3"/>
      <c r="Z27" s="3"/>
    </row>
    <row r="28" spans="1:26" ht="21" hidden="1" customHeight="1">
      <c r="A28" s="806">
        <v>90538</v>
      </c>
      <c r="B28" s="794" t="s">
        <v>1138</v>
      </c>
      <c r="C28" s="806" t="s">
        <v>13</v>
      </c>
      <c r="D28" s="9">
        <v>10002607</v>
      </c>
      <c r="E28" s="5">
        <v>0.8</v>
      </c>
      <c r="F28" s="5" t="s">
        <v>8</v>
      </c>
      <c r="G28" s="5" t="s">
        <v>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" hidden="1" customHeight="1">
      <c r="A29" s="800">
        <v>90300</v>
      </c>
      <c r="B29" s="816" t="s">
        <v>663</v>
      </c>
      <c r="C29" s="812" t="s">
        <v>13</v>
      </c>
      <c r="D29" s="9">
        <v>10002607</v>
      </c>
      <c r="E29" s="5">
        <v>0.8</v>
      </c>
      <c r="F29" s="5" t="s">
        <v>8</v>
      </c>
      <c r="G29" s="5" t="s">
        <v>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" hidden="1" customHeight="1">
      <c r="A30" s="835">
        <v>90300</v>
      </c>
      <c r="B30" s="844" t="s">
        <v>663</v>
      </c>
      <c r="C30" s="835" t="s">
        <v>8</v>
      </c>
      <c r="D30" s="9">
        <v>10002608</v>
      </c>
      <c r="E30" s="5">
        <v>1.92</v>
      </c>
      <c r="F30" s="5" t="s">
        <v>8</v>
      </c>
      <c r="G30" s="5" t="s">
        <v>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" hidden="1" customHeight="1">
      <c r="A31" s="820">
        <v>2966</v>
      </c>
      <c r="B31" s="817" t="s">
        <v>15</v>
      </c>
      <c r="C31" s="801" t="s">
        <v>962</v>
      </c>
      <c r="D31" s="771"/>
      <c r="E31" s="5"/>
      <c r="F31" s="5"/>
      <c r="G31" s="5"/>
      <c r="H31" s="772"/>
      <c r="I31" s="772"/>
      <c r="J31" s="772"/>
      <c r="K31" s="772"/>
      <c r="L31" s="772"/>
      <c r="M31" s="772"/>
      <c r="N31" s="772"/>
      <c r="O31" s="772"/>
      <c r="P31" s="772"/>
      <c r="Q31" s="772"/>
      <c r="R31" s="772"/>
      <c r="S31" s="772"/>
      <c r="T31" s="772"/>
      <c r="U31" s="772"/>
      <c r="V31" s="772"/>
      <c r="W31" s="772"/>
      <c r="X31" s="772"/>
      <c r="Y31" s="772"/>
      <c r="Z31" s="772"/>
    </row>
    <row r="32" spans="1:26" ht="21" hidden="1" customHeight="1">
      <c r="A32" s="835">
        <v>2966</v>
      </c>
      <c r="B32" s="844" t="s">
        <v>15</v>
      </c>
      <c r="C32" s="835" t="s">
        <v>10</v>
      </c>
      <c r="D32" s="9">
        <v>10002609</v>
      </c>
      <c r="E32" s="5">
        <v>3.06</v>
      </c>
      <c r="F32" s="5" t="s">
        <v>8</v>
      </c>
      <c r="G32" s="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1" hidden="1" customHeight="1">
      <c r="A33" s="800">
        <v>90393</v>
      </c>
      <c r="B33" s="787" t="s">
        <v>686</v>
      </c>
      <c r="C33" s="812" t="s">
        <v>10</v>
      </c>
      <c r="D33" s="9">
        <v>10002610</v>
      </c>
      <c r="E33" s="5">
        <v>4.0549999999999997</v>
      </c>
      <c r="F33" s="5" t="s">
        <v>8</v>
      </c>
      <c r="G33" s="5" t="s">
        <v>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3"/>
      <c r="V33" s="3"/>
      <c r="W33" s="3"/>
      <c r="X33" s="3"/>
      <c r="Y33" s="3"/>
      <c r="Z33" s="3"/>
    </row>
    <row r="34" spans="1:26" ht="21" hidden="1" customHeight="1">
      <c r="A34" s="835">
        <v>90393</v>
      </c>
      <c r="B34" s="844" t="s">
        <v>686</v>
      </c>
      <c r="C34" s="835" t="s">
        <v>13</v>
      </c>
      <c r="D34" s="9">
        <v>10008218</v>
      </c>
      <c r="E34" s="5">
        <v>0.02</v>
      </c>
      <c r="F34" s="5" t="s">
        <v>8</v>
      </c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3"/>
      <c r="V34" s="3"/>
      <c r="W34" s="3"/>
      <c r="X34" s="3"/>
      <c r="Y34" s="3"/>
      <c r="Z34" s="3"/>
    </row>
    <row r="35" spans="1:26" ht="21" hidden="1" customHeight="1">
      <c r="A35" s="835">
        <v>92017</v>
      </c>
      <c r="B35" s="844" t="s">
        <v>1133</v>
      </c>
      <c r="C35" s="835" t="s">
        <v>10</v>
      </c>
      <c r="D35" s="9">
        <v>10000872</v>
      </c>
      <c r="E35" s="5">
        <v>2.5999999999999999E-2</v>
      </c>
      <c r="F35" s="5" t="s">
        <v>8</v>
      </c>
      <c r="G35" s="5" t="s">
        <v>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hidden="1" customHeight="1">
      <c r="A36" s="835">
        <v>90893</v>
      </c>
      <c r="B36" s="844" t="s">
        <v>997</v>
      </c>
      <c r="C36" s="835" t="s">
        <v>10</v>
      </c>
      <c r="D36" s="9">
        <v>10000875</v>
      </c>
      <c r="E36" s="5">
        <v>0.55000000000000004</v>
      </c>
      <c r="F36" s="5" t="s">
        <v>8</v>
      </c>
      <c r="G36" s="5" t="s">
        <v>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1" hidden="1" customHeight="1">
      <c r="A37" s="800">
        <v>3055</v>
      </c>
      <c r="B37" s="816" t="s">
        <v>16</v>
      </c>
      <c r="C37" s="812" t="s">
        <v>962</v>
      </c>
      <c r="D37" s="9">
        <v>10000878</v>
      </c>
      <c r="E37" s="5">
        <v>0.5</v>
      </c>
      <c r="F37" s="5" t="s">
        <v>8</v>
      </c>
      <c r="G37" s="5" t="s">
        <v>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" hidden="1" customHeight="1">
      <c r="A38" s="837">
        <v>90893</v>
      </c>
      <c r="B38" s="849" t="s">
        <v>16</v>
      </c>
      <c r="C38" s="837" t="s">
        <v>10</v>
      </c>
      <c r="D38" s="9">
        <v>10000955</v>
      </c>
      <c r="E38" s="5">
        <v>9.1999999999999993</v>
      </c>
      <c r="F38" s="5" t="s">
        <v>8</v>
      </c>
      <c r="G38" s="5" t="s">
        <v>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" hidden="1" customHeight="1">
      <c r="A39" s="800">
        <v>90389</v>
      </c>
      <c r="B39" s="816" t="s">
        <v>685</v>
      </c>
      <c r="C39" s="801" t="s">
        <v>13</v>
      </c>
      <c r="D39" s="9">
        <v>10000995</v>
      </c>
      <c r="E39" s="5">
        <v>4.54</v>
      </c>
      <c r="F39" s="5" t="s">
        <v>8</v>
      </c>
      <c r="G39" s="5" t="s">
        <v>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" hidden="1" customHeight="1">
      <c r="A40" s="835">
        <v>90389</v>
      </c>
      <c r="B40" s="844" t="s">
        <v>685</v>
      </c>
      <c r="C40" s="835" t="s">
        <v>13</v>
      </c>
      <c r="D40" s="9"/>
      <c r="E40" s="5"/>
      <c r="F40" s="5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1" hidden="1" customHeight="1">
      <c r="A41" s="800">
        <v>90540</v>
      </c>
      <c r="B41" s="787" t="s">
        <v>713</v>
      </c>
      <c r="C41" s="812" t="s">
        <v>10</v>
      </c>
      <c r="D41" s="9">
        <v>10000999</v>
      </c>
      <c r="E41" s="5"/>
      <c r="F41" s="5"/>
      <c r="G41" s="5" t="s">
        <v>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" hidden="1" customHeight="1">
      <c r="A42" s="837">
        <v>90540</v>
      </c>
      <c r="B42" s="849" t="s">
        <v>713</v>
      </c>
      <c r="C42" s="837" t="s">
        <v>13</v>
      </c>
      <c r="D42" s="9">
        <v>10000989</v>
      </c>
      <c r="E42" s="5"/>
      <c r="F42" s="5"/>
      <c r="G42" s="5" t="s">
        <v>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1" hidden="1" customHeight="1">
      <c r="A43" s="835">
        <v>90540</v>
      </c>
      <c r="B43" s="844" t="s">
        <v>998</v>
      </c>
      <c r="C43" s="835" t="s">
        <v>13</v>
      </c>
      <c r="D43" s="9">
        <v>10000899</v>
      </c>
      <c r="E43" s="5"/>
      <c r="F43" s="5"/>
      <c r="G43" s="5" t="s">
        <v>19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3"/>
      <c r="V43" s="3"/>
      <c r="W43" s="3"/>
      <c r="X43" s="3"/>
      <c r="Y43" s="3"/>
      <c r="Z43" s="3"/>
    </row>
    <row r="44" spans="1:26" ht="21" hidden="1" customHeight="1">
      <c r="A44" s="835">
        <v>90542</v>
      </c>
      <c r="B44" s="844" t="s">
        <v>999</v>
      </c>
      <c r="C44" s="835" t="s">
        <v>13</v>
      </c>
      <c r="D44" s="9">
        <v>10000919</v>
      </c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3"/>
      <c r="V44" s="3"/>
      <c r="W44" s="3"/>
      <c r="X44" s="3"/>
      <c r="Y44" s="3"/>
      <c r="Z44" s="3"/>
    </row>
    <row r="45" spans="1:26" ht="21" hidden="1" customHeight="1">
      <c r="A45" s="835">
        <v>90544</v>
      </c>
      <c r="B45" s="844" t="s">
        <v>1000</v>
      </c>
      <c r="C45" s="835" t="s">
        <v>13</v>
      </c>
      <c r="D45" s="9">
        <v>10000921</v>
      </c>
      <c r="E45" s="5">
        <v>0.4</v>
      </c>
      <c r="F45" s="5" t="s">
        <v>8</v>
      </c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1" hidden="1" customHeight="1">
      <c r="A46" s="835">
        <v>90513</v>
      </c>
      <c r="B46" s="844" t="s">
        <v>1001</v>
      </c>
      <c r="C46" s="835" t="s">
        <v>13</v>
      </c>
      <c r="D46" s="9">
        <v>10000902</v>
      </c>
      <c r="E46" s="5">
        <v>1</v>
      </c>
      <c r="F46" s="5" t="s">
        <v>8</v>
      </c>
      <c r="G46" s="5" t="s">
        <v>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1" hidden="1" customHeight="1">
      <c r="A47" s="800">
        <v>90536</v>
      </c>
      <c r="B47" s="787" t="s">
        <v>1142</v>
      </c>
      <c r="C47" s="812" t="s">
        <v>10</v>
      </c>
      <c r="D47" s="9">
        <v>10000370</v>
      </c>
      <c r="E47" s="5">
        <v>0.1</v>
      </c>
      <c r="F47" s="5" t="s">
        <v>8</v>
      </c>
      <c r="G47" s="5" t="s">
        <v>20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" hidden="1" customHeight="1">
      <c r="A48" s="800">
        <v>90542</v>
      </c>
      <c r="B48" s="787" t="s">
        <v>17</v>
      </c>
      <c r="C48" s="812" t="s">
        <v>10</v>
      </c>
      <c r="D48" s="9">
        <v>10000881</v>
      </c>
      <c r="E48" s="5">
        <v>1</v>
      </c>
      <c r="F48" s="5" t="s">
        <v>8</v>
      </c>
      <c r="G48" s="5" t="s">
        <v>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1" hidden="1" customHeight="1">
      <c r="A49" s="800">
        <v>90544</v>
      </c>
      <c r="B49" s="816" t="s">
        <v>18</v>
      </c>
      <c r="C49" s="812" t="s">
        <v>962</v>
      </c>
      <c r="D49" s="9">
        <v>10000918</v>
      </c>
      <c r="E49" s="5">
        <v>0.92</v>
      </c>
      <c r="F49" s="5" t="s">
        <v>8</v>
      </c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1" hidden="1" customHeight="1">
      <c r="A50" s="835">
        <v>90272</v>
      </c>
      <c r="B50" s="844" t="s">
        <v>1002</v>
      </c>
      <c r="C50" s="835" t="s">
        <v>7</v>
      </c>
      <c r="D50" s="9">
        <v>10000924</v>
      </c>
      <c r="E50" s="5">
        <v>1.78</v>
      </c>
      <c r="F50" s="5" t="s">
        <v>8</v>
      </c>
      <c r="G50" s="5" t="s">
        <v>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1" hidden="1" customHeight="1">
      <c r="A51" s="835">
        <v>90290</v>
      </c>
      <c r="B51" s="844" t="s">
        <v>1003</v>
      </c>
      <c r="C51" s="835" t="s">
        <v>7</v>
      </c>
      <c r="D51" s="9">
        <v>10000892</v>
      </c>
      <c r="E51" s="5">
        <v>1</v>
      </c>
      <c r="F51" s="5" t="s">
        <v>8</v>
      </c>
      <c r="G51" s="5" t="s">
        <v>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1" hidden="1" customHeight="1">
      <c r="A52" s="835">
        <v>90287</v>
      </c>
      <c r="B52" s="844" t="s">
        <v>1004</v>
      </c>
      <c r="C52" s="835" t="s">
        <v>7</v>
      </c>
      <c r="D52" s="9">
        <v>10000898</v>
      </c>
      <c r="E52" s="5">
        <v>1.1000000000000001</v>
      </c>
      <c r="F52" s="5" t="s">
        <v>8</v>
      </c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1" hidden="1" customHeight="1">
      <c r="A53" s="835">
        <v>90288</v>
      </c>
      <c r="B53" s="844" t="s">
        <v>1005</v>
      </c>
      <c r="C53" s="835" t="s">
        <v>7</v>
      </c>
      <c r="D53" s="771"/>
      <c r="E53" s="5"/>
      <c r="F53" s="5"/>
      <c r="G53" s="5"/>
      <c r="H53" s="772"/>
      <c r="I53" s="772"/>
      <c r="J53" s="772"/>
      <c r="K53" s="772"/>
      <c r="L53" s="772"/>
      <c r="M53" s="772"/>
      <c r="N53" s="772"/>
      <c r="O53" s="772"/>
      <c r="P53" s="772"/>
      <c r="Q53" s="772"/>
      <c r="R53" s="772"/>
      <c r="S53" s="772"/>
      <c r="T53" s="772"/>
      <c r="U53" s="772"/>
      <c r="V53" s="772"/>
      <c r="W53" s="772"/>
      <c r="X53" s="772"/>
      <c r="Y53" s="772"/>
      <c r="Z53" s="772"/>
    </row>
    <row r="54" spans="1:26" ht="21" hidden="1" customHeight="1">
      <c r="A54" s="835">
        <v>90289</v>
      </c>
      <c r="B54" s="844" t="s">
        <v>1006</v>
      </c>
      <c r="C54" s="835" t="s">
        <v>7</v>
      </c>
      <c r="D54" s="771"/>
      <c r="E54" s="5"/>
      <c r="F54" s="5"/>
      <c r="G54" s="5"/>
      <c r="H54" s="772"/>
      <c r="I54" s="772"/>
      <c r="J54" s="772"/>
      <c r="K54" s="772"/>
      <c r="L54" s="772"/>
      <c r="M54" s="772"/>
      <c r="N54" s="772"/>
      <c r="O54" s="772"/>
      <c r="P54" s="772"/>
      <c r="Q54" s="772"/>
      <c r="R54" s="772"/>
      <c r="S54" s="772"/>
      <c r="T54" s="772"/>
      <c r="U54" s="772"/>
      <c r="V54" s="772"/>
      <c r="W54" s="772"/>
      <c r="X54" s="772"/>
      <c r="Y54" s="772"/>
      <c r="Z54" s="772"/>
    </row>
    <row r="55" spans="1:26" ht="21" hidden="1" customHeight="1">
      <c r="A55" s="800">
        <v>90274</v>
      </c>
      <c r="B55" s="816" t="s">
        <v>654</v>
      </c>
      <c r="C55" s="812" t="s">
        <v>7</v>
      </c>
      <c r="D55" s="9">
        <v>10000917</v>
      </c>
      <c r="E55" s="5"/>
      <c r="F55" s="5"/>
      <c r="G55" s="5" t="s">
        <v>20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" hidden="1" customHeight="1">
      <c r="A56" s="800">
        <v>90290</v>
      </c>
      <c r="B56" s="816" t="s">
        <v>660</v>
      </c>
      <c r="C56" s="812" t="s">
        <v>7</v>
      </c>
      <c r="D56" s="9">
        <v>10000896</v>
      </c>
      <c r="E56" s="5">
        <v>0.94</v>
      </c>
      <c r="F56" s="5" t="s">
        <v>8</v>
      </c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1" hidden="1" customHeight="1">
      <c r="A57" s="800">
        <v>90288</v>
      </c>
      <c r="B57" s="816" t="s">
        <v>658</v>
      </c>
      <c r="C57" s="812" t="s">
        <v>7</v>
      </c>
      <c r="D57" s="9">
        <v>10000885</v>
      </c>
      <c r="E57" s="5">
        <v>1</v>
      </c>
      <c r="F57" s="5" t="s">
        <v>8</v>
      </c>
      <c r="G57" s="5" t="s">
        <v>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3"/>
      <c r="V57" s="3"/>
      <c r="W57" s="3"/>
      <c r="X57" s="3"/>
      <c r="Y57" s="3"/>
      <c r="Z57" s="3"/>
    </row>
    <row r="58" spans="1:26" ht="21" hidden="1" customHeight="1">
      <c r="A58" s="800">
        <v>90289</v>
      </c>
      <c r="B58" s="816" t="s">
        <v>659</v>
      </c>
      <c r="C58" s="812" t="s">
        <v>7</v>
      </c>
      <c r="D58" s="9">
        <v>10000901</v>
      </c>
      <c r="E58" s="5">
        <v>1</v>
      </c>
      <c r="F58" s="5" t="s">
        <v>8</v>
      </c>
      <c r="G58" s="5" t="s">
        <v>9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3"/>
      <c r="V58" s="3"/>
      <c r="W58" s="3"/>
      <c r="X58" s="3"/>
      <c r="Y58" s="3"/>
      <c r="Z58" s="3"/>
    </row>
    <row r="59" spans="1:26" ht="21" hidden="1" customHeight="1">
      <c r="A59" s="835">
        <v>90259</v>
      </c>
      <c r="B59" s="844" t="s">
        <v>649</v>
      </c>
      <c r="C59" s="835" t="s">
        <v>8</v>
      </c>
      <c r="D59" s="9">
        <v>10000882</v>
      </c>
      <c r="E59" s="5">
        <v>1</v>
      </c>
      <c r="F59" s="5" t="s">
        <v>8</v>
      </c>
      <c r="G59" s="5" t="s">
        <v>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3"/>
      <c r="V59" s="3"/>
      <c r="W59" s="3"/>
      <c r="X59" s="3"/>
      <c r="Y59" s="3"/>
      <c r="Z59" s="3"/>
    </row>
    <row r="60" spans="1:26" ht="21" hidden="1" customHeight="1">
      <c r="A60" s="800">
        <v>90259</v>
      </c>
      <c r="B60" s="816" t="s">
        <v>1150</v>
      </c>
      <c r="C60" s="812" t="s">
        <v>8</v>
      </c>
      <c r="D60" s="9">
        <v>10000883</v>
      </c>
      <c r="E60" s="5">
        <v>1</v>
      </c>
      <c r="F60" s="5" t="s">
        <v>8</v>
      </c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3"/>
      <c r="V60" s="3"/>
      <c r="W60" s="3"/>
      <c r="X60" s="3"/>
      <c r="Y60" s="3"/>
      <c r="Z60" s="3"/>
    </row>
    <row r="61" spans="1:26" ht="21" hidden="1" customHeight="1">
      <c r="A61" s="835">
        <v>90258</v>
      </c>
      <c r="B61" s="844" t="s">
        <v>648</v>
      </c>
      <c r="C61" s="835" t="s">
        <v>8</v>
      </c>
      <c r="D61" s="9">
        <v>10000889</v>
      </c>
      <c r="E61" s="5">
        <v>1</v>
      </c>
      <c r="F61" s="5" t="s">
        <v>8</v>
      </c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3"/>
      <c r="V61" s="3"/>
      <c r="W61" s="3"/>
      <c r="X61" s="3"/>
      <c r="Y61" s="3"/>
      <c r="Z61" s="3"/>
    </row>
    <row r="62" spans="1:26" ht="21" hidden="1" customHeight="1">
      <c r="A62" s="800">
        <v>90258</v>
      </c>
      <c r="B62" s="816" t="s">
        <v>1151</v>
      </c>
      <c r="C62" s="812" t="s">
        <v>8</v>
      </c>
      <c r="D62" s="9">
        <v>10011182</v>
      </c>
      <c r="E62" s="5">
        <v>1</v>
      </c>
      <c r="F62" s="5" t="s">
        <v>8</v>
      </c>
      <c r="G62" s="5" t="s">
        <v>9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3"/>
      <c r="V62" s="3"/>
      <c r="W62" s="3"/>
      <c r="X62" s="3"/>
      <c r="Y62" s="3"/>
      <c r="Z62" s="3"/>
    </row>
    <row r="63" spans="1:26" ht="21" hidden="1" customHeight="1">
      <c r="A63" s="800">
        <v>690327</v>
      </c>
      <c r="B63" s="816" t="s">
        <v>736</v>
      </c>
      <c r="C63" s="812" t="s">
        <v>8</v>
      </c>
      <c r="D63" s="9">
        <v>10000884</v>
      </c>
      <c r="E63" s="5">
        <v>1</v>
      </c>
      <c r="F63" s="5" t="s">
        <v>8</v>
      </c>
      <c r="G63" s="5" t="s">
        <v>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1" hidden="1" customHeight="1">
      <c r="A64" s="835">
        <v>90261</v>
      </c>
      <c r="B64" s="844" t="s">
        <v>736</v>
      </c>
      <c r="C64" s="835" t="s">
        <v>8</v>
      </c>
      <c r="D64" s="9">
        <v>10008572</v>
      </c>
      <c r="E64" s="5">
        <v>1</v>
      </c>
      <c r="F64" s="5" t="s">
        <v>8</v>
      </c>
      <c r="G64" s="5" t="s">
        <v>20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1" hidden="1" customHeight="1">
      <c r="A65" s="800">
        <v>621837</v>
      </c>
      <c r="B65" s="816" t="s">
        <v>965</v>
      </c>
      <c r="C65" s="812" t="s">
        <v>8</v>
      </c>
      <c r="D65" s="9">
        <v>10008867</v>
      </c>
      <c r="E65" s="5">
        <v>1</v>
      </c>
      <c r="F65" s="5" t="s">
        <v>8</v>
      </c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1" hidden="1" customHeight="1">
      <c r="A66" s="800">
        <v>90263</v>
      </c>
      <c r="B66" s="816" t="s">
        <v>651</v>
      </c>
      <c r="C66" s="812" t="s">
        <v>8</v>
      </c>
      <c r="D66" s="9">
        <v>10008864</v>
      </c>
      <c r="E66" s="5">
        <v>1</v>
      </c>
      <c r="F66" s="5" t="s">
        <v>8</v>
      </c>
      <c r="G66" s="5" t="s">
        <v>20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1" hidden="1" customHeight="1">
      <c r="A67" s="800">
        <v>90262</v>
      </c>
      <c r="B67" s="816" t="s">
        <v>650</v>
      </c>
      <c r="C67" s="812" t="s">
        <v>8</v>
      </c>
      <c r="D67" s="9"/>
      <c r="E67" s="5"/>
      <c r="F67" s="5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1" hidden="1" customHeight="1">
      <c r="A68" s="800">
        <v>90560</v>
      </c>
      <c r="B68" s="816" t="s">
        <v>719</v>
      </c>
      <c r="C68" s="812" t="s">
        <v>8</v>
      </c>
      <c r="D68" s="9">
        <v>10000077</v>
      </c>
      <c r="E68" s="5">
        <v>1</v>
      </c>
      <c r="F68" s="5" t="s">
        <v>8</v>
      </c>
      <c r="G68" s="5" t="s">
        <v>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1" hidden="1" customHeight="1">
      <c r="A69" s="835">
        <v>90263</v>
      </c>
      <c r="B69" s="844" t="s">
        <v>1007</v>
      </c>
      <c r="C69" s="835" t="s">
        <v>8</v>
      </c>
      <c r="D69" s="9">
        <v>10001012</v>
      </c>
      <c r="E69" s="5">
        <v>1</v>
      </c>
      <c r="F69" s="5" t="s">
        <v>8</v>
      </c>
      <c r="G69" s="5" t="s">
        <v>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" hidden="1" customHeight="1">
      <c r="A70" s="835">
        <v>90262</v>
      </c>
      <c r="B70" s="844" t="s">
        <v>1008</v>
      </c>
      <c r="C70" s="835"/>
      <c r="D70" s="9">
        <v>10000962</v>
      </c>
      <c r="E70" s="5">
        <v>0.4</v>
      </c>
      <c r="F70" s="5" t="s">
        <v>8</v>
      </c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" hidden="1" customHeight="1">
      <c r="A71" s="835">
        <v>90264</v>
      </c>
      <c r="B71" s="844" t="s">
        <v>1009</v>
      </c>
      <c r="C71" s="835" t="s">
        <v>8</v>
      </c>
      <c r="D71" s="9">
        <v>10000962</v>
      </c>
      <c r="E71" s="5">
        <v>0.4</v>
      </c>
      <c r="F71" s="5" t="s">
        <v>8</v>
      </c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1" hidden="1" customHeight="1">
      <c r="A72" s="800">
        <v>90267</v>
      </c>
      <c r="B72" s="816" t="s">
        <v>652</v>
      </c>
      <c r="C72" s="812" t="s">
        <v>7</v>
      </c>
      <c r="D72" s="9"/>
      <c r="E72" s="5"/>
      <c r="F72" s="5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1" hidden="1" customHeight="1">
      <c r="A73" s="800">
        <v>90268</v>
      </c>
      <c r="B73" s="816" t="s">
        <v>653</v>
      </c>
      <c r="C73" s="812" t="s">
        <v>7</v>
      </c>
      <c r="D73" s="9">
        <v>10017869</v>
      </c>
      <c r="E73" s="5">
        <v>1</v>
      </c>
      <c r="F73" s="5" t="s">
        <v>8</v>
      </c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1" hidden="1" customHeight="1">
      <c r="A74" s="837">
        <v>90266</v>
      </c>
      <c r="B74" s="849" t="s">
        <v>968</v>
      </c>
      <c r="C74" s="837" t="s">
        <v>7</v>
      </c>
      <c r="D74" s="9">
        <v>10001014</v>
      </c>
      <c r="E74" s="5">
        <v>0.72099999999999997</v>
      </c>
      <c r="F74" s="5" t="s">
        <v>8</v>
      </c>
      <c r="G74" s="5" t="s">
        <v>20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1" hidden="1" customHeight="1">
      <c r="A75" s="835">
        <v>90267</v>
      </c>
      <c r="B75" s="844" t="s">
        <v>1010</v>
      </c>
      <c r="C75" s="835" t="s">
        <v>7</v>
      </c>
      <c r="D75" s="9">
        <v>10001016</v>
      </c>
      <c r="E75" s="5">
        <v>0.84399999999999997</v>
      </c>
      <c r="F75" s="5" t="s">
        <v>8</v>
      </c>
      <c r="G75" s="5" t="s">
        <v>19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1" hidden="1" customHeight="1">
      <c r="A76" s="835">
        <v>91206</v>
      </c>
      <c r="B76" s="844" t="s">
        <v>1136</v>
      </c>
      <c r="C76" s="835" t="s">
        <v>7</v>
      </c>
      <c r="D76" s="9">
        <v>10000373</v>
      </c>
      <c r="E76" s="5">
        <v>0.16300000000000001</v>
      </c>
      <c r="F76" s="5" t="s">
        <v>8</v>
      </c>
      <c r="G76" s="5" t="s">
        <v>20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1" hidden="1" customHeight="1">
      <c r="A77" s="835">
        <v>90266</v>
      </c>
      <c r="B77" s="844" t="s">
        <v>1011</v>
      </c>
      <c r="C77" s="835" t="s">
        <v>7</v>
      </c>
      <c r="D77" s="14"/>
      <c r="E77" s="15"/>
      <c r="F77" s="15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1" hidden="1" customHeight="1">
      <c r="A78" s="835">
        <v>90292</v>
      </c>
      <c r="B78" s="844" t="s">
        <v>1012</v>
      </c>
      <c r="C78" s="835" t="s">
        <v>7</v>
      </c>
      <c r="D78" s="9">
        <v>10000979</v>
      </c>
      <c r="E78" s="5"/>
      <c r="F78" s="5"/>
      <c r="G78" s="5" t="s">
        <v>20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1" hidden="1" customHeight="1">
      <c r="A79" s="835">
        <v>90291</v>
      </c>
      <c r="B79" s="844" t="s">
        <v>1013</v>
      </c>
      <c r="C79" s="835" t="s">
        <v>7</v>
      </c>
      <c r="D79" s="9">
        <v>10000969</v>
      </c>
      <c r="E79" s="5"/>
      <c r="F79" s="5"/>
      <c r="G79" s="5" t="s">
        <v>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1" hidden="1" customHeight="1">
      <c r="A80" s="835">
        <v>90294</v>
      </c>
      <c r="B80" s="844" t="s">
        <v>1014</v>
      </c>
      <c r="C80" s="835" t="s">
        <v>7</v>
      </c>
      <c r="D80" s="771"/>
      <c r="E80" s="5"/>
      <c r="F80" s="5"/>
      <c r="G80" s="5"/>
      <c r="H80" s="772"/>
      <c r="I80" s="772"/>
      <c r="J80" s="772"/>
      <c r="K80" s="772"/>
      <c r="L80" s="772"/>
      <c r="M80" s="772"/>
      <c r="N80" s="772"/>
      <c r="O80" s="772"/>
      <c r="P80" s="772"/>
      <c r="Q80" s="772"/>
      <c r="R80" s="772"/>
      <c r="S80" s="772"/>
      <c r="T80" s="772"/>
      <c r="U80" s="772"/>
      <c r="V80" s="772"/>
      <c r="W80" s="772"/>
      <c r="X80" s="772"/>
      <c r="Y80" s="772"/>
      <c r="Z80" s="772"/>
    </row>
    <row r="81" spans="1:26" ht="14.4" hidden="1">
      <c r="A81" s="804">
        <v>91217</v>
      </c>
      <c r="B81" s="845" t="s">
        <v>746</v>
      </c>
      <c r="C81" s="813" t="s">
        <v>7</v>
      </c>
    </row>
    <row r="82" spans="1:26" ht="21" hidden="1" customHeight="1">
      <c r="A82" s="800">
        <v>91462</v>
      </c>
      <c r="B82" s="816" t="s">
        <v>733</v>
      </c>
      <c r="C82" s="812" t="s">
        <v>7</v>
      </c>
      <c r="D82" s="9">
        <v>10000983</v>
      </c>
      <c r="E82" s="5">
        <v>1.78</v>
      </c>
      <c r="F82" s="5" t="s">
        <v>8</v>
      </c>
      <c r="G82" s="5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3"/>
      <c r="V82" s="3"/>
      <c r="W82" s="3"/>
      <c r="X82" s="3"/>
      <c r="Y82" s="3"/>
      <c r="Z82" s="3"/>
    </row>
    <row r="83" spans="1:26" ht="21" hidden="1" customHeight="1">
      <c r="A83" s="835">
        <v>91462</v>
      </c>
      <c r="B83" s="844" t="s">
        <v>733</v>
      </c>
      <c r="C83" s="835" t="s">
        <v>7</v>
      </c>
      <c r="D83" s="9">
        <v>10000927</v>
      </c>
      <c r="E83" s="5"/>
      <c r="F83" s="5"/>
      <c r="G83" s="5" t="s">
        <v>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3"/>
      <c r="V83" s="3"/>
      <c r="W83" s="3"/>
      <c r="X83" s="3"/>
      <c r="Y83" s="3"/>
      <c r="Z83" s="3"/>
    </row>
    <row r="84" spans="1:26" ht="21" hidden="1" customHeight="1">
      <c r="A84" s="837">
        <v>91462</v>
      </c>
      <c r="B84" s="849" t="s">
        <v>979</v>
      </c>
      <c r="C84" s="837" t="s">
        <v>7</v>
      </c>
      <c r="D84" s="9">
        <v>10001023</v>
      </c>
      <c r="E84" s="5">
        <v>0.52500000000000002</v>
      </c>
      <c r="F84" s="5" t="s">
        <v>8</v>
      </c>
      <c r="G84" s="5" t="s">
        <v>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3"/>
      <c r="V84" s="3"/>
      <c r="W84" s="3"/>
      <c r="X84" s="3"/>
      <c r="Y84" s="3"/>
      <c r="Z84" s="3"/>
    </row>
    <row r="85" spans="1:26" ht="21" hidden="1" customHeight="1">
      <c r="A85" s="837">
        <v>623</v>
      </c>
      <c r="B85" s="849" t="s">
        <v>979</v>
      </c>
      <c r="C85" s="837" t="s">
        <v>7</v>
      </c>
      <c r="D85" s="771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772"/>
      <c r="V85" s="772"/>
      <c r="W85" s="772"/>
      <c r="X85" s="772"/>
      <c r="Y85" s="772"/>
      <c r="Z85" s="772"/>
    </row>
    <row r="86" spans="1:26" ht="21" hidden="1" customHeight="1">
      <c r="A86" s="800">
        <v>623984</v>
      </c>
      <c r="B86" s="816" t="s">
        <v>734</v>
      </c>
      <c r="C86" s="812" t="s">
        <v>7</v>
      </c>
      <c r="D86" s="9">
        <v>10000286</v>
      </c>
      <c r="E86" s="5">
        <v>1.28</v>
      </c>
      <c r="F86" s="5" t="s">
        <v>8</v>
      </c>
      <c r="G86" s="5" t="s">
        <v>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3"/>
      <c r="V86" s="3"/>
      <c r="W86" s="3"/>
      <c r="X86" s="3"/>
      <c r="Y86" s="3"/>
      <c r="Z86" s="3"/>
    </row>
    <row r="87" spans="1:26" ht="21" hidden="1" customHeight="1">
      <c r="A87" s="800">
        <v>3098</v>
      </c>
      <c r="B87" s="816" t="s">
        <v>21</v>
      </c>
      <c r="C87" s="812" t="s">
        <v>7</v>
      </c>
      <c r="D87" s="9">
        <v>10000400</v>
      </c>
      <c r="E87" s="5">
        <v>0.3</v>
      </c>
      <c r="F87" s="5" t="s">
        <v>8</v>
      </c>
      <c r="G87" s="5" t="s">
        <v>9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3"/>
      <c r="V87" s="3"/>
      <c r="W87" s="3"/>
      <c r="X87" s="3"/>
      <c r="Y87" s="3"/>
      <c r="Z87" s="3"/>
    </row>
    <row r="88" spans="1:26" ht="21" hidden="1" customHeight="1">
      <c r="A88" s="835">
        <v>3098</v>
      </c>
      <c r="B88" s="844" t="s">
        <v>21</v>
      </c>
      <c r="C88" s="835" t="s">
        <v>7</v>
      </c>
      <c r="D88" s="9">
        <v>10000363</v>
      </c>
      <c r="E88" s="5">
        <v>0.1</v>
      </c>
      <c r="F88" s="5" t="s">
        <v>8</v>
      </c>
      <c r="G88" s="5" t="s">
        <v>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3"/>
      <c r="V88" s="3"/>
      <c r="W88" s="3"/>
      <c r="X88" s="3"/>
      <c r="Y88" s="3"/>
      <c r="Z88" s="3"/>
    </row>
    <row r="89" spans="1:26" ht="21" hidden="1" customHeight="1">
      <c r="A89" s="800">
        <v>90294</v>
      </c>
      <c r="B89" s="816" t="s">
        <v>661</v>
      </c>
      <c r="C89" s="812" t="s">
        <v>7</v>
      </c>
      <c r="D89" s="9">
        <v>10000372</v>
      </c>
      <c r="E89" s="5">
        <v>0.15</v>
      </c>
      <c r="F89" s="5" t="s">
        <v>8</v>
      </c>
      <c r="G89" s="5" t="s">
        <v>9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3"/>
      <c r="V89" s="3"/>
      <c r="W89" s="3"/>
      <c r="X89" s="3"/>
      <c r="Y89" s="3"/>
      <c r="Z89" s="3"/>
    </row>
    <row r="90" spans="1:26" ht="21" hidden="1" customHeight="1">
      <c r="A90" s="800">
        <v>4475</v>
      </c>
      <c r="B90" s="816" t="s">
        <v>77</v>
      </c>
      <c r="C90" s="812" t="s">
        <v>962</v>
      </c>
      <c r="D90" s="9">
        <v>10002632</v>
      </c>
      <c r="E90" s="5">
        <v>11</v>
      </c>
      <c r="F90" s="5" t="s">
        <v>8</v>
      </c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3"/>
      <c r="V90" s="3"/>
      <c r="W90" s="3"/>
      <c r="X90" s="3"/>
      <c r="Y90" s="3"/>
      <c r="Z90" s="3"/>
    </row>
    <row r="91" spans="1:26" ht="21" hidden="1" customHeight="1">
      <c r="A91" s="835">
        <v>90887</v>
      </c>
      <c r="B91" s="844" t="s">
        <v>1015</v>
      </c>
      <c r="C91" s="835" t="s">
        <v>10</v>
      </c>
      <c r="D91" s="9">
        <v>10002633</v>
      </c>
      <c r="E91" s="5"/>
      <c r="F91" s="5"/>
      <c r="G91" s="5" t="s">
        <v>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3"/>
      <c r="V91" s="3"/>
      <c r="W91" s="3"/>
      <c r="X91" s="3"/>
      <c r="Y91" s="3"/>
      <c r="Z91" s="3"/>
    </row>
    <row r="92" spans="1:26" ht="21" hidden="1" customHeight="1">
      <c r="A92" s="835">
        <v>90888</v>
      </c>
      <c r="B92" s="844" t="s">
        <v>1016</v>
      </c>
      <c r="C92" s="835" t="s">
        <v>10</v>
      </c>
      <c r="D92" s="9">
        <v>10002634</v>
      </c>
      <c r="E92" s="5">
        <v>17</v>
      </c>
      <c r="F92" s="5" t="s">
        <v>8</v>
      </c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1" hidden="1" customHeight="1">
      <c r="A93" s="800">
        <v>90968</v>
      </c>
      <c r="B93" s="816" t="s">
        <v>732</v>
      </c>
      <c r="C93" s="812" t="s">
        <v>962</v>
      </c>
      <c r="D93" s="9">
        <v>10002635</v>
      </c>
      <c r="E93" s="5"/>
      <c r="F93" s="5"/>
      <c r="G93" s="5" t="s">
        <v>20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1" hidden="1" customHeight="1">
      <c r="A94" s="835">
        <v>90968</v>
      </c>
      <c r="B94" s="844" t="s">
        <v>732</v>
      </c>
      <c r="C94" s="835" t="s">
        <v>13</v>
      </c>
      <c r="D94" s="9">
        <v>10002636</v>
      </c>
      <c r="E94" s="5">
        <v>21</v>
      </c>
      <c r="F94" s="5" t="s">
        <v>8</v>
      </c>
      <c r="G94" s="5" t="s">
        <v>20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1" hidden="1" customHeight="1">
      <c r="A95" s="801">
        <v>90586</v>
      </c>
      <c r="B95" s="816" t="s">
        <v>722</v>
      </c>
      <c r="C95" s="801" t="s">
        <v>13</v>
      </c>
      <c r="D95" s="9">
        <v>10002637</v>
      </c>
      <c r="E95" s="5">
        <v>1E-3</v>
      </c>
      <c r="F95" s="5" t="s">
        <v>8</v>
      </c>
      <c r="G95" s="5" t="s">
        <v>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1" hidden="1" customHeight="1">
      <c r="A96" s="837">
        <v>90586</v>
      </c>
      <c r="B96" s="849" t="s">
        <v>722</v>
      </c>
      <c r="C96" s="837" t="s">
        <v>13</v>
      </c>
      <c r="D96" s="771"/>
      <c r="E96" s="5"/>
      <c r="F96" s="5"/>
      <c r="G96" s="5"/>
      <c r="H96" s="772"/>
      <c r="I96" s="772"/>
      <c r="J96" s="772"/>
      <c r="K96" s="772"/>
      <c r="L96" s="772"/>
      <c r="M96" s="772"/>
      <c r="N96" s="772"/>
      <c r="O96" s="772"/>
      <c r="P96" s="772"/>
      <c r="Q96" s="772"/>
      <c r="R96" s="772"/>
      <c r="S96" s="772"/>
      <c r="T96" s="772"/>
      <c r="U96" s="772"/>
      <c r="V96" s="772"/>
      <c r="W96" s="772"/>
      <c r="X96" s="772"/>
      <c r="Y96" s="772"/>
      <c r="Z96" s="772"/>
    </row>
    <row r="97" spans="1:26" ht="21" hidden="1" customHeight="1">
      <c r="A97" s="835">
        <v>90586</v>
      </c>
      <c r="B97" s="844" t="s">
        <v>722</v>
      </c>
      <c r="C97" s="835" t="s">
        <v>13</v>
      </c>
      <c r="D97" s="9"/>
      <c r="E97" s="5"/>
      <c r="F97" s="5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1" hidden="1" customHeight="1">
      <c r="A98" s="800">
        <v>90486</v>
      </c>
      <c r="B98" s="787" t="s">
        <v>22</v>
      </c>
      <c r="C98" s="812" t="s">
        <v>10</v>
      </c>
      <c r="D98" s="771"/>
      <c r="E98" s="5"/>
      <c r="F98" s="5"/>
      <c r="G98" s="5"/>
      <c r="H98" s="772"/>
      <c r="I98" s="772"/>
      <c r="J98" s="772"/>
      <c r="K98" s="772"/>
      <c r="L98" s="772"/>
      <c r="M98" s="772"/>
      <c r="N98" s="772"/>
      <c r="O98" s="772"/>
      <c r="P98" s="772"/>
      <c r="Q98" s="772"/>
      <c r="R98" s="772"/>
      <c r="S98" s="772"/>
      <c r="T98" s="772"/>
      <c r="U98" s="772"/>
      <c r="V98" s="772"/>
      <c r="W98" s="772"/>
      <c r="X98" s="772"/>
      <c r="Y98" s="772"/>
      <c r="Z98" s="772"/>
    </row>
    <row r="99" spans="1:26" ht="21" hidden="1" customHeight="1">
      <c r="A99" s="835">
        <v>90486</v>
      </c>
      <c r="B99" s="844" t="s">
        <v>22</v>
      </c>
      <c r="C99" s="835" t="s">
        <v>13</v>
      </c>
      <c r="D99" s="9">
        <v>10002638</v>
      </c>
      <c r="E99" s="5">
        <v>1E-3</v>
      </c>
      <c r="F99" s="5" t="s">
        <v>8</v>
      </c>
      <c r="G99" s="5" t="s">
        <v>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1" hidden="1" customHeight="1">
      <c r="A100" s="800">
        <v>90487</v>
      </c>
      <c r="B100" s="787" t="s">
        <v>23</v>
      </c>
      <c r="C100" s="812" t="s">
        <v>10</v>
      </c>
      <c r="D100" s="9"/>
      <c r="E100" s="5"/>
      <c r="F100" s="5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1" hidden="1" customHeight="1">
      <c r="A101" s="835">
        <v>90487</v>
      </c>
      <c r="B101" s="844" t="s">
        <v>23</v>
      </c>
      <c r="C101" s="835" t="s">
        <v>13</v>
      </c>
      <c r="D101" s="9">
        <v>10002639</v>
      </c>
      <c r="E101" s="5">
        <v>6.0000000000000001E-3</v>
      </c>
      <c r="F101" s="5" t="s">
        <v>8</v>
      </c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1" hidden="1" customHeight="1">
      <c r="A102" s="800">
        <v>2900</v>
      </c>
      <c r="B102" s="816" t="s">
        <v>593</v>
      </c>
      <c r="C102" s="812" t="s">
        <v>13</v>
      </c>
      <c r="D102" s="9">
        <v>10002641</v>
      </c>
      <c r="E102" s="5">
        <v>0.1</v>
      </c>
      <c r="F102" s="5" t="s">
        <v>8</v>
      </c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1" hidden="1" customHeight="1">
      <c r="A103" s="800">
        <v>90488</v>
      </c>
      <c r="B103" s="787" t="s">
        <v>24</v>
      </c>
      <c r="C103" s="812" t="s">
        <v>10</v>
      </c>
      <c r="D103" s="771"/>
      <c r="E103" s="5"/>
      <c r="F103" s="5"/>
      <c r="G103" s="5"/>
      <c r="H103" s="772"/>
      <c r="I103" s="772"/>
      <c r="J103" s="772"/>
      <c r="K103" s="772"/>
      <c r="L103" s="772"/>
      <c r="M103" s="772"/>
      <c r="N103" s="772"/>
      <c r="O103" s="772"/>
      <c r="P103" s="772"/>
      <c r="Q103" s="772"/>
      <c r="R103" s="772"/>
      <c r="S103" s="772"/>
      <c r="T103" s="772"/>
      <c r="U103" s="772"/>
      <c r="V103" s="772"/>
      <c r="W103" s="772"/>
      <c r="X103" s="772"/>
      <c r="Y103" s="772"/>
      <c r="Z103" s="772"/>
    </row>
    <row r="104" spans="1:26" ht="21" hidden="1" customHeight="1">
      <c r="A104" s="835">
        <v>90488</v>
      </c>
      <c r="B104" s="844" t="s">
        <v>24</v>
      </c>
      <c r="C104" s="835" t="s">
        <v>13</v>
      </c>
      <c r="D104" s="9">
        <v>10002642</v>
      </c>
      <c r="E104" s="5">
        <v>0.15</v>
      </c>
      <c r="F104" s="5" t="s">
        <v>8</v>
      </c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1" hidden="1" customHeight="1">
      <c r="A105" s="801">
        <v>90287</v>
      </c>
      <c r="B105" s="788" t="s">
        <v>988</v>
      </c>
      <c r="C105" s="801"/>
      <c r="D105" s="9">
        <v>10002644</v>
      </c>
      <c r="E105" s="5"/>
      <c r="F105" s="5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1" hidden="1" customHeight="1">
      <c r="A106" s="835">
        <v>90518</v>
      </c>
      <c r="B106" s="844" t="s">
        <v>1017</v>
      </c>
      <c r="C106" s="835" t="s">
        <v>13</v>
      </c>
      <c r="D106" s="9">
        <v>10002640</v>
      </c>
      <c r="E106" s="5">
        <v>1E-3</v>
      </c>
      <c r="F106" s="5" t="s">
        <v>8</v>
      </c>
      <c r="G106" s="5" t="s">
        <v>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1" hidden="1" customHeight="1">
      <c r="A107" s="800">
        <v>90547</v>
      </c>
      <c r="B107" s="816" t="s">
        <v>714</v>
      </c>
      <c r="C107" s="801" t="s">
        <v>962</v>
      </c>
      <c r="D107" s="9">
        <v>10002643</v>
      </c>
      <c r="E107" s="5">
        <v>0.19</v>
      </c>
      <c r="F107" s="5" t="s">
        <v>8</v>
      </c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1" hidden="1" customHeight="1">
      <c r="A108" s="835">
        <v>90547</v>
      </c>
      <c r="B108" s="844" t="s">
        <v>714</v>
      </c>
      <c r="C108" s="835" t="s">
        <v>10</v>
      </c>
      <c r="D108" s="9">
        <v>10002645</v>
      </c>
      <c r="E108" s="5">
        <v>0.17100000000000001</v>
      </c>
      <c r="F108" s="5" t="s">
        <v>8</v>
      </c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1" hidden="1" customHeight="1">
      <c r="A109" s="800">
        <v>90548</v>
      </c>
      <c r="B109" s="816" t="s">
        <v>715</v>
      </c>
      <c r="C109" s="812" t="s">
        <v>962</v>
      </c>
      <c r="D109" s="9">
        <v>10002647</v>
      </c>
      <c r="E109" s="5">
        <v>0.15</v>
      </c>
      <c r="F109" s="5" t="s">
        <v>8</v>
      </c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1" hidden="1" customHeight="1">
      <c r="A110" s="835">
        <v>90548</v>
      </c>
      <c r="B110" s="844" t="s">
        <v>715</v>
      </c>
      <c r="C110" s="835" t="s">
        <v>10</v>
      </c>
      <c r="D110" s="9">
        <v>10002646</v>
      </c>
      <c r="E110" s="5">
        <v>4</v>
      </c>
      <c r="F110" s="5" t="s">
        <v>8</v>
      </c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1" hidden="1" customHeight="1">
      <c r="A111" s="800">
        <v>90550</v>
      </c>
      <c r="B111" s="816" t="s">
        <v>716</v>
      </c>
      <c r="C111" s="812" t="s">
        <v>962</v>
      </c>
      <c r="D111" s="9">
        <v>10002648</v>
      </c>
      <c r="E111" s="5">
        <v>0.52</v>
      </c>
      <c r="F111" s="5" t="s">
        <v>8</v>
      </c>
      <c r="G111" s="5" t="s">
        <v>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1" hidden="1" customHeight="1">
      <c r="A112" s="835">
        <v>90550</v>
      </c>
      <c r="B112" s="844" t="s">
        <v>716</v>
      </c>
      <c r="C112" s="835" t="s">
        <v>10</v>
      </c>
      <c r="D112" s="9">
        <v>10002652</v>
      </c>
      <c r="E112" s="5">
        <v>8</v>
      </c>
      <c r="F112" s="5" t="s">
        <v>8</v>
      </c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1" hidden="1" customHeight="1">
      <c r="A113" s="800">
        <v>90554</v>
      </c>
      <c r="B113" s="787" t="s">
        <v>718</v>
      </c>
      <c r="C113" s="812" t="s">
        <v>10</v>
      </c>
      <c r="D113" s="9">
        <v>10002653</v>
      </c>
      <c r="E113" s="5">
        <v>11.46</v>
      </c>
      <c r="F113" s="5" t="s">
        <v>8</v>
      </c>
      <c r="G113" s="5" t="s">
        <v>20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1" hidden="1" customHeight="1">
      <c r="A114" s="835">
        <v>90554</v>
      </c>
      <c r="B114" s="844" t="s">
        <v>718</v>
      </c>
      <c r="C114" s="835" t="s">
        <v>10</v>
      </c>
      <c r="D114" s="9">
        <v>10002654</v>
      </c>
      <c r="E114" s="5">
        <v>11.5</v>
      </c>
      <c r="F114" s="5" t="s">
        <v>8</v>
      </c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1" hidden="1" customHeight="1">
      <c r="A115" s="800">
        <v>90553</v>
      </c>
      <c r="B115" s="816" t="s">
        <v>717</v>
      </c>
      <c r="C115" s="812" t="s">
        <v>962</v>
      </c>
      <c r="D115" s="9">
        <v>10002655</v>
      </c>
      <c r="E115" s="5">
        <v>28</v>
      </c>
      <c r="F115" s="5" t="s">
        <v>8</v>
      </c>
      <c r="G115" s="5" t="s">
        <v>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1" hidden="1" customHeight="1">
      <c r="A116" s="835">
        <v>90553</v>
      </c>
      <c r="B116" s="844" t="s">
        <v>717</v>
      </c>
      <c r="C116" s="835" t="s">
        <v>10</v>
      </c>
      <c r="D116" s="9">
        <v>10002659</v>
      </c>
      <c r="E116" s="5">
        <v>29.4</v>
      </c>
      <c r="F116" s="5" t="s">
        <v>8</v>
      </c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1" hidden="1" customHeight="1">
      <c r="A117" s="835">
        <v>90556</v>
      </c>
      <c r="B117" s="844" t="s">
        <v>1018</v>
      </c>
      <c r="C117" s="835" t="s">
        <v>10</v>
      </c>
      <c r="D117" s="9">
        <v>10002660</v>
      </c>
      <c r="E117" s="5">
        <v>25.5</v>
      </c>
      <c r="F117" s="5" t="s">
        <v>8</v>
      </c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1" hidden="1" customHeight="1">
      <c r="A118" s="800">
        <v>90214</v>
      </c>
      <c r="B118" s="787" t="s">
        <v>984</v>
      </c>
      <c r="C118" s="812" t="s">
        <v>10</v>
      </c>
      <c r="D118" s="9">
        <v>10002661</v>
      </c>
      <c r="E118" s="5">
        <v>39</v>
      </c>
      <c r="F118" s="5" t="s">
        <v>8</v>
      </c>
      <c r="G118" s="5" t="s">
        <v>9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1" hidden="1" customHeight="1">
      <c r="A119" s="835">
        <v>90214</v>
      </c>
      <c r="B119" s="844" t="s">
        <v>1019</v>
      </c>
      <c r="C119" s="835" t="s">
        <v>13</v>
      </c>
      <c r="D119" s="9">
        <v>10002649</v>
      </c>
      <c r="E119" s="5">
        <v>8</v>
      </c>
      <c r="F119" s="5" t="s">
        <v>8</v>
      </c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1" hidden="1" customHeight="1">
      <c r="A120" s="800">
        <v>90230</v>
      </c>
      <c r="B120" s="787" t="s">
        <v>985</v>
      </c>
      <c r="C120" s="812" t="s">
        <v>10</v>
      </c>
      <c r="D120" s="771"/>
      <c r="E120" s="5"/>
      <c r="F120" s="5"/>
      <c r="G120" s="5"/>
      <c r="H120" s="772"/>
      <c r="I120" s="772"/>
      <c r="J120" s="772"/>
      <c r="K120" s="772"/>
      <c r="L120" s="772"/>
      <c r="M120" s="772"/>
      <c r="N120" s="772"/>
      <c r="O120" s="772"/>
      <c r="P120" s="772"/>
      <c r="Q120" s="772"/>
      <c r="R120" s="772"/>
      <c r="S120" s="772"/>
      <c r="T120" s="772"/>
      <c r="U120" s="772"/>
      <c r="V120" s="772"/>
      <c r="W120" s="772"/>
      <c r="X120" s="772"/>
      <c r="Y120" s="772"/>
      <c r="Z120" s="772"/>
    </row>
    <row r="121" spans="1:26" ht="21" hidden="1" customHeight="1">
      <c r="A121" s="835">
        <v>90230</v>
      </c>
      <c r="B121" s="844" t="s">
        <v>985</v>
      </c>
      <c r="C121" s="835" t="s">
        <v>13</v>
      </c>
      <c r="D121" s="9"/>
      <c r="E121" s="5"/>
      <c r="F121" s="5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1" hidden="1" customHeight="1">
      <c r="A122" s="800">
        <v>90215</v>
      </c>
      <c r="B122" s="816" t="s">
        <v>625</v>
      </c>
      <c r="C122" s="812" t="s">
        <v>13</v>
      </c>
      <c r="D122" s="9">
        <v>10002662</v>
      </c>
      <c r="E122" s="5"/>
      <c r="F122" s="5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1" hidden="1" customHeight="1">
      <c r="A123" s="835">
        <v>90215</v>
      </c>
      <c r="B123" s="844" t="s">
        <v>625</v>
      </c>
      <c r="C123" s="835" t="s">
        <v>13</v>
      </c>
      <c r="D123" s="9">
        <v>10002663</v>
      </c>
      <c r="E123" s="5">
        <v>11</v>
      </c>
      <c r="F123" s="5" t="s">
        <v>8</v>
      </c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1" hidden="1" customHeight="1">
      <c r="A124" s="800">
        <v>90216</v>
      </c>
      <c r="B124" s="816" t="s">
        <v>626</v>
      </c>
      <c r="C124" s="812" t="s">
        <v>13</v>
      </c>
      <c r="D124" s="9">
        <v>10001231</v>
      </c>
      <c r="E124" s="5">
        <v>2</v>
      </c>
      <c r="F124" s="5" t="s">
        <v>8</v>
      </c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1" hidden="1" customHeight="1">
      <c r="A125" s="835">
        <v>90216</v>
      </c>
      <c r="B125" s="844" t="s">
        <v>626</v>
      </c>
      <c r="C125" s="835" t="s">
        <v>13</v>
      </c>
      <c r="D125" s="9">
        <v>10002650</v>
      </c>
      <c r="E125" s="5">
        <v>7.4050000000000002</v>
      </c>
      <c r="F125" s="5" t="s">
        <v>8</v>
      </c>
      <c r="G125" s="5" t="s">
        <v>19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1" hidden="1" customHeight="1">
      <c r="A126" s="800">
        <v>90217</v>
      </c>
      <c r="B126" s="787" t="s">
        <v>627</v>
      </c>
      <c r="C126" s="801" t="s">
        <v>10</v>
      </c>
      <c r="D126" s="9">
        <v>10001074</v>
      </c>
      <c r="E126" s="5">
        <v>19.5</v>
      </c>
      <c r="F126" s="5" t="s">
        <v>8</v>
      </c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1" hidden="1" customHeight="1">
      <c r="A127" s="835">
        <v>90217</v>
      </c>
      <c r="B127" s="844" t="s">
        <v>627</v>
      </c>
      <c r="C127" s="835" t="s">
        <v>13</v>
      </c>
      <c r="D127" s="9">
        <v>10001071</v>
      </c>
      <c r="E127" s="5"/>
      <c r="F127" s="5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1" hidden="1" customHeight="1">
      <c r="A128" s="800">
        <v>90218</v>
      </c>
      <c r="B128" s="787" t="s">
        <v>628</v>
      </c>
      <c r="C128" s="801" t="s">
        <v>10</v>
      </c>
      <c r="D128" s="9">
        <v>10001072</v>
      </c>
      <c r="E128" s="5">
        <v>19.510000000000002</v>
      </c>
      <c r="F128" s="5" t="s">
        <v>8</v>
      </c>
      <c r="G128" s="5" t="s">
        <v>9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1" hidden="1" customHeight="1">
      <c r="A129" s="835">
        <v>90218</v>
      </c>
      <c r="B129" s="844" t="s">
        <v>628</v>
      </c>
      <c r="C129" s="835" t="s">
        <v>13</v>
      </c>
      <c r="D129" s="9">
        <v>10001131</v>
      </c>
      <c r="E129" s="5">
        <v>620</v>
      </c>
      <c r="F129" s="5" t="s">
        <v>8</v>
      </c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1" hidden="1" customHeight="1">
      <c r="A130" s="800">
        <v>90219</v>
      </c>
      <c r="B130" s="787" t="s">
        <v>629</v>
      </c>
      <c r="C130" s="801" t="s">
        <v>10</v>
      </c>
      <c r="D130" s="9">
        <v>10001130</v>
      </c>
      <c r="E130" s="5">
        <v>10.6</v>
      </c>
      <c r="F130" s="5" t="s">
        <v>8</v>
      </c>
      <c r="G130" s="5" t="s">
        <v>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1" hidden="1" customHeight="1">
      <c r="A131" s="835">
        <v>90219</v>
      </c>
      <c r="B131" s="844" t="s">
        <v>629</v>
      </c>
      <c r="C131" s="835" t="s">
        <v>13</v>
      </c>
      <c r="D131" s="9">
        <v>10001126</v>
      </c>
      <c r="E131" s="5">
        <v>10.4</v>
      </c>
      <c r="F131" s="5" t="s">
        <v>8</v>
      </c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1" hidden="1" customHeight="1">
      <c r="A132" s="800">
        <v>90231</v>
      </c>
      <c r="B132" s="787" t="s">
        <v>638</v>
      </c>
      <c r="C132" s="812" t="s">
        <v>10</v>
      </c>
      <c r="D132" s="9">
        <v>10001125</v>
      </c>
      <c r="E132" s="5">
        <v>10.6</v>
      </c>
      <c r="F132" s="5" t="s">
        <v>8</v>
      </c>
      <c r="G132" s="5" t="s">
        <v>9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1" hidden="1" customHeight="1">
      <c r="A133" s="835">
        <v>90231</v>
      </c>
      <c r="B133" s="844" t="s">
        <v>638</v>
      </c>
      <c r="C133" s="835" t="s">
        <v>13</v>
      </c>
      <c r="D133" s="9">
        <v>10002651</v>
      </c>
      <c r="E133" s="5"/>
      <c r="F133" s="5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1" hidden="1" customHeight="1">
      <c r="A134" s="800">
        <v>90220</v>
      </c>
      <c r="B134" s="787" t="s">
        <v>630</v>
      </c>
      <c r="C134" s="801" t="s">
        <v>10</v>
      </c>
      <c r="D134" s="9">
        <v>10001137</v>
      </c>
      <c r="E134" s="5">
        <v>10.8</v>
      </c>
      <c r="F134" s="5" t="s">
        <v>8</v>
      </c>
      <c r="G134" s="5" t="s">
        <v>9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1" hidden="1" customHeight="1">
      <c r="A135" s="835">
        <v>90220</v>
      </c>
      <c r="B135" s="844" t="s">
        <v>630</v>
      </c>
      <c r="C135" s="835" t="s">
        <v>13</v>
      </c>
      <c r="D135" s="9">
        <v>10001077</v>
      </c>
      <c r="E135" s="5">
        <v>18</v>
      </c>
      <c r="F135" s="5" t="s">
        <v>8</v>
      </c>
      <c r="G135" s="5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3"/>
      <c r="V135" s="3"/>
      <c r="W135" s="3"/>
      <c r="X135" s="3"/>
      <c r="Y135" s="3"/>
      <c r="Z135" s="3"/>
    </row>
    <row r="136" spans="1:26" ht="21" hidden="1" customHeight="1">
      <c r="A136" s="800">
        <v>90221</v>
      </c>
      <c r="B136" s="816" t="s">
        <v>631</v>
      </c>
      <c r="C136" s="801" t="s">
        <v>13</v>
      </c>
      <c r="D136" s="9">
        <v>10001076</v>
      </c>
      <c r="E136" s="5">
        <v>19.36</v>
      </c>
      <c r="F136" s="5" t="s">
        <v>8</v>
      </c>
      <c r="G136" s="5" t="s">
        <v>19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3"/>
      <c r="V136" s="3"/>
      <c r="W136" s="3"/>
      <c r="X136" s="3"/>
      <c r="Y136" s="3"/>
      <c r="Z136" s="3"/>
    </row>
    <row r="137" spans="1:26" ht="21" hidden="1" customHeight="1">
      <c r="A137" s="835">
        <v>90221</v>
      </c>
      <c r="B137" s="844" t="s">
        <v>631</v>
      </c>
      <c r="C137" s="835" t="s">
        <v>13</v>
      </c>
      <c r="D137" s="9">
        <v>10001079</v>
      </c>
      <c r="E137" s="5">
        <v>1.39</v>
      </c>
      <c r="F137" s="5" t="s">
        <v>8</v>
      </c>
      <c r="G137" s="5" t="s">
        <v>9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3"/>
      <c r="V137" s="3"/>
      <c r="W137" s="3"/>
      <c r="X137" s="3"/>
      <c r="Y137" s="3"/>
      <c r="Z137" s="3"/>
    </row>
    <row r="138" spans="1:26" ht="21" hidden="1" customHeight="1">
      <c r="A138" s="801">
        <v>90222</v>
      </c>
      <c r="B138" s="788" t="s">
        <v>632</v>
      </c>
      <c r="C138" s="801" t="s">
        <v>10</v>
      </c>
      <c r="D138" s="9">
        <v>10001078</v>
      </c>
      <c r="E138" s="5">
        <v>1.44</v>
      </c>
      <c r="F138" s="5" t="s">
        <v>8</v>
      </c>
      <c r="G138" s="5" t="s">
        <v>9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3"/>
      <c r="V138" s="3"/>
      <c r="W138" s="3"/>
      <c r="X138" s="3"/>
      <c r="Y138" s="3"/>
      <c r="Z138" s="3"/>
    </row>
    <row r="139" spans="1:26" ht="21" hidden="1" customHeight="1">
      <c r="A139" s="835">
        <v>90222</v>
      </c>
      <c r="B139" s="844" t="s">
        <v>632</v>
      </c>
      <c r="C139" s="835" t="s">
        <v>13</v>
      </c>
      <c r="D139" s="9">
        <v>10001080</v>
      </c>
      <c r="E139" s="5">
        <v>1.48</v>
      </c>
      <c r="F139" s="5" t="s">
        <v>8</v>
      </c>
      <c r="G139" s="5" t="s">
        <v>9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3"/>
      <c r="V139" s="3"/>
      <c r="W139" s="3"/>
      <c r="X139" s="3"/>
      <c r="Y139" s="3"/>
      <c r="Z139" s="3"/>
    </row>
    <row r="140" spans="1:26" ht="21" hidden="1" customHeight="1">
      <c r="A140" s="800">
        <v>90223</v>
      </c>
      <c r="B140" s="787" t="s">
        <v>633</v>
      </c>
      <c r="C140" s="812" t="s">
        <v>10</v>
      </c>
      <c r="D140" s="9">
        <v>10001124</v>
      </c>
      <c r="E140" s="5">
        <v>1.57</v>
      </c>
      <c r="F140" s="5" t="s">
        <v>8</v>
      </c>
      <c r="G140" s="5" t="s">
        <v>9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3"/>
      <c r="V140" s="3"/>
      <c r="W140" s="3"/>
      <c r="X140" s="3"/>
      <c r="Y140" s="3"/>
      <c r="Z140" s="3"/>
    </row>
    <row r="141" spans="1:26" ht="21" hidden="1" customHeight="1">
      <c r="A141" s="835">
        <v>90223</v>
      </c>
      <c r="B141" s="844" t="s">
        <v>633</v>
      </c>
      <c r="C141" s="835" t="s">
        <v>13</v>
      </c>
      <c r="D141" s="9">
        <v>10001121</v>
      </c>
      <c r="E141" s="5">
        <v>1.67</v>
      </c>
      <c r="F141" s="5" t="s">
        <v>8</v>
      </c>
      <c r="G141" s="5" t="s">
        <v>9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3"/>
      <c r="V141" s="3"/>
      <c r="W141" s="3"/>
      <c r="X141" s="3"/>
      <c r="Y141" s="3"/>
      <c r="Z141" s="3"/>
    </row>
    <row r="142" spans="1:26" ht="21" hidden="1" customHeight="1">
      <c r="A142" s="800">
        <v>90232</v>
      </c>
      <c r="B142" s="787" t="s">
        <v>639</v>
      </c>
      <c r="C142" s="812" t="s">
        <v>10</v>
      </c>
      <c r="D142" s="9">
        <v>10001123</v>
      </c>
      <c r="E142" s="5">
        <v>1.69</v>
      </c>
      <c r="F142" s="5" t="s">
        <v>8</v>
      </c>
      <c r="G142" s="5" t="s">
        <v>9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3"/>
      <c r="V142" s="3"/>
      <c r="W142" s="3"/>
      <c r="X142" s="3"/>
      <c r="Y142" s="3"/>
      <c r="Z142" s="3"/>
    </row>
    <row r="143" spans="1:26" ht="21" hidden="1" customHeight="1">
      <c r="A143" s="800">
        <v>90224</v>
      </c>
      <c r="B143" s="787" t="s">
        <v>634</v>
      </c>
      <c r="C143" s="812" t="s">
        <v>10</v>
      </c>
      <c r="D143" s="9">
        <v>10007050</v>
      </c>
      <c r="E143" s="5">
        <v>4.4999999999999998E-2</v>
      </c>
      <c r="F143" s="5" t="s">
        <v>8</v>
      </c>
      <c r="G143" s="5" t="s">
        <v>9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3"/>
      <c r="V143" s="3"/>
      <c r="W143" s="3"/>
      <c r="X143" s="3"/>
      <c r="Y143" s="3"/>
      <c r="Z143" s="3"/>
    </row>
    <row r="144" spans="1:26" ht="21" hidden="1" customHeight="1">
      <c r="A144" s="800">
        <v>90225</v>
      </c>
      <c r="B144" s="787" t="s">
        <v>635</v>
      </c>
      <c r="C144" s="812" t="s">
        <v>10</v>
      </c>
      <c r="D144" s="771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772"/>
      <c r="V144" s="772"/>
      <c r="W144" s="772"/>
      <c r="X144" s="772"/>
      <c r="Y144" s="772"/>
      <c r="Z144" s="772"/>
    </row>
    <row r="145" spans="1:26" ht="21" hidden="1" customHeight="1">
      <c r="A145" s="835">
        <v>90225</v>
      </c>
      <c r="B145" s="844" t="s">
        <v>635</v>
      </c>
      <c r="C145" s="835" t="s">
        <v>13</v>
      </c>
      <c r="D145" s="771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772"/>
      <c r="V145" s="772"/>
      <c r="W145" s="772"/>
      <c r="X145" s="772"/>
      <c r="Y145" s="772"/>
      <c r="Z145" s="772"/>
    </row>
    <row r="146" spans="1:26" ht="21" hidden="1" customHeight="1">
      <c r="A146" s="800">
        <v>90233</v>
      </c>
      <c r="B146" s="787" t="s">
        <v>640</v>
      </c>
      <c r="C146" s="812" t="s">
        <v>10</v>
      </c>
      <c r="D146" s="9">
        <v>10001138</v>
      </c>
      <c r="E146" s="5">
        <v>1.71</v>
      </c>
      <c r="F146" s="5" t="s">
        <v>8</v>
      </c>
      <c r="G146" s="5" t="s">
        <v>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3"/>
      <c r="V146" s="3"/>
      <c r="W146" s="3"/>
      <c r="X146" s="3"/>
      <c r="Y146" s="3"/>
      <c r="Z146" s="3"/>
    </row>
    <row r="147" spans="1:26" ht="21" hidden="1" customHeight="1">
      <c r="A147" s="835">
        <v>90233</v>
      </c>
      <c r="B147" s="844" t="s">
        <v>640</v>
      </c>
      <c r="C147" s="835" t="s">
        <v>13</v>
      </c>
      <c r="D147" s="9">
        <v>10001075</v>
      </c>
      <c r="E147" s="5">
        <v>1.78</v>
      </c>
      <c r="F147" s="5" t="s">
        <v>8</v>
      </c>
      <c r="G147" s="5" t="s">
        <v>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1" hidden="1" customHeight="1">
      <c r="A148" s="800">
        <v>90226</v>
      </c>
      <c r="B148" s="787" t="s">
        <v>636</v>
      </c>
      <c r="C148" s="801" t="s">
        <v>10</v>
      </c>
      <c r="D148" s="9">
        <v>10001159</v>
      </c>
      <c r="E148" s="5">
        <v>2.85</v>
      </c>
      <c r="F148" s="5" t="s">
        <v>8</v>
      </c>
      <c r="G148" s="5" t="s">
        <v>9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1" hidden="1" customHeight="1">
      <c r="A149" s="835">
        <v>90226</v>
      </c>
      <c r="B149" s="844" t="s">
        <v>636</v>
      </c>
      <c r="C149" s="835" t="s">
        <v>13</v>
      </c>
      <c r="D149" s="9">
        <v>10009216</v>
      </c>
      <c r="E149" s="5">
        <v>1.91</v>
      </c>
      <c r="F149" s="5" t="s">
        <v>8</v>
      </c>
      <c r="G149" s="5" t="s">
        <v>9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" hidden="1" customHeight="1">
      <c r="A150" s="800">
        <v>90227</v>
      </c>
      <c r="B150" s="787" t="s">
        <v>637</v>
      </c>
      <c r="C150" s="812" t="s">
        <v>10</v>
      </c>
      <c r="D150" s="9">
        <v>10009217</v>
      </c>
      <c r="E150" s="5">
        <v>1.91</v>
      </c>
      <c r="F150" s="5" t="s">
        <v>8</v>
      </c>
      <c r="G150" s="5" t="s">
        <v>9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" hidden="1" customHeight="1">
      <c r="A151" s="835">
        <v>90228</v>
      </c>
      <c r="B151" s="844" t="s">
        <v>1020</v>
      </c>
      <c r="C151" s="835" t="s">
        <v>13</v>
      </c>
      <c r="D151" s="9">
        <v>10009218</v>
      </c>
      <c r="E151" s="5">
        <v>1.95</v>
      </c>
      <c r="F151" s="5" t="s">
        <v>8</v>
      </c>
      <c r="G151" s="5" t="s">
        <v>9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1" hidden="1" customHeight="1">
      <c r="A152" s="800">
        <v>90235</v>
      </c>
      <c r="B152" s="816" t="s">
        <v>641</v>
      </c>
      <c r="C152" s="812" t="s">
        <v>13</v>
      </c>
      <c r="D152" s="771"/>
      <c r="E152" s="5"/>
      <c r="F152" s="5"/>
      <c r="G152" s="5"/>
      <c r="H152" s="772"/>
      <c r="I152" s="772"/>
      <c r="J152" s="772"/>
      <c r="K152" s="772"/>
      <c r="L152" s="772"/>
      <c r="M152" s="772"/>
      <c r="N152" s="772"/>
      <c r="O152" s="772"/>
      <c r="P152" s="772"/>
      <c r="Q152" s="772"/>
      <c r="R152" s="772"/>
      <c r="S152" s="772"/>
      <c r="T152" s="772"/>
      <c r="U152" s="772"/>
      <c r="V152" s="772"/>
      <c r="W152" s="772"/>
      <c r="X152" s="772"/>
      <c r="Y152" s="772"/>
      <c r="Z152" s="772"/>
    </row>
    <row r="153" spans="1:26" ht="21" hidden="1" customHeight="1">
      <c r="A153" s="835">
        <v>90236</v>
      </c>
      <c r="B153" s="844" t="s">
        <v>1021</v>
      </c>
      <c r="C153" s="835" t="s">
        <v>13</v>
      </c>
      <c r="D153" s="9">
        <v>10009219</v>
      </c>
      <c r="E153" s="5">
        <v>2.0099999999999998</v>
      </c>
      <c r="F153" s="5" t="s">
        <v>8</v>
      </c>
      <c r="G153" s="5" t="s">
        <v>9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" hidden="1" customHeight="1">
      <c r="A154" s="800">
        <v>4145</v>
      </c>
      <c r="B154" s="816" t="s">
        <v>25</v>
      </c>
      <c r="C154" s="812" t="s">
        <v>962</v>
      </c>
      <c r="D154" s="9">
        <v>10001160</v>
      </c>
      <c r="E154" s="5">
        <v>2.1</v>
      </c>
      <c r="F154" s="5" t="s">
        <v>8</v>
      </c>
      <c r="G154" s="5" t="s">
        <v>9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1" hidden="1" customHeight="1">
      <c r="A155" s="835">
        <v>159</v>
      </c>
      <c r="B155" s="844" t="s">
        <v>1022</v>
      </c>
      <c r="C155" s="835" t="s">
        <v>10</v>
      </c>
      <c r="D155" s="9">
        <v>10001173</v>
      </c>
      <c r="E155" s="5">
        <v>2.1150000000000002</v>
      </c>
      <c r="F155" s="5" t="s">
        <v>8</v>
      </c>
      <c r="G155" s="5" t="s">
        <v>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hidden="1" customHeight="1">
      <c r="A156" s="800">
        <v>624307</v>
      </c>
      <c r="B156" s="816" t="s">
        <v>26</v>
      </c>
      <c r="C156" s="812" t="s">
        <v>13</v>
      </c>
      <c r="D156" s="9">
        <v>10001162</v>
      </c>
      <c r="E156" s="5">
        <v>2.2000000000000002</v>
      </c>
      <c r="F156" s="5" t="s">
        <v>8</v>
      </c>
      <c r="G156" s="5" t="s">
        <v>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hidden="1" customHeight="1">
      <c r="A157" s="800">
        <v>174</v>
      </c>
      <c r="B157" s="816" t="s">
        <v>28</v>
      </c>
      <c r="C157" s="812" t="s">
        <v>962</v>
      </c>
      <c r="D157" s="9">
        <v>10009385</v>
      </c>
      <c r="E157" s="5">
        <v>0.42499999999999999</v>
      </c>
      <c r="F157" s="5" t="s">
        <v>8</v>
      </c>
      <c r="G157" s="5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3"/>
      <c r="V157" s="3"/>
      <c r="W157" s="3"/>
      <c r="X157" s="3"/>
      <c r="Y157" s="3"/>
      <c r="Z157" s="3"/>
    </row>
    <row r="158" spans="1:26" ht="21" hidden="1" customHeight="1">
      <c r="A158" s="800">
        <v>178</v>
      </c>
      <c r="B158" s="816" t="s">
        <v>29</v>
      </c>
      <c r="C158" s="812" t="s">
        <v>962</v>
      </c>
      <c r="D158" s="771"/>
      <c r="E158" s="5"/>
      <c r="F158" s="5"/>
      <c r="G158" s="5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772"/>
      <c r="V158" s="772"/>
      <c r="W158" s="772"/>
      <c r="X158" s="772"/>
      <c r="Y158" s="772"/>
      <c r="Z158" s="772"/>
    </row>
    <row r="159" spans="1:26" ht="21" hidden="1" customHeight="1">
      <c r="A159" s="835">
        <v>162</v>
      </c>
      <c r="B159" s="844" t="s">
        <v>1023</v>
      </c>
      <c r="C159" s="835" t="s">
        <v>10</v>
      </c>
      <c r="D159" s="9">
        <v>10001166</v>
      </c>
      <c r="E159" s="5">
        <v>2.2799999999999998</v>
      </c>
      <c r="F159" s="5" t="s">
        <v>8</v>
      </c>
      <c r="G159" s="5" t="s">
        <v>9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3"/>
      <c r="V159" s="3"/>
      <c r="W159" s="3"/>
      <c r="X159" s="3"/>
      <c r="Y159" s="3"/>
      <c r="Z159" s="3"/>
    </row>
    <row r="160" spans="1:26" ht="21" hidden="1" customHeight="1">
      <c r="A160" s="800">
        <v>159</v>
      </c>
      <c r="B160" s="816" t="s">
        <v>30</v>
      </c>
      <c r="C160" s="812" t="s">
        <v>962</v>
      </c>
      <c r="D160" s="9">
        <v>10001157</v>
      </c>
      <c r="E160" s="5">
        <v>2.2799999999999998</v>
      </c>
      <c r="F160" s="5" t="s">
        <v>8</v>
      </c>
      <c r="G160" s="5" t="s">
        <v>9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3"/>
      <c r="V160" s="3"/>
      <c r="W160" s="3"/>
      <c r="X160" s="3"/>
      <c r="Y160" s="3"/>
      <c r="Z160" s="3"/>
    </row>
    <row r="161" spans="1:26" ht="21" hidden="1" customHeight="1">
      <c r="A161" s="800">
        <v>90471</v>
      </c>
      <c r="B161" s="816" t="s">
        <v>703</v>
      </c>
      <c r="C161" s="812" t="s">
        <v>13</v>
      </c>
      <c r="D161" s="9">
        <v>10001156</v>
      </c>
      <c r="E161" s="5">
        <v>2.48</v>
      </c>
      <c r="F161" s="5" t="s">
        <v>8</v>
      </c>
      <c r="G161" s="5" t="s">
        <v>9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" hidden="1" customHeight="1">
      <c r="A162" s="835">
        <v>90471</v>
      </c>
      <c r="B162" s="844" t="s">
        <v>703</v>
      </c>
      <c r="C162" s="835" t="s">
        <v>13</v>
      </c>
      <c r="D162" s="9"/>
      <c r="E162" s="5"/>
      <c r="F162" s="5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1" hidden="1" customHeight="1">
      <c r="A163" s="800">
        <v>90472</v>
      </c>
      <c r="B163" s="787" t="s">
        <v>704</v>
      </c>
      <c r="C163" s="812" t="s">
        <v>10</v>
      </c>
      <c r="D163" s="9"/>
      <c r="E163" s="5"/>
      <c r="F163" s="5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hidden="1" customHeight="1">
      <c r="A164" s="835">
        <v>90472</v>
      </c>
      <c r="B164" s="844" t="s">
        <v>704</v>
      </c>
      <c r="C164" s="835" t="s">
        <v>13</v>
      </c>
      <c r="D164" s="9">
        <v>10001154</v>
      </c>
      <c r="E164" s="5">
        <v>2.5499999999999998</v>
      </c>
      <c r="F164" s="5" t="s">
        <v>8</v>
      </c>
      <c r="G164" s="5" t="s">
        <v>9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1" hidden="1" customHeight="1">
      <c r="A165" s="835">
        <v>90473</v>
      </c>
      <c r="B165" s="844" t="s">
        <v>1024</v>
      </c>
      <c r="C165" s="835" t="s">
        <v>13</v>
      </c>
      <c r="D165" s="9">
        <v>10001153</v>
      </c>
      <c r="E165" s="5">
        <v>2.6</v>
      </c>
      <c r="F165" s="5" t="s">
        <v>8</v>
      </c>
      <c r="G165" s="5" t="s">
        <v>9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1" hidden="1" customHeight="1">
      <c r="A166" s="835">
        <v>90474</v>
      </c>
      <c r="B166" s="844" t="s">
        <v>1025</v>
      </c>
      <c r="C166" s="835" t="s">
        <v>13</v>
      </c>
      <c r="D166" s="9">
        <v>10001165</v>
      </c>
      <c r="E166" s="5">
        <v>2.665</v>
      </c>
      <c r="F166" s="5" t="s">
        <v>8</v>
      </c>
      <c r="G166" s="5" t="s">
        <v>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1" hidden="1" customHeight="1">
      <c r="A167" s="835">
        <v>90476</v>
      </c>
      <c r="B167" s="844" t="s">
        <v>1026</v>
      </c>
      <c r="C167" s="835" t="s">
        <v>13</v>
      </c>
      <c r="D167" s="9">
        <v>10001150</v>
      </c>
      <c r="E167" s="5">
        <v>2.7</v>
      </c>
      <c r="F167" s="5" t="s">
        <v>8</v>
      </c>
      <c r="G167" s="5" t="s">
        <v>9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1" hidden="1" customHeight="1">
      <c r="A168" s="835">
        <v>90477</v>
      </c>
      <c r="B168" s="844" t="s">
        <v>1027</v>
      </c>
      <c r="C168" s="835" t="s">
        <v>13</v>
      </c>
      <c r="D168" s="9">
        <v>10001163</v>
      </c>
      <c r="E168" s="5">
        <v>2.75</v>
      </c>
      <c r="F168" s="5" t="s">
        <v>8</v>
      </c>
      <c r="G168" s="5" t="s">
        <v>9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1" hidden="1" customHeight="1">
      <c r="A169" s="835">
        <v>90478</v>
      </c>
      <c r="B169" s="844" t="s">
        <v>1028</v>
      </c>
      <c r="C169" s="835" t="s">
        <v>13</v>
      </c>
      <c r="D169" s="9">
        <v>10001170</v>
      </c>
      <c r="E169" s="5">
        <v>1.7549999999999999</v>
      </c>
      <c r="F169" s="5" t="s">
        <v>8</v>
      </c>
      <c r="G169" s="5" t="s">
        <v>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1" hidden="1" customHeight="1">
      <c r="A170" s="800">
        <v>90477</v>
      </c>
      <c r="B170" s="816" t="s">
        <v>739</v>
      </c>
      <c r="C170" s="812" t="s">
        <v>962</v>
      </c>
      <c r="D170" s="9">
        <v>10001169</v>
      </c>
      <c r="E170" s="5">
        <v>3.6</v>
      </c>
      <c r="F170" s="5" t="s">
        <v>8</v>
      </c>
      <c r="G170" s="5" t="s">
        <v>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1" hidden="1" customHeight="1">
      <c r="A171" s="835">
        <v>90804</v>
      </c>
      <c r="B171" s="844" t="s">
        <v>1029</v>
      </c>
      <c r="C171" s="835" t="s">
        <v>13</v>
      </c>
      <c r="D171" s="9">
        <v>10001177</v>
      </c>
      <c r="E171" s="5">
        <v>6.6000000000000003E-2</v>
      </c>
      <c r="F171" s="5" t="s">
        <v>8</v>
      </c>
      <c r="G171" s="5" t="s">
        <v>9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1" hidden="1" customHeight="1">
      <c r="A172" s="835">
        <v>90342</v>
      </c>
      <c r="B172" s="844" t="s">
        <v>1030</v>
      </c>
      <c r="C172" s="835" t="s">
        <v>13</v>
      </c>
      <c r="D172" s="9">
        <v>10001181</v>
      </c>
      <c r="E172" s="5">
        <v>0.14699999999999999</v>
      </c>
      <c r="F172" s="5" t="s">
        <v>8</v>
      </c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1" hidden="1" customHeight="1">
      <c r="A173" s="800">
        <v>90490</v>
      </c>
      <c r="B173" s="787" t="s">
        <v>78</v>
      </c>
      <c r="C173" s="812" t="s">
        <v>10</v>
      </c>
      <c r="D173" s="9">
        <v>10007028</v>
      </c>
      <c r="E173" s="5">
        <v>0.14000000000000001</v>
      </c>
      <c r="F173" s="5" t="s">
        <v>8</v>
      </c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1" hidden="1" customHeight="1">
      <c r="A174" s="835">
        <v>90490</v>
      </c>
      <c r="B174" s="844" t="s">
        <v>78</v>
      </c>
      <c r="C174" s="835" t="s">
        <v>13</v>
      </c>
      <c r="D174" s="9">
        <v>10002691</v>
      </c>
      <c r="E174" s="5">
        <v>0.13500000000000001</v>
      </c>
      <c r="F174" s="5" t="s">
        <v>8</v>
      </c>
      <c r="G174" s="5" t="s">
        <v>9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1" hidden="1" customHeight="1">
      <c r="A175" s="800">
        <v>90797</v>
      </c>
      <c r="B175" s="787" t="s">
        <v>976</v>
      </c>
      <c r="C175" s="812" t="s">
        <v>962</v>
      </c>
      <c r="D175" s="9">
        <v>10001062</v>
      </c>
      <c r="E175" s="5">
        <v>0.04</v>
      </c>
      <c r="F175" s="5" t="s">
        <v>8</v>
      </c>
      <c r="G175" s="5" t="s">
        <v>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1" hidden="1" customHeight="1">
      <c r="A176" s="800">
        <v>90113</v>
      </c>
      <c r="B176" s="816" t="s">
        <v>610</v>
      </c>
      <c r="C176" s="812" t="s">
        <v>962</v>
      </c>
      <c r="D176" s="9">
        <v>10002693</v>
      </c>
      <c r="E176" s="5">
        <v>4.8000000000000001E-2</v>
      </c>
      <c r="F176" s="5" t="s">
        <v>8</v>
      </c>
      <c r="G176" s="5" t="s">
        <v>9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1" hidden="1" customHeight="1">
      <c r="A177" s="835">
        <v>90796</v>
      </c>
      <c r="B177" s="844" t="s">
        <v>1145</v>
      </c>
      <c r="C177" s="859" t="s">
        <v>13</v>
      </c>
      <c r="D177" s="9">
        <v>10001180</v>
      </c>
      <c r="E177" s="5">
        <v>0.13500000000000001</v>
      </c>
      <c r="F177" s="5" t="s">
        <v>8</v>
      </c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1" hidden="1" customHeight="1">
      <c r="A178" s="800">
        <v>90799</v>
      </c>
      <c r="B178" s="787" t="s">
        <v>729</v>
      </c>
      <c r="C178" s="812" t="s">
        <v>10</v>
      </c>
      <c r="D178" s="9">
        <v>10002692</v>
      </c>
      <c r="E178" s="5">
        <v>0.14499999999999999</v>
      </c>
      <c r="F178" s="5" t="s">
        <v>8</v>
      </c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1" hidden="1" customHeight="1">
      <c r="A179" s="835">
        <v>90799</v>
      </c>
      <c r="B179" s="844" t="s">
        <v>729</v>
      </c>
      <c r="C179" s="835" t="s">
        <v>13</v>
      </c>
      <c r="D179" s="9">
        <v>10009376</v>
      </c>
      <c r="E179" s="5">
        <v>0.45</v>
      </c>
      <c r="F179" s="5" t="s">
        <v>8</v>
      </c>
      <c r="G179" s="5" t="s">
        <v>9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1" hidden="1" customHeight="1">
      <c r="A180" s="835">
        <v>90793</v>
      </c>
      <c r="B180" s="844" t="s">
        <v>1031</v>
      </c>
      <c r="C180" s="835" t="s">
        <v>13</v>
      </c>
      <c r="D180" s="771"/>
      <c r="E180" s="5"/>
      <c r="F180" s="5"/>
      <c r="G180" s="5"/>
      <c r="H180" s="772"/>
      <c r="I180" s="772"/>
      <c r="J180" s="772"/>
      <c r="K180" s="772"/>
      <c r="L180" s="772"/>
      <c r="M180" s="772"/>
      <c r="N180" s="772"/>
      <c r="O180" s="772"/>
      <c r="P180" s="772"/>
      <c r="Q180" s="772"/>
      <c r="R180" s="772"/>
      <c r="S180" s="772"/>
      <c r="T180" s="772"/>
      <c r="U180" s="772"/>
      <c r="V180" s="772"/>
      <c r="W180" s="772"/>
      <c r="X180" s="772"/>
      <c r="Y180" s="772"/>
      <c r="Z180" s="772"/>
    </row>
    <row r="181" spans="1:26" ht="21" hidden="1" customHeight="1">
      <c r="A181" s="800">
        <v>90790</v>
      </c>
      <c r="B181" s="787" t="s">
        <v>726</v>
      </c>
      <c r="C181" s="812" t="s">
        <v>10</v>
      </c>
      <c r="D181" s="9">
        <v>10009379</v>
      </c>
      <c r="E181" s="5">
        <v>0.45</v>
      </c>
      <c r="F181" s="5" t="s">
        <v>8</v>
      </c>
      <c r="G181" s="5" t="s">
        <v>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1" hidden="1" customHeight="1">
      <c r="A182" s="835">
        <v>90790</v>
      </c>
      <c r="B182" s="844" t="s">
        <v>726</v>
      </c>
      <c r="C182" s="835" t="s">
        <v>13</v>
      </c>
      <c r="D182" s="9">
        <v>10009380</v>
      </c>
      <c r="E182" s="5">
        <v>0.02</v>
      </c>
      <c r="F182" s="5" t="s">
        <v>8</v>
      </c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1" hidden="1" customHeight="1">
      <c r="A183" s="800">
        <v>90791</v>
      </c>
      <c r="B183" s="816" t="s">
        <v>727</v>
      </c>
      <c r="C183" s="812" t="s">
        <v>13</v>
      </c>
      <c r="D183" s="9">
        <v>10009384</v>
      </c>
      <c r="E183" s="5">
        <v>0.43</v>
      </c>
      <c r="F183" s="5" t="s">
        <v>8</v>
      </c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1" hidden="1" customHeight="1">
      <c r="A184" s="835">
        <v>90791</v>
      </c>
      <c r="B184" s="844" t="s">
        <v>727</v>
      </c>
      <c r="C184" s="835" t="s">
        <v>13</v>
      </c>
      <c r="D184" s="9">
        <v>10018265</v>
      </c>
      <c r="E184" s="5">
        <v>0.04</v>
      </c>
      <c r="F184" s="5" t="s">
        <v>8</v>
      </c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1" hidden="1" customHeight="1">
      <c r="A185" s="835">
        <v>90787</v>
      </c>
      <c r="B185" s="844" t="s">
        <v>1032</v>
      </c>
      <c r="C185" s="835" t="s">
        <v>13</v>
      </c>
      <c r="D185" s="9">
        <v>10001164</v>
      </c>
      <c r="E185" s="5">
        <v>2.2000000000000002</v>
      </c>
      <c r="F185" s="5" t="s">
        <v>8</v>
      </c>
      <c r="G185" s="5" t="s">
        <v>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1" hidden="1" customHeight="1">
      <c r="A186" s="835">
        <v>90797</v>
      </c>
      <c r="B186" s="844" t="s">
        <v>1033</v>
      </c>
      <c r="C186" s="835" t="s">
        <v>13</v>
      </c>
      <c r="D186" s="9">
        <v>10018266</v>
      </c>
      <c r="E186" s="5">
        <v>0.13500000000000001</v>
      </c>
      <c r="F186" s="5" t="s">
        <v>8</v>
      </c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1" hidden="1" customHeight="1">
      <c r="A187" s="800">
        <v>90788</v>
      </c>
      <c r="B187" s="787" t="s">
        <v>987</v>
      </c>
      <c r="C187" s="812" t="s">
        <v>10</v>
      </c>
      <c r="D187" s="9">
        <v>10018267</v>
      </c>
      <c r="E187" s="5">
        <v>0.13</v>
      </c>
      <c r="F187" s="5" t="s">
        <v>8</v>
      </c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1" hidden="1" customHeight="1">
      <c r="A188" s="835">
        <v>90798</v>
      </c>
      <c r="B188" s="844" t="s">
        <v>1034</v>
      </c>
      <c r="C188" s="835" t="s">
        <v>13</v>
      </c>
      <c r="D188" s="771"/>
      <c r="E188" s="5"/>
      <c r="F188" s="5"/>
      <c r="G188" s="5"/>
      <c r="H188" s="772"/>
      <c r="I188" s="772"/>
      <c r="J188" s="772"/>
      <c r="K188" s="772"/>
      <c r="L188" s="772"/>
      <c r="M188" s="772"/>
      <c r="N188" s="772"/>
      <c r="O188" s="772"/>
      <c r="P188" s="772"/>
      <c r="Q188" s="772"/>
      <c r="R188" s="772"/>
      <c r="S188" s="772"/>
      <c r="T188" s="772"/>
      <c r="U188" s="772"/>
      <c r="V188" s="772"/>
      <c r="W188" s="772"/>
      <c r="X188" s="772"/>
      <c r="Y188" s="772"/>
      <c r="Z188" s="772"/>
    </row>
    <row r="189" spans="1:26" ht="21" hidden="1" customHeight="1">
      <c r="A189" s="800">
        <v>90795</v>
      </c>
      <c r="B189" s="787" t="s">
        <v>728</v>
      </c>
      <c r="C189" s="812" t="s">
        <v>10</v>
      </c>
      <c r="D189" s="9">
        <v>10012796</v>
      </c>
      <c r="E189" s="5">
        <v>0.23499999999999999</v>
      </c>
      <c r="F189" s="5" t="s">
        <v>8</v>
      </c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1" hidden="1" customHeight="1">
      <c r="A190" s="835">
        <v>90795</v>
      </c>
      <c r="B190" s="844" t="s">
        <v>728</v>
      </c>
      <c r="C190" s="835" t="s">
        <v>13</v>
      </c>
      <c r="D190" s="9">
        <v>10009374</v>
      </c>
      <c r="E190" s="5">
        <v>0.15</v>
      </c>
      <c r="F190" s="5" t="s">
        <v>8</v>
      </c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1" hidden="1" customHeight="1">
      <c r="A191" s="800">
        <v>90800</v>
      </c>
      <c r="B191" s="787" t="s">
        <v>730</v>
      </c>
      <c r="C191" s="812" t="s">
        <v>10</v>
      </c>
      <c r="D191" s="9">
        <v>10009375</v>
      </c>
      <c r="E191" s="5">
        <v>0.44500000000000001</v>
      </c>
      <c r="F191" s="5" t="s">
        <v>8</v>
      </c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1" hidden="1" customHeight="1">
      <c r="A192" s="835">
        <v>90800</v>
      </c>
      <c r="B192" s="844" t="s">
        <v>730</v>
      </c>
      <c r="C192" s="835" t="s">
        <v>13</v>
      </c>
      <c r="D192" s="9">
        <v>10009381</v>
      </c>
      <c r="E192" s="5">
        <v>0.42</v>
      </c>
      <c r="F192" s="5" t="s">
        <v>8</v>
      </c>
      <c r="G192" s="5" t="s">
        <v>9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3"/>
      <c r="V192" s="3"/>
      <c r="W192" s="3"/>
      <c r="X192" s="3"/>
      <c r="Y192" s="3"/>
      <c r="Z192" s="3"/>
    </row>
    <row r="193" spans="1:26" ht="21" hidden="1" customHeight="1">
      <c r="A193" s="800">
        <v>3057</v>
      </c>
      <c r="B193" s="816" t="s">
        <v>598</v>
      </c>
      <c r="C193" s="812" t="s">
        <v>962</v>
      </c>
      <c r="D193" s="9">
        <v>10009388</v>
      </c>
      <c r="E193" s="5">
        <v>0.92</v>
      </c>
      <c r="F193" s="5" t="s">
        <v>8</v>
      </c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3"/>
      <c r="V193" s="3"/>
      <c r="W193" s="3"/>
      <c r="X193" s="3"/>
      <c r="Y193" s="3"/>
      <c r="Z193" s="3"/>
    </row>
    <row r="194" spans="1:26" ht="21" hidden="1" customHeight="1">
      <c r="A194" s="821">
        <v>2914</v>
      </c>
      <c r="B194" s="818" t="s">
        <v>31</v>
      </c>
      <c r="C194" s="823" t="s">
        <v>13</v>
      </c>
      <c r="D194" s="14"/>
      <c r="E194" s="15"/>
      <c r="F194" s="15"/>
      <c r="G194" s="1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1" hidden="1" customHeight="1">
      <c r="A195" s="835">
        <v>2914</v>
      </c>
      <c r="B195" s="844" t="s">
        <v>31</v>
      </c>
      <c r="C195" s="835" t="s">
        <v>10</v>
      </c>
      <c r="D195" s="778"/>
      <c r="E195" s="15"/>
      <c r="F195" s="15"/>
      <c r="G195" s="15"/>
      <c r="H195" s="772"/>
      <c r="I195" s="772"/>
      <c r="J195" s="772"/>
      <c r="K195" s="772"/>
      <c r="L195" s="772"/>
      <c r="M195" s="772"/>
      <c r="N195" s="772"/>
      <c r="O195" s="772"/>
      <c r="P195" s="772"/>
      <c r="Q195" s="772"/>
      <c r="R195" s="772"/>
      <c r="S195" s="772"/>
      <c r="T195" s="772"/>
      <c r="U195" s="772"/>
      <c r="V195" s="772"/>
      <c r="W195" s="772"/>
      <c r="X195" s="772"/>
      <c r="Y195" s="772"/>
      <c r="Z195" s="772"/>
    </row>
    <row r="196" spans="1:26" ht="21" hidden="1" customHeight="1">
      <c r="A196" s="800">
        <v>2915</v>
      </c>
      <c r="B196" s="816" t="s">
        <v>32</v>
      </c>
      <c r="C196" s="812" t="s">
        <v>13</v>
      </c>
      <c r="D196" s="778"/>
      <c r="E196" s="15"/>
      <c r="F196" s="15"/>
      <c r="G196" s="15"/>
      <c r="H196" s="772"/>
      <c r="I196" s="772"/>
      <c r="J196" s="772"/>
      <c r="K196" s="772"/>
      <c r="L196" s="772"/>
      <c r="M196" s="772"/>
      <c r="N196" s="772"/>
      <c r="O196" s="772"/>
      <c r="P196" s="772"/>
      <c r="Q196" s="772"/>
      <c r="R196" s="772"/>
      <c r="S196" s="772"/>
      <c r="T196" s="772"/>
      <c r="U196" s="772"/>
      <c r="V196" s="772"/>
      <c r="W196" s="772"/>
      <c r="X196" s="772"/>
      <c r="Y196" s="772"/>
      <c r="Z196" s="772"/>
    </row>
    <row r="197" spans="1:26" ht="21" hidden="1" customHeight="1">
      <c r="A197" s="800">
        <v>2916</v>
      </c>
      <c r="B197" s="816" t="s">
        <v>33</v>
      </c>
      <c r="C197" s="812" t="s">
        <v>13</v>
      </c>
      <c r="D197" s="9">
        <v>10009399</v>
      </c>
      <c r="E197" s="5">
        <v>0.13</v>
      </c>
      <c r="F197" s="5" t="s">
        <v>8</v>
      </c>
      <c r="G197" s="5" t="s">
        <v>9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1" hidden="1" customHeight="1">
      <c r="A198" s="800">
        <v>2917</v>
      </c>
      <c r="B198" s="787" t="s">
        <v>34</v>
      </c>
      <c r="C198" s="812" t="s">
        <v>10</v>
      </c>
      <c r="D198" s="9"/>
      <c r="E198" s="5"/>
      <c r="F198" s="5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1" hidden="1" customHeight="1">
      <c r="A199" s="801">
        <v>3058</v>
      </c>
      <c r="B199" s="819" t="s">
        <v>35</v>
      </c>
      <c r="C199" s="801" t="s">
        <v>962</v>
      </c>
      <c r="D199" s="9">
        <v>10009390</v>
      </c>
      <c r="E199" s="5">
        <v>0.42</v>
      </c>
      <c r="F199" s="5" t="s">
        <v>8</v>
      </c>
      <c r="G199" s="5" t="s">
        <v>9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3"/>
      <c r="V199" s="3"/>
      <c r="W199" s="3"/>
      <c r="X199" s="3"/>
      <c r="Y199" s="3"/>
      <c r="Z199" s="3"/>
    </row>
    <row r="200" spans="1:26" ht="21" hidden="1" customHeight="1">
      <c r="A200" s="800">
        <v>3913</v>
      </c>
      <c r="B200" s="816" t="s">
        <v>602</v>
      </c>
      <c r="C200" s="812" t="s">
        <v>962</v>
      </c>
      <c r="D200" s="9">
        <v>10009404</v>
      </c>
      <c r="E200" s="5">
        <v>0.13</v>
      </c>
      <c r="F200" s="5" t="s">
        <v>8</v>
      </c>
      <c r="G200" s="5" t="s">
        <v>9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3"/>
      <c r="V200" s="3"/>
      <c r="W200" s="3"/>
      <c r="X200" s="3"/>
      <c r="Y200" s="3"/>
      <c r="Z200" s="3"/>
    </row>
    <row r="201" spans="1:26" ht="21" hidden="1" customHeight="1">
      <c r="A201" s="800">
        <v>2913</v>
      </c>
      <c r="B201" s="816" t="s">
        <v>594</v>
      </c>
      <c r="C201" s="812" t="s">
        <v>13</v>
      </c>
      <c r="D201" s="12"/>
      <c r="E201" s="10"/>
      <c r="F201" s="10"/>
      <c r="G201" s="10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3"/>
      <c r="V201" s="3"/>
      <c r="W201" s="3"/>
      <c r="X201" s="3"/>
      <c r="Y201" s="3"/>
      <c r="Z201" s="3"/>
    </row>
    <row r="202" spans="1:26" ht="21" hidden="1" customHeight="1">
      <c r="A202" s="800">
        <v>90347</v>
      </c>
      <c r="B202" s="787" t="s">
        <v>1137</v>
      </c>
      <c r="C202" s="801" t="s">
        <v>13</v>
      </c>
      <c r="D202" s="9">
        <v>10009394</v>
      </c>
      <c r="E202" s="5">
        <v>0.44</v>
      </c>
      <c r="F202" s="5" t="s">
        <v>8</v>
      </c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3"/>
      <c r="V202" s="3"/>
      <c r="W202" s="3"/>
      <c r="X202" s="3"/>
      <c r="Y202" s="3"/>
      <c r="Z202" s="3"/>
    </row>
    <row r="203" spans="1:26" ht="21" hidden="1" customHeight="1">
      <c r="A203" s="800">
        <v>90348</v>
      </c>
      <c r="B203" s="787" t="s">
        <v>670</v>
      </c>
      <c r="C203" s="812" t="s">
        <v>10</v>
      </c>
      <c r="D203" s="9">
        <v>10009409</v>
      </c>
      <c r="E203" s="5">
        <v>0.13500000000000001</v>
      </c>
      <c r="F203" s="5" t="s">
        <v>8</v>
      </c>
      <c r="G203" s="5" t="s">
        <v>9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3"/>
      <c r="V203" s="3"/>
      <c r="W203" s="3"/>
      <c r="X203" s="3"/>
      <c r="Y203" s="3"/>
      <c r="Z203" s="3"/>
    </row>
    <row r="204" spans="1:26" ht="21" hidden="1" customHeight="1">
      <c r="A204" s="835">
        <v>90348</v>
      </c>
      <c r="B204" s="844" t="s">
        <v>670</v>
      </c>
      <c r="C204" s="835" t="s">
        <v>13</v>
      </c>
      <c r="D204" s="771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772"/>
      <c r="V204" s="772"/>
      <c r="W204" s="772"/>
      <c r="X204" s="772"/>
      <c r="Y204" s="772"/>
      <c r="Z204" s="772"/>
    </row>
    <row r="205" spans="1:26" ht="21" hidden="1" customHeight="1">
      <c r="A205" s="800">
        <v>90345</v>
      </c>
      <c r="B205" s="787" t="s">
        <v>669</v>
      </c>
      <c r="C205" s="812" t="s">
        <v>10</v>
      </c>
      <c r="D205" s="9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3"/>
      <c r="V205" s="3"/>
      <c r="W205" s="3"/>
      <c r="X205" s="3"/>
      <c r="Y205" s="3"/>
      <c r="Z205" s="3"/>
    </row>
    <row r="206" spans="1:26" ht="21" hidden="1" customHeight="1">
      <c r="A206" s="835">
        <v>90345</v>
      </c>
      <c r="B206" s="844" t="s">
        <v>669</v>
      </c>
      <c r="C206" s="835" t="s">
        <v>13</v>
      </c>
      <c r="D206" s="771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772"/>
      <c r="V206" s="772"/>
      <c r="W206" s="772"/>
      <c r="X206" s="772"/>
      <c r="Y206" s="772"/>
      <c r="Z206" s="772"/>
    </row>
    <row r="207" spans="1:26" ht="21" hidden="1" customHeight="1">
      <c r="A207" s="800">
        <v>90346</v>
      </c>
      <c r="B207" s="787" t="s">
        <v>969</v>
      </c>
      <c r="C207" s="801" t="s">
        <v>13</v>
      </c>
      <c r="D207" s="9">
        <v>10001249</v>
      </c>
      <c r="E207" s="5">
        <v>0.13500000000000001</v>
      </c>
      <c r="F207" s="5" t="s">
        <v>8</v>
      </c>
      <c r="G207" s="5" t="s">
        <v>9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3"/>
      <c r="V207" s="3"/>
      <c r="W207" s="3"/>
      <c r="X207" s="3"/>
      <c r="Y207" s="3"/>
      <c r="Z207" s="3"/>
    </row>
    <row r="208" spans="1:26" ht="21" hidden="1" customHeight="1">
      <c r="A208" s="800">
        <v>2902</v>
      </c>
      <c r="B208" s="816" t="s">
        <v>36</v>
      </c>
      <c r="C208" s="812" t="s">
        <v>13</v>
      </c>
      <c r="D208" s="9">
        <v>10001257</v>
      </c>
      <c r="E208" s="5">
        <v>4.4999999999999998E-2</v>
      </c>
      <c r="F208" s="5" t="s">
        <v>8</v>
      </c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1" hidden="1" customHeight="1">
      <c r="A209" s="835">
        <v>3032</v>
      </c>
      <c r="B209" s="844" t="s">
        <v>1035</v>
      </c>
      <c r="C209" s="835" t="s">
        <v>10</v>
      </c>
      <c r="D209" s="9">
        <v>10001258</v>
      </c>
      <c r="E209" s="5">
        <v>4.3999999999999997E-2</v>
      </c>
      <c r="F209" s="5" t="s">
        <v>8</v>
      </c>
      <c r="G209" s="5" t="s">
        <v>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1" hidden="1" customHeight="1">
      <c r="A210" s="800">
        <v>2919</v>
      </c>
      <c r="B210" s="787" t="s">
        <v>37</v>
      </c>
      <c r="C210" s="812" t="s">
        <v>10</v>
      </c>
      <c r="D210" s="9">
        <v>10001259</v>
      </c>
      <c r="E210" s="5">
        <v>0.14000000000000001</v>
      </c>
      <c r="F210" s="5" t="s">
        <v>8</v>
      </c>
      <c r="G210" s="5" t="s">
        <v>9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1" hidden="1" customHeight="1">
      <c r="A211" s="800">
        <v>90353</v>
      </c>
      <c r="B211" s="816" t="s">
        <v>671</v>
      </c>
      <c r="C211" s="801" t="s">
        <v>962</v>
      </c>
      <c r="D211" s="9">
        <v>10002610</v>
      </c>
      <c r="E211" s="5">
        <v>4.0549999999999997</v>
      </c>
      <c r="F211" s="5" t="s">
        <v>8</v>
      </c>
      <c r="G211" s="5" t="s">
        <v>9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3"/>
      <c r="V211" s="3"/>
      <c r="W211" s="3"/>
      <c r="X211" s="3"/>
      <c r="Y211" s="3"/>
      <c r="Z211" s="3"/>
    </row>
    <row r="212" spans="1:26" ht="21" hidden="1" customHeight="1">
      <c r="A212" s="801">
        <v>90355</v>
      </c>
      <c r="B212" s="788" t="s">
        <v>671</v>
      </c>
      <c r="C212" s="801" t="s">
        <v>13</v>
      </c>
      <c r="D212" s="9">
        <v>10001261</v>
      </c>
      <c r="E212" s="5">
        <v>0.18</v>
      </c>
      <c r="F212" s="5" t="s">
        <v>8</v>
      </c>
      <c r="G212" s="5" t="s">
        <v>9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3"/>
      <c r="V212" s="3"/>
      <c r="W212" s="3"/>
      <c r="X212" s="3"/>
      <c r="Y212" s="3"/>
      <c r="Z212" s="3"/>
    </row>
    <row r="213" spans="1:26" ht="21" hidden="1" customHeight="1">
      <c r="A213" s="835">
        <v>90353</v>
      </c>
      <c r="B213" s="844" t="s">
        <v>671</v>
      </c>
      <c r="C213" s="835" t="s">
        <v>13</v>
      </c>
      <c r="D213" s="9">
        <v>10001288</v>
      </c>
      <c r="E213" s="5">
        <v>0.18</v>
      </c>
      <c r="F213" s="5" t="s">
        <v>8</v>
      </c>
      <c r="G213" s="5" t="s">
        <v>9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3"/>
      <c r="V213" s="3"/>
      <c r="W213" s="3"/>
      <c r="X213" s="3"/>
      <c r="Y213" s="3"/>
      <c r="Z213" s="3"/>
    </row>
    <row r="214" spans="1:26" ht="21" hidden="1" customHeight="1">
      <c r="A214" s="835">
        <v>90355</v>
      </c>
      <c r="B214" s="844" t="s">
        <v>1036</v>
      </c>
      <c r="C214" s="835" t="s">
        <v>13</v>
      </c>
      <c r="D214" s="9">
        <v>10001260</v>
      </c>
      <c r="E214" s="5">
        <v>0.1</v>
      </c>
      <c r="F214" s="5" t="s">
        <v>8</v>
      </c>
      <c r="G214" s="5" t="s">
        <v>9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3"/>
      <c r="V214" s="3"/>
      <c r="W214" s="3"/>
      <c r="X214" s="3"/>
      <c r="Y214" s="3"/>
      <c r="Z214" s="3"/>
    </row>
    <row r="215" spans="1:26" ht="21" hidden="1" customHeight="1">
      <c r="A215" s="835">
        <v>90356</v>
      </c>
      <c r="B215" s="844" t="s">
        <v>1037</v>
      </c>
      <c r="C215" s="835" t="s">
        <v>13</v>
      </c>
      <c r="D215" s="9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3"/>
      <c r="V215" s="3"/>
      <c r="W215" s="3"/>
      <c r="X215" s="3"/>
      <c r="Y215" s="3"/>
      <c r="Z215" s="3"/>
    </row>
    <row r="216" spans="1:26" ht="21" hidden="1" customHeight="1">
      <c r="A216" s="802">
        <v>90356</v>
      </c>
      <c r="B216" s="789" t="s">
        <v>975</v>
      </c>
      <c r="C216" s="801" t="s">
        <v>10</v>
      </c>
      <c r="D216" s="9">
        <v>10001265</v>
      </c>
      <c r="E216" s="5">
        <v>0.14799999999999999</v>
      </c>
      <c r="F216" s="5" t="s">
        <v>8</v>
      </c>
      <c r="G216" s="5" t="s">
        <v>9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3"/>
      <c r="V216" s="3"/>
      <c r="W216" s="3"/>
      <c r="X216" s="3"/>
      <c r="Y216" s="3"/>
      <c r="Z216" s="3"/>
    </row>
    <row r="217" spans="1:26" ht="21" hidden="1" customHeight="1">
      <c r="A217" s="802">
        <v>90357</v>
      </c>
      <c r="B217" s="789" t="s">
        <v>672</v>
      </c>
      <c r="C217" s="801" t="s">
        <v>10</v>
      </c>
      <c r="D217" s="9">
        <v>10001262</v>
      </c>
      <c r="E217" s="5">
        <v>0.16</v>
      </c>
      <c r="F217" s="5" t="s">
        <v>8</v>
      </c>
      <c r="G217" s="5" t="s">
        <v>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1" hidden="1" customHeight="1">
      <c r="A218" s="835">
        <v>90357</v>
      </c>
      <c r="B218" s="844" t="s">
        <v>672</v>
      </c>
      <c r="C218" s="835" t="s">
        <v>13</v>
      </c>
      <c r="D218" s="9">
        <v>10001276</v>
      </c>
      <c r="E218" s="5">
        <v>0.15</v>
      </c>
      <c r="F218" s="5" t="s">
        <v>8</v>
      </c>
      <c r="G218" s="5" t="s">
        <v>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1" hidden="1" customHeight="1">
      <c r="A219" s="800">
        <v>90461</v>
      </c>
      <c r="B219" s="816" t="s">
        <v>701</v>
      </c>
      <c r="C219" s="812" t="s">
        <v>13</v>
      </c>
      <c r="D219" s="9">
        <v>10001285</v>
      </c>
      <c r="E219" s="5">
        <v>0.18</v>
      </c>
      <c r="F219" s="5" t="s">
        <v>8</v>
      </c>
      <c r="G219" s="5" t="s">
        <v>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1" hidden="1" customHeight="1">
      <c r="A220" s="835">
        <v>90460</v>
      </c>
      <c r="B220" s="844" t="s">
        <v>1038</v>
      </c>
      <c r="C220" s="835" t="s">
        <v>13</v>
      </c>
      <c r="D220" s="9">
        <v>10001297</v>
      </c>
      <c r="E220" s="5">
        <v>0.02</v>
      </c>
      <c r="F220" s="5" t="s">
        <v>8</v>
      </c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1" hidden="1" customHeight="1">
      <c r="A221" s="800">
        <v>90460</v>
      </c>
      <c r="B221" s="816" t="s">
        <v>700</v>
      </c>
      <c r="C221" s="812" t="s">
        <v>13</v>
      </c>
      <c r="D221" s="9">
        <v>10001299</v>
      </c>
      <c r="E221" s="5">
        <v>2.2000000000000002</v>
      </c>
      <c r="F221" s="5" t="s">
        <v>8</v>
      </c>
      <c r="G221" s="5" t="s">
        <v>9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1" hidden="1" customHeight="1">
      <c r="A222" s="800">
        <v>90343</v>
      </c>
      <c r="B222" s="787" t="s">
        <v>980</v>
      </c>
      <c r="C222" s="812" t="s">
        <v>10</v>
      </c>
      <c r="D222" s="771"/>
      <c r="E222" s="5"/>
      <c r="F222" s="5"/>
      <c r="G222" s="5"/>
      <c r="H222" s="772"/>
      <c r="I222" s="772"/>
      <c r="J222" s="772"/>
      <c r="K222" s="772"/>
      <c r="L222" s="772"/>
      <c r="M222" s="772"/>
      <c r="N222" s="772"/>
      <c r="O222" s="772"/>
      <c r="P222" s="772"/>
      <c r="Q222" s="772"/>
      <c r="R222" s="772"/>
      <c r="S222" s="772"/>
      <c r="T222" s="772"/>
      <c r="U222" s="772"/>
      <c r="V222" s="772"/>
      <c r="W222" s="772"/>
      <c r="X222" s="772"/>
      <c r="Y222" s="772"/>
      <c r="Z222" s="772"/>
    </row>
    <row r="223" spans="1:26" ht="21" hidden="1" customHeight="1">
      <c r="A223" s="800">
        <v>90255</v>
      </c>
      <c r="B223" s="816" t="s">
        <v>646</v>
      </c>
      <c r="C223" s="812" t="s">
        <v>13</v>
      </c>
      <c r="D223" s="9">
        <v>10002743</v>
      </c>
      <c r="E223" s="5">
        <v>2.5499999999999998</v>
      </c>
      <c r="F223" s="5" t="s">
        <v>8</v>
      </c>
      <c r="G223" s="5" t="s">
        <v>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1" hidden="1" customHeight="1">
      <c r="A224" s="835">
        <v>90255</v>
      </c>
      <c r="B224" s="844" t="s">
        <v>646</v>
      </c>
      <c r="C224" s="835" t="s">
        <v>7</v>
      </c>
      <c r="D224" s="9">
        <v>10018253</v>
      </c>
      <c r="E224" s="5">
        <v>0.61499999999999999</v>
      </c>
      <c r="F224" s="5" t="s">
        <v>8</v>
      </c>
      <c r="G224" s="5" t="s">
        <v>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1" hidden="1" customHeight="1">
      <c r="A225" s="800">
        <v>90256</v>
      </c>
      <c r="B225" s="816" t="s">
        <v>647</v>
      </c>
      <c r="C225" s="812" t="s">
        <v>13</v>
      </c>
      <c r="D225" s="9"/>
      <c r="E225" s="5"/>
      <c r="F225" s="5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1" hidden="1" customHeight="1">
      <c r="A226" s="835">
        <v>90256</v>
      </c>
      <c r="B226" s="844" t="s">
        <v>647</v>
      </c>
      <c r="C226" s="835" t="s">
        <v>7</v>
      </c>
      <c r="D226" s="9">
        <v>10018254</v>
      </c>
      <c r="E226" s="5">
        <v>0.16800000000000001</v>
      </c>
      <c r="F226" s="5" t="s">
        <v>8</v>
      </c>
      <c r="G226" s="5" t="s">
        <v>9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1" hidden="1" customHeight="1">
      <c r="A227" s="835">
        <v>2530</v>
      </c>
      <c r="B227" s="844" t="s">
        <v>1039</v>
      </c>
      <c r="C227" s="835" t="s">
        <v>10</v>
      </c>
      <c r="D227" s="9">
        <v>10018188</v>
      </c>
      <c r="E227" s="5">
        <v>0.155</v>
      </c>
      <c r="F227" s="5" t="s">
        <v>8</v>
      </c>
      <c r="G227" s="5" t="s">
        <v>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1" hidden="1" customHeight="1">
      <c r="A228" s="800">
        <v>90401</v>
      </c>
      <c r="B228" s="816" t="s">
        <v>741</v>
      </c>
      <c r="C228" s="812" t="s">
        <v>962</v>
      </c>
      <c r="D228" s="9">
        <v>10018190</v>
      </c>
      <c r="E228" s="5">
        <v>0.2</v>
      </c>
      <c r="F228" s="5" t="s">
        <v>8</v>
      </c>
      <c r="G228" s="5" t="s">
        <v>9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3"/>
      <c r="V228" s="3"/>
      <c r="W228" s="3"/>
      <c r="X228" s="3"/>
      <c r="Y228" s="3"/>
      <c r="Z228" s="3"/>
    </row>
    <row r="229" spans="1:26" ht="21" hidden="1" customHeight="1">
      <c r="A229" s="835">
        <v>90401</v>
      </c>
      <c r="B229" s="844" t="s">
        <v>741</v>
      </c>
      <c r="C229" s="835" t="s">
        <v>13</v>
      </c>
      <c r="D229" s="9">
        <v>10018191</v>
      </c>
      <c r="E229" s="5">
        <v>3.3333333333333298E-2</v>
      </c>
      <c r="F229" s="5" t="s">
        <v>8</v>
      </c>
      <c r="G229" s="5" t="s">
        <v>9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3"/>
      <c r="V229" s="3"/>
      <c r="W229" s="3"/>
      <c r="X229" s="3"/>
      <c r="Y229" s="3"/>
      <c r="Z229" s="3"/>
    </row>
    <row r="230" spans="1:26" ht="21" hidden="1" customHeight="1">
      <c r="A230" s="835">
        <v>90404</v>
      </c>
      <c r="B230" s="844" t="s">
        <v>1040</v>
      </c>
      <c r="C230" s="835" t="s">
        <v>13</v>
      </c>
      <c r="D230" s="9">
        <v>10001277</v>
      </c>
      <c r="E230" s="5">
        <v>0.1</v>
      </c>
      <c r="F230" s="5" t="s">
        <v>8</v>
      </c>
      <c r="G230" s="5" t="s">
        <v>9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3"/>
      <c r="V230" s="3"/>
      <c r="W230" s="3"/>
      <c r="X230" s="3"/>
      <c r="Y230" s="3"/>
      <c r="Z230" s="3"/>
    </row>
    <row r="231" spans="1:26" ht="21" hidden="1" customHeight="1">
      <c r="A231" s="835">
        <v>90573</v>
      </c>
      <c r="B231" s="844" t="s">
        <v>1041</v>
      </c>
      <c r="C231" s="835" t="s">
        <v>13</v>
      </c>
      <c r="D231" s="9">
        <v>10018252</v>
      </c>
      <c r="E231" s="5">
        <v>3.5000000000000003E-2</v>
      </c>
      <c r="F231" s="5" t="s">
        <v>8</v>
      </c>
      <c r="G231" s="5" t="s">
        <v>9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3"/>
      <c r="V231" s="3"/>
      <c r="W231" s="3"/>
      <c r="X231" s="3"/>
      <c r="Y231" s="3"/>
      <c r="Z231" s="3"/>
    </row>
    <row r="232" spans="1:26" ht="21" hidden="1" customHeight="1">
      <c r="A232" s="800">
        <v>90404</v>
      </c>
      <c r="B232" s="787" t="s">
        <v>688</v>
      </c>
      <c r="C232" s="812" t="s">
        <v>10</v>
      </c>
      <c r="D232" s="9">
        <v>10001309</v>
      </c>
      <c r="E232" s="5">
        <v>3.3000000000000002E-2</v>
      </c>
      <c r="F232" s="5" t="s">
        <v>8</v>
      </c>
      <c r="G232" s="5" t="s">
        <v>9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3"/>
      <c r="V232" s="3"/>
      <c r="W232" s="3"/>
      <c r="X232" s="3"/>
      <c r="Y232" s="3"/>
      <c r="Z232" s="3"/>
    </row>
    <row r="233" spans="1:26" ht="21" hidden="1" customHeight="1">
      <c r="A233" s="800">
        <v>2530</v>
      </c>
      <c r="B233" s="816" t="s">
        <v>744</v>
      </c>
      <c r="C233" s="812" t="s">
        <v>962</v>
      </c>
      <c r="D233" s="9">
        <v>10001282</v>
      </c>
      <c r="E233" s="5">
        <v>0.14000000000000001</v>
      </c>
      <c r="F233" s="5" t="s">
        <v>8</v>
      </c>
      <c r="G233" s="5" t="s">
        <v>9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3"/>
      <c r="V233" s="3"/>
      <c r="W233" s="3"/>
      <c r="X233" s="3"/>
      <c r="Y233" s="3"/>
      <c r="Z233" s="3"/>
    </row>
    <row r="234" spans="1:26" ht="21" hidden="1" customHeight="1">
      <c r="A234" s="800">
        <v>2530</v>
      </c>
      <c r="B234" s="816" t="s">
        <v>744</v>
      </c>
      <c r="C234" s="812" t="s">
        <v>962</v>
      </c>
      <c r="D234" s="9">
        <v>10001281</v>
      </c>
      <c r="E234" s="5">
        <v>7.1999999999999995E-2</v>
      </c>
      <c r="F234" s="5" t="s">
        <v>8</v>
      </c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3"/>
      <c r="V234" s="3"/>
      <c r="W234" s="3"/>
      <c r="X234" s="3"/>
      <c r="Y234" s="3"/>
      <c r="Z234" s="3"/>
    </row>
    <row r="235" spans="1:26" ht="21" hidden="1" customHeight="1">
      <c r="A235" s="835">
        <v>464</v>
      </c>
      <c r="B235" s="844" t="s">
        <v>1131</v>
      </c>
      <c r="C235" s="835" t="s">
        <v>10</v>
      </c>
      <c r="D235" s="9">
        <v>10002744</v>
      </c>
      <c r="E235" s="5">
        <v>0.01</v>
      </c>
      <c r="F235" s="5" t="s">
        <v>8</v>
      </c>
      <c r="G235" s="5" t="s">
        <v>9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1" hidden="1" customHeight="1">
      <c r="A236" s="800">
        <v>2988</v>
      </c>
      <c r="B236" s="816" t="s">
        <v>597</v>
      </c>
      <c r="C236" s="812" t="s">
        <v>13</v>
      </c>
      <c r="D236" s="9">
        <v>10001322</v>
      </c>
      <c r="E236" s="5">
        <v>0.05</v>
      </c>
      <c r="F236" s="5" t="s">
        <v>8</v>
      </c>
      <c r="G236" s="5" t="s">
        <v>9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1" hidden="1" customHeight="1">
      <c r="A237" s="800">
        <v>35797</v>
      </c>
      <c r="B237" s="816" t="s">
        <v>38</v>
      </c>
      <c r="C237" s="812" t="s">
        <v>962</v>
      </c>
      <c r="D237" s="9">
        <v>10001323</v>
      </c>
      <c r="E237" s="5">
        <v>0.05</v>
      </c>
      <c r="F237" s="5" t="s">
        <v>8</v>
      </c>
      <c r="G237" s="5" t="s">
        <v>9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1" hidden="1" customHeight="1">
      <c r="A238" s="835">
        <v>35797</v>
      </c>
      <c r="B238" s="844" t="s">
        <v>38</v>
      </c>
      <c r="C238" s="835" t="s">
        <v>10</v>
      </c>
      <c r="D238" s="9">
        <v>10008574</v>
      </c>
      <c r="E238" s="5">
        <v>1.4999999999999999E-2</v>
      </c>
      <c r="F238" s="5" t="s">
        <v>8</v>
      </c>
      <c r="G238" s="5" t="s">
        <v>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1" hidden="1" customHeight="1">
      <c r="A239" s="800">
        <v>3062</v>
      </c>
      <c r="B239" s="816" t="s">
        <v>39</v>
      </c>
      <c r="C239" s="812" t="s">
        <v>962</v>
      </c>
      <c r="D239" s="12"/>
      <c r="E239" s="10"/>
      <c r="F239" s="10"/>
      <c r="G239" s="10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3"/>
      <c r="V239" s="3"/>
      <c r="W239" s="3"/>
      <c r="X239" s="3"/>
      <c r="Y239" s="3"/>
      <c r="Z239" s="3"/>
    </row>
    <row r="240" spans="1:26" ht="21" hidden="1" customHeight="1">
      <c r="A240" s="835">
        <v>90497</v>
      </c>
      <c r="B240" s="844" t="s">
        <v>1042</v>
      </c>
      <c r="C240" s="835" t="s">
        <v>13</v>
      </c>
      <c r="D240" s="771"/>
      <c r="E240" s="5"/>
      <c r="F240" s="5"/>
      <c r="G240" s="5"/>
      <c r="H240" s="772"/>
      <c r="I240" s="772"/>
      <c r="J240" s="772"/>
      <c r="K240" s="772"/>
      <c r="L240" s="772"/>
      <c r="M240" s="772"/>
      <c r="N240" s="772"/>
      <c r="O240" s="772"/>
      <c r="P240" s="772"/>
      <c r="Q240" s="772"/>
      <c r="R240" s="772"/>
      <c r="S240" s="772"/>
      <c r="T240" s="772"/>
      <c r="U240" s="772"/>
      <c r="V240" s="772"/>
      <c r="W240" s="772"/>
      <c r="X240" s="772"/>
      <c r="Y240" s="772"/>
      <c r="Z240" s="772"/>
    </row>
    <row r="241" spans="1:26" ht="21" hidden="1" customHeight="1">
      <c r="A241" s="800">
        <v>90498</v>
      </c>
      <c r="B241" s="787" t="s">
        <v>705</v>
      </c>
      <c r="C241" s="812" t="s">
        <v>10</v>
      </c>
      <c r="D241" s="771">
        <v>10009654</v>
      </c>
      <c r="E241" s="5">
        <v>1.4999999999999999E-2</v>
      </c>
      <c r="F241" s="5" t="s">
        <v>8</v>
      </c>
      <c r="G241" s="5" t="s">
        <v>9</v>
      </c>
      <c r="H241" s="772"/>
      <c r="I241" s="772"/>
      <c r="J241" s="772"/>
      <c r="K241" s="772"/>
      <c r="L241" s="772"/>
      <c r="M241" s="772"/>
      <c r="N241" s="772"/>
      <c r="O241" s="772"/>
      <c r="P241" s="772"/>
      <c r="Q241" s="772"/>
      <c r="R241" s="772"/>
      <c r="S241" s="772"/>
      <c r="T241" s="772"/>
      <c r="U241" s="772"/>
      <c r="V241" s="772"/>
      <c r="W241" s="772"/>
      <c r="X241" s="772"/>
      <c r="Y241" s="772"/>
      <c r="Z241" s="772"/>
    </row>
    <row r="242" spans="1:26" ht="21" hidden="1" customHeight="1">
      <c r="A242" s="835">
        <v>90498</v>
      </c>
      <c r="B242" s="844" t="s">
        <v>705</v>
      </c>
      <c r="C242" s="835" t="s">
        <v>13</v>
      </c>
      <c r="D242" s="771">
        <v>10001325</v>
      </c>
      <c r="E242" s="5">
        <v>0.01</v>
      </c>
      <c r="F242" s="5" t="s">
        <v>8</v>
      </c>
      <c r="G242" s="5" t="s">
        <v>9</v>
      </c>
      <c r="H242" s="772"/>
      <c r="I242" s="772"/>
      <c r="J242" s="772"/>
      <c r="K242" s="772"/>
      <c r="L242" s="772"/>
      <c r="M242" s="772"/>
      <c r="N242" s="772"/>
      <c r="O242" s="772"/>
      <c r="P242" s="772"/>
      <c r="Q242" s="772"/>
      <c r="R242" s="772"/>
      <c r="S242" s="772"/>
      <c r="T242" s="772"/>
      <c r="U242" s="772"/>
      <c r="V242" s="772"/>
      <c r="W242" s="772"/>
      <c r="X242" s="772"/>
      <c r="Y242" s="772"/>
      <c r="Z242" s="772"/>
    </row>
    <row r="243" spans="1:26" ht="21" hidden="1" customHeight="1">
      <c r="A243" s="800">
        <v>90499</v>
      </c>
      <c r="B243" s="787" t="s">
        <v>977</v>
      </c>
      <c r="C243" s="812" t="s">
        <v>10</v>
      </c>
      <c r="D243" s="771">
        <v>10001481</v>
      </c>
      <c r="E243" s="5">
        <v>0.14000000000000001</v>
      </c>
      <c r="F243" s="5" t="s">
        <v>8</v>
      </c>
      <c r="G243" s="5" t="s">
        <v>9</v>
      </c>
      <c r="H243" s="772"/>
      <c r="I243" s="772"/>
      <c r="J243" s="772"/>
      <c r="K243" s="772"/>
      <c r="L243" s="772"/>
      <c r="M243" s="772"/>
      <c r="N243" s="772"/>
      <c r="O243" s="772"/>
      <c r="P243" s="772"/>
      <c r="Q243" s="772"/>
      <c r="R243" s="772"/>
      <c r="S243" s="772"/>
      <c r="T243" s="772"/>
      <c r="U243" s="772"/>
      <c r="V243" s="772"/>
      <c r="W243" s="772"/>
      <c r="X243" s="772"/>
      <c r="Y243" s="772"/>
      <c r="Z243" s="772"/>
    </row>
    <row r="244" spans="1:26" ht="21" hidden="1" customHeight="1">
      <c r="A244" s="835">
        <v>90499</v>
      </c>
      <c r="B244" s="844" t="s">
        <v>977</v>
      </c>
      <c r="C244" s="835" t="s">
        <v>13</v>
      </c>
      <c r="D244" s="771">
        <v>10001323</v>
      </c>
      <c r="E244" s="5">
        <v>0.05</v>
      </c>
      <c r="F244" s="5" t="s">
        <v>8</v>
      </c>
      <c r="G244" s="5" t="s">
        <v>9</v>
      </c>
      <c r="H244" s="772"/>
      <c r="I244" s="772"/>
      <c r="J244" s="772"/>
      <c r="K244" s="772"/>
      <c r="L244" s="772"/>
      <c r="M244" s="772"/>
      <c r="N244" s="772"/>
      <c r="O244" s="772"/>
      <c r="P244" s="772"/>
      <c r="Q244" s="772"/>
      <c r="R244" s="772"/>
      <c r="S244" s="772"/>
      <c r="T244" s="772"/>
      <c r="U244" s="772"/>
      <c r="V244" s="772"/>
      <c r="W244" s="772"/>
      <c r="X244" s="772"/>
      <c r="Y244" s="772"/>
      <c r="Z244" s="772"/>
    </row>
    <row r="245" spans="1:26" ht="21" hidden="1" customHeight="1">
      <c r="A245" s="800">
        <v>90500</v>
      </c>
      <c r="B245" s="816" t="s">
        <v>751</v>
      </c>
      <c r="C245" s="812" t="s">
        <v>962</v>
      </c>
      <c r="D245" s="771">
        <v>10008574</v>
      </c>
      <c r="E245" s="5">
        <v>1.4999999999999999E-2</v>
      </c>
      <c r="F245" s="5" t="s">
        <v>8</v>
      </c>
      <c r="G245" s="5" t="s">
        <v>9</v>
      </c>
      <c r="H245" s="772"/>
      <c r="I245" s="772"/>
      <c r="J245" s="772"/>
      <c r="K245" s="772"/>
      <c r="L245" s="772"/>
      <c r="M245" s="772"/>
      <c r="N245" s="772"/>
      <c r="O245" s="772"/>
      <c r="P245" s="772"/>
      <c r="Q245" s="772"/>
      <c r="R245" s="772"/>
      <c r="S245" s="772"/>
      <c r="T245" s="772"/>
      <c r="U245" s="772"/>
      <c r="V245" s="772"/>
      <c r="W245" s="772"/>
      <c r="X245" s="772"/>
      <c r="Y245" s="772"/>
      <c r="Z245" s="772"/>
    </row>
    <row r="246" spans="1:26" ht="21" hidden="1" customHeight="1">
      <c r="A246" s="835">
        <v>90500</v>
      </c>
      <c r="B246" s="844" t="s">
        <v>751</v>
      </c>
      <c r="C246" s="835" t="s">
        <v>13</v>
      </c>
      <c r="D246" s="773"/>
      <c r="E246" s="10"/>
      <c r="F246" s="10"/>
      <c r="G246" s="1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772"/>
      <c r="V246" s="772"/>
      <c r="W246" s="772"/>
      <c r="X246" s="772"/>
      <c r="Y246" s="772"/>
      <c r="Z246" s="772"/>
    </row>
    <row r="247" spans="1:26" ht="21" hidden="1" customHeight="1">
      <c r="A247" s="800">
        <v>90501</v>
      </c>
      <c r="B247" s="787" t="s">
        <v>706</v>
      </c>
      <c r="C247" s="812" t="s">
        <v>10</v>
      </c>
      <c r="D247" s="771"/>
      <c r="E247" s="5"/>
      <c r="F247" s="5"/>
      <c r="G247" s="5"/>
      <c r="H247" s="772"/>
      <c r="I247" s="772"/>
      <c r="J247" s="772"/>
      <c r="K247" s="772"/>
      <c r="L247" s="772"/>
      <c r="M247" s="772"/>
      <c r="N247" s="772"/>
      <c r="O247" s="772"/>
      <c r="P247" s="772"/>
      <c r="Q247" s="772"/>
      <c r="R247" s="772"/>
      <c r="S247" s="772"/>
      <c r="T247" s="772"/>
      <c r="U247" s="772"/>
      <c r="V247" s="772"/>
      <c r="W247" s="772"/>
      <c r="X247" s="772"/>
      <c r="Y247" s="772"/>
      <c r="Z247" s="772"/>
    </row>
    <row r="248" spans="1:26" ht="21" hidden="1" customHeight="1">
      <c r="A248" s="835">
        <v>90501</v>
      </c>
      <c r="B248" s="844" t="s">
        <v>706</v>
      </c>
      <c r="C248" s="835" t="s">
        <v>13</v>
      </c>
      <c r="D248" s="771">
        <v>10001357</v>
      </c>
      <c r="E248" s="5">
        <v>0.23</v>
      </c>
      <c r="F248" s="5" t="s">
        <v>8</v>
      </c>
      <c r="G248" s="5"/>
      <c r="H248" s="772"/>
      <c r="I248" s="772"/>
      <c r="J248" s="772"/>
      <c r="K248" s="772"/>
      <c r="L248" s="772"/>
      <c r="M248" s="772"/>
      <c r="N248" s="772"/>
      <c r="O248" s="772"/>
      <c r="P248" s="772"/>
      <c r="Q248" s="772"/>
      <c r="R248" s="772"/>
      <c r="S248" s="772"/>
      <c r="T248" s="772"/>
      <c r="U248" s="772"/>
      <c r="V248" s="772"/>
      <c r="W248" s="772"/>
      <c r="X248" s="772"/>
      <c r="Y248" s="772"/>
      <c r="Z248" s="772"/>
    </row>
    <row r="249" spans="1:26" ht="21" hidden="1" customHeight="1">
      <c r="A249" s="835">
        <v>90641</v>
      </c>
      <c r="B249" s="844" t="s">
        <v>1043</v>
      </c>
      <c r="C249" s="835" t="s">
        <v>13</v>
      </c>
      <c r="D249" s="771">
        <v>10001360</v>
      </c>
      <c r="E249" s="5">
        <v>5.5E-2</v>
      </c>
      <c r="F249" s="5" t="s">
        <v>8</v>
      </c>
      <c r="G249" s="5" t="s">
        <v>9</v>
      </c>
      <c r="H249" s="772"/>
      <c r="I249" s="772"/>
      <c r="J249" s="772"/>
      <c r="K249" s="772"/>
      <c r="L249" s="772"/>
      <c r="M249" s="772"/>
      <c r="N249" s="772"/>
      <c r="O249" s="772"/>
      <c r="P249" s="772"/>
      <c r="Q249" s="772"/>
      <c r="R249" s="772"/>
      <c r="S249" s="772"/>
      <c r="T249" s="772"/>
      <c r="U249" s="772"/>
      <c r="V249" s="772"/>
      <c r="W249" s="772"/>
      <c r="X249" s="772"/>
      <c r="Y249" s="772"/>
      <c r="Z249" s="772"/>
    </row>
    <row r="250" spans="1:26" ht="21" hidden="1" customHeight="1">
      <c r="A250" s="835">
        <v>90643</v>
      </c>
      <c r="B250" s="844" t="s">
        <v>1044</v>
      </c>
      <c r="C250" s="835" t="s">
        <v>13</v>
      </c>
      <c r="D250" s="771">
        <v>10001433</v>
      </c>
      <c r="E250" s="5">
        <v>0.01</v>
      </c>
      <c r="F250" s="5" t="s">
        <v>8</v>
      </c>
      <c r="G250" s="5" t="s">
        <v>9</v>
      </c>
      <c r="H250" s="772"/>
      <c r="I250" s="772"/>
      <c r="J250" s="772"/>
      <c r="K250" s="772"/>
      <c r="L250" s="772"/>
      <c r="M250" s="772"/>
      <c r="N250" s="772"/>
      <c r="O250" s="772"/>
      <c r="P250" s="772"/>
      <c r="Q250" s="772"/>
      <c r="R250" s="772"/>
      <c r="S250" s="772"/>
      <c r="T250" s="772"/>
      <c r="U250" s="772"/>
      <c r="V250" s="772"/>
      <c r="W250" s="772"/>
      <c r="X250" s="772"/>
      <c r="Y250" s="772"/>
      <c r="Z250" s="772"/>
    </row>
    <row r="251" spans="1:26" ht="21" hidden="1" customHeight="1">
      <c r="A251" s="801">
        <v>90508</v>
      </c>
      <c r="B251" s="794" t="s">
        <v>707</v>
      </c>
      <c r="C251" s="801" t="s">
        <v>962</v>
      </c>
      <c r="D251" s="771"/>
      <c r="E251" s="5"/>
      <c r="F251" s="5"/>
      <c r="G251" s="5"/>
      <c r="H251" s="772"/>
      <c r="I251" s="772"/>
      <c r="J251" s="772"/>
      <c r="K251" s="772"/>
      <c r="L251" s="772"/>
      <c r="M251" s="772"/>
      <c r="N251" s="772"/>
      <c r="O251" s="772"/>
      <c r="P251" s="772"/>
      <c r="Q251" s="772"/>
      <c r="R251" s="772"/>
      <c r="S251" s="772"/>
      <c r="T251" s="772"/>
      <c r="U251" s="772"/>
      <c r="V251" s="772"/>
      <c r="W251" s="772"/>
      <c r="X251" s="772"/>
      <c r="Y251" s="772"/>
      <c r="Z251" s="772"/>
    </row>
    <row r="252" spans="1:26" ht="21" hidden="1" customHeight="1">
      <c r="A252" s="835">
        <v>90645</v>
      </c>
      <c r="B252" s="844" t="s">
        <v>1045</v>
      </c>
      <c r="C252" s="835" t="s">
        <v>13</v>
      </c>
      <c r="D252" s="9">
        <v>10001453</v>
      </c>
      <c r="E252" s="5">
        <v>0.2</v>
      </c>
      <c r="F252" s="5" t="s">
        <v>8</v>
      </c>
      <c r="G252" s="5" t="s">
        <v>9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1" hidden="1" customHeight="1">
      <c r="A253" s="800">
        <v>90639</v>
      </c>
      <c r="B253" s="787" t="s">
        <v>725</v>
      </c>
      <c r="C253" s="812" t="s">
        <v>10</v>
      </c>
      <c r="D253" s="9">
        <v>10001448</v>
      </c>
      <c r="E253" s="5">
        <v>0.22500000000000001</v>
      </c>
      <c r="F253" s="5" t="s">
        <v>8</v>
      </c>
      <c r="G253" s="5" t="s">
        <v>9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1" hidden="1" customHeight="1">
      <c r="A254" s="835">
        <v>91707</v>
      </c>
      <c r="B254" s="844" t="s">
        <v>989</v>
      </c>
      <c r="C254" s="801"/>
      <c r="D254" s="9">
        <v>10001484</v>
      </c>
      <c r="E254" s="5">
        <v>0.09</v>
      </c>
      <c r="F254" s="5" t="s">
        <v>8</v>
      </c>
      <c r="G254" s="5" t="s">
        <v>9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3"/>
      <c r="V254" s="3"/>
      <c r="W254" s="3"/>
      <c r="X254" s="3"/>
      <c r="Y254" s="3"/>
      <c r="Z254" s="3"/>
    </row>
    <row r="255" spans="1:26" ht="21" hidden="1" customHeight="1">
      <c r="A255" s="836">
        <v>195</v>
      </c>
      <c r="B255" s="846" t="s">
        <v>989</v>
      </c>
      <c r="C255" s="836" t="s">
        <v>10</v>
      </c>
      <c r="D255" s="9">
        <v>10001491</v>
      </c>
      <c r="E255" s="5">
        <v>0.04</v>
      </c>
      <c r="F255" s="5" t="s">
        <v>8</v>
      </c>
      <c r="G255" s="5" t="s">
        <v>9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3"/>
      <c r="V255" s="3"/>
      <c r="W255" s="3"/>
      <c r="X255" s="3"/>
      <c r="Y255" s="3"/>
      <c r="Z255" s="3"/>
    </row>
    <row r="256" spans="1:26" ht="21" hidden="1" customHeight="1">
      <c r="A256" s="785">
        <v>91707</v>
      </c>
      <c r="B256" s="793" t="s">
        <v>989</v>
      </c>
      <c r="C256" s="785"/>
      <c r="D256" s="779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72"/>
      <c r="V256" s="772"/>
      <c r="W256" s="772"/>
      <c r="X256" s="772"/>
      <c r="Y256" s="772"/>
      <c r="Z256" s="772"/>
    </row>
    <row r="257" spans="1:26" ht="21" hidden="1" customHeight="1">
      <c r="A257" s="804">
        <v>195</v>
      </c>
      <c r="B257" s="845" t="s">
        <v>742</v>
      </c>
      <c r="C257" s="813" t="s">
        <v>962</v>
      </c>
      <c r="D257" s="157">
        <v>9083.19</v>
      </c>
      <c r="E257" s="10"/>
      <c r="F257" s="10"/>
      <c r="G257" s="10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3"/>
      <c r="V257" s="3"/>
      <c r="W257" s="3"/>
      <c r="X257" s="3"/>
      <c r="Y257" s="3"/>
      <c r="Z257" s="3"/>
    </row>
    <row r="258" spans="1:26" ht="21" hidden="1" customHeight="1">
      <c r="A258" s="785">
        <v>194</v>
      </c>
      <c r="B258" s="793" t="s">
        <v>1046</v>
      </c>
      <c r="C258" s="785" t="s">
        <v>10</v>
      </c>
      <c r="D258" s="157"/>
      <c r="E258" s="10"/>
      <c r="F258" s="10"/>
      <c r="G258" s="1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772"/>
      <c r="V258" s="772"/>
      <c r="W258" s="772"/>
      <c r="X258" s="772"/>
      <c r="Y258" s="772"/>
      <c r="Z258" s="772"/>
    </row>
    <row r="259" spans="1:26" ht="21" hidden="1" customHeight="1">
      <c r="A259" s="814">
        <v>90124</v>
      </c>
      <c r="B259" s="850" t="s">
        <v>611</v>
      </c>
      <c r="C259" s="813" t="s">
        <v>962</v>
      </c>
      <c r="D259" s="157">
        <v>14.5</v>
      </c>
      <c r="E259" s="10"/>
      <c r="F259" s="10"/>
      <c r="G259" s="10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3"/>
      <c r="V259" s="3"/>
      <c r="W259" s="3"/>
      <c r="X259" s="3"/>
      <c r="Y259" s="3"/>
      <c r="Z259" s="3"/>
    </row>
    <row r="260" spans="1:26" ht="21" hidden="1" customHeight="1">
      <c r="A260" s="785">
        <v>91708</v>
      </c>
      <c r="B260" s="793" t="s">
        <v>1139</v>
      </c>
      <c r="C260" s="785" t="s">
        <v>13</v>
      </c>
      <c r="D260" s="157">
        <v>12.7</v>
      </c>
      <c r="E260" s="5">
        <v>0.56000000000000005</v>
      </c>
      <c r="F260" s="5" t="s">
        <v>8</v>
      </c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3"/>
      <c r="V260" s="3"/>
      <c r="W260" s="3"/>
      <c r="X260" s="3"/>
      <c r="Y260" s="3"/>
      <c r="Z260" s="3"/>
    </row>
    <row r="261" spans="1:26" ht="21" hidden="1" customHeight="1">
      <c r="A261" s="785">
        <v>192</v>
      </c>
      <c r="B261" s="793" t="s">
        <v>1047</v>
      </c>
      <c r="C261" s="785" t="s">
        <v>10</v>
      </c>
      <c r="D261" s="9">
        <v>10001510</v>
      </c>
      <c r="E261" s="5">
        <v>0.7</v>
      </c>
      <c r="F261" s="5" t="s">
        <v>8</v>
      </c>
      <c r="G261" s="5" t="s">
        <v>9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3"/>
      <c r="V261" s="3"/>
      <c r="W261" s="3"/>
      <c r="X261" s="3"/>
      <c r="Y261" s="3"/>
      <c r="Z261" s="3"/>
    </row>
    <row r="262" spans="1:26" ht="21" hidden="1" customHeight="1">
      <c r="A262" s="785">
        <v>2928</v>
      </c>
      <c r="B262" s="793" t="s">
        <v>1048</v>
      </c>
      <c r="C262" s="785" t="s">
        <v>10</v>
      </c>
      <c r="D262" s="771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72"/>
      <c r="V262" s="772"/>
      <c r="W262" s="772"/>
      <c r="X262" s="772"/>
      <c r="Y262" s="772"/>
      <c r="Z262" s="772"/>
    </row>
    <row r="263" spans="1:26" ht="21" hidden="1" customHeight="1">
      <c r="A263" s="804">
        <v>90406</v>
      </c>
      <c r="B263" s="791" t="s">
        <v>689</v>
      </c>
      <c r="C263" s="813" t="s">
        <v>10</v>
      </c>
      <c r="D263" s="771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72"/>
      <c r="V263" s="772"/>
      <c r="W263" s="772"/>
      <c r="X263" s="772"/>
      <c r="Y263" s="772"/>
      <c r="Z263" s="772"/>
    </row>
    <row r="264" spans="1:26" ht="21" hidden="1" customHeight="1">
      <c r="A264" s="804">
        <v>90567</v>
      </c>
      <c r="B264" s="845" t="s">
        <v>720</v>
      </c>
      <c r="C264" s="813" t="s">
        <v>13</v>
      </c>
      <c r="D264" s="771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72"/>
      <c r="V264" s="772"/>
      <c r="W264" s="772"/>
      <c r="X264" s="772"/>
      <c r="Y264" s="772"/>
      <c r="Z264" s="772"/>
    </row>
    <row r="265" spans="1:26" ht="21" hidden="1" customHeight="1">
      <c r="A265" s="839">
        <v>90567</v>
      </c>
      <c r="B265" s="852" t="s">
        <v>1049</v>
      </c>
      <c r="C265" s="839" t="s">
        <v>10</v>
      </c>
      <c r="D265" s="9">
        <v>10001607</v>
      </c>
      <c r="E265" s="5">
        <v>0.79</v>
      </c>
      <c r="F265" s="5" t="s">
        <v>8</v>
      </c>
      <c r="G265" s="5" t="s">
        <v>9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3"/>
      <c r="V265" s="3"/>
      <c r="W265" s="3"/>
      <c r="X265" s="3"/>
      <c r="Y265" s="3"/>
      <c r="Z265" s="3"/>
    </row>
    <row r="266" spans="1:26" ht="21" hidden="1" customHeight="1">
      <c r="A266" s="835">
        <v>90399</v>
      </c>
      <c r="B266" s="844" t="s">
        <v>1050</v>
      </c>
      <c r="C266" s="835" t="s">
        <v>13</v>
      </c>
      <c r="D266" s="10">
        <v>8.6</v>
      </c>
      <c r="E266" s="10" t="s">
        <v>40</v>
      </c>
      <c r="F266" s="10" t="s">
        <v>40</v>
      </c>
      <c r="G266" s="10" t="s">
        <v>40</v>
      </c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1" hidden="1" customHeight="1">
      <c r="A267" s="801">
        <v>37953</v>
      </c>
      <c r="B267" s="788" t="s">
        <v>970</v>
      </c>
      <c r="C267" s="801" t="s">
        <v>971</v>
      </c>
      <c r="D267" s="9"/>
      <c r="E267" s="5"/>
      <c r="F267" s="5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1" hidden="1" customHeight="1">
      <c r="A268" s="800">
        <v>90391</v>
      </c>
      <c r="B268" s="816" t="s">
        <v>41</v>
      </c>
      <c r="C268" s="801" t="s">
        <v>13</v>
      </c>
      <c r="D268" s="9">
        <v>10001608</v>
      </c>
      <c r="E268" s="5">
        <v>0.28000000000000003</v>
      </c>
      <c r="F268" s="5" t="s">
        <v>8</v>
      </c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1" hidden="1" customHeight="1">
      <c r="A269" s="836">
        <v>90391</v>
      </c>
      <c r="B269" s="846" t="s">
        <v>1051</v>
      </c>
      <c r="C269" s="836" t="s">
        <v>8</v>
      </c>
      <c r="D269" s="9">
        <v>10001603</v>
      </c>
      <c r="E269" s="5">
        <v>0.7</v>
      </c>
      <c r="F269" s="5" t="s">
        <v>8</v>
      </c>
      <c r="G269" s="5" t="s">
        <v>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1" hidden="1" customHeight="1">
      <c r="A270" s="804">
        <v>2934</v>
      </c>
      <c r="B270" s="791" t="s">
        <v>595</v>
      </c>
      <c r="C270" s="813" t="s">
        <v>10</v>
      </c>
      <c r="D270" s="9"/>
      <c r="E270" s="5"/>
      <c r="F270" s="5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1" hidden="1" customHeight="1">
      <c r="A271" s="804">
        <v>90661</v>
      </c>
      <c r="B271" s="791" t="s">
        <v>972</v>
      </c>
      <c r="C271" s="814" t="s">
        <v>13</v>
      </c>
      <c r="D271" s="9">
        <v>10001602</v>
      </c>
      <c r="E271" s="5">
        <v>1.3</v>
      </c>
      <c r="F271" s="5" t="s">
        <v>8</v>
      </c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1" hidden="1" customHeight="1">
      <c r="A272" s="804">
        <v>90392</v>
      </c>
      <c r="B272" s="791" t="s">
        <v>42</v>
      </c>
      <c r="C272" s="814" t="s">
        <v>10</v>
      </c>
      <c r="D272" s="9">
        <v>10001599</v>
      </c>
      <c r="E272" s="5">
        <v>0.1</v>
      </c>
      <c r="F272" s="5" t="s">
        <v>8</v>
      </c>
      <c r="G272" s="5" t="s">
        <v>20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1" hidden="1" customHeight="1">
      <c r="A273" s="805">
        <v>375</v>
      </c>
      <c r="B273" s="792" t="s">
        <v>43</v>
      </c>
      <c r="C273" s="858" t="s">
        <v>10</v>
      </c>
      <c r="D273" s="9"/>
      <c r="E273" s="5"/>
      <c r="F273" s="5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1" hidden="1" customHeight="1">
      <c r="A274" s="785">
        <v>90392</v>
      </c>
      <c r="B274" s="793" t="s">
        <v>1052</v>
      </c>
      <c r="C274" s="835" t="s">
        <v>8</v>
      </c>
      <c r="D274" s="9">
        <v>10001611</v>
      </c>
      <c r="E274" s="5">
        <v>0.03</v>
      </c>
      <c r="F274" s="5" t="s">
        <v>8</v>
      </c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1" hidden="1" customHeight="1">
      <c r="A275" s="804">
        <v>90515</v>
      </c>
      <c r="B275" s="845" t="s">
        <v>708</v>
      </c>
      <c r="C275" s="813" t="s">
        <v>13</v>
      </c>
      <c r="D275" s="9">
        <v>10001509</v>
      </c>
      <c r="E275" s="5">
        <v>0.18</v>
      </c>
      <c r="F275" s="5" t="s">
        <v>8</v>
      </c>
      <c r="G275" s="5" t="s">
        <v>9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1" hidden="1" customHeight="1">
      <c r="A276" s="785">
        <v>90515</v>
      </c>
      <c r="B276" s="793" t="s">
        <v>708</v>
      </c>
      <c r="C276" s="785" t="s">
        <v>13</v>
      </c>
      <c r="D276" s="9">
        <v>10001534</v>
      </c>
      <c r="E276" s="5">
        <v>4.4999999999999998E-2</v>
      </c>
      <c r="F276" s="5" t="s">
        <v>8</v>
      </c>
      <c r="G276" s="5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3"/>
      <c r="V276" s="3"/>
      <c r="W276" s="3"/>
      <c r="X276" s="3"/>
      <c r="Y276" s="3"/>
      <c r="Z276" s="3"/>
    </row>
    <row r="277" spans="1:26" ht="21" hidden="1" customHeight="1">
      <c r="A277" s="840">
        <v>90448</v>
      </c>
      <c r="B277" s="853" t="s">
        <v>698</v>
      </c>
      <c r="C277" s="857" t="s">
        <v>13</v>
      </c>
      <c r="D277" s="9">
        <v>10001532</v>
      </c>
      <c r="E277" s="5">
        <v>0.05</v>
      </c>
      <c r="F277" s="5" t="s">
        <v>8</v>
      </c>
      <c r="G277" s="5" t="s">
        <v>9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3"/>
      <c r="V277" s="3"/>
      <c r="W277" s="3"/>
      <c r="X277" s="3"/>
      <c r="Y277" s="3"/>
      <c r="Z277" s="3"/>
    </row>
    <row r="278" spans="1:26" ht="21" hidden="1" customHeight="1">
      <c r="A278" s="785">
        <v>90448</v>
      </c>
      <c r="B278" s="793" t="s">
        <v>698</v>
      </c>
      <c r="C278" s="785" t="s">
        <v>13</v>
      </c>
      <c r="D278" s="9">
        <v>10000413</v>
      </c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3"/>
      <c r="V278" s="3"/>
      <c r="W278" s="3"/>
      <c r="X278" s="3"/>
      <c r="Y278" s="3"/>
      <c r="Z278" s="3"/>
    </row>
    <row r="279" spans="1:26" ht="21" hidden="1" customHeight="1">
      <c r="A279" s="804">
        <v>90451</v>
      </c>
      <c r="B279" s="845" t="s">
        <v>699</v>
      </c>
      <c r="C279" s="813" t="s">
        <v>13</v>
      </c>
      <c r="D279" s="9">
        <v>10001530</v>
      </c>
      <c r="E279" s="5">
        <v>1.5</v>
      </c>
      <c r="F279" s="5" t="s">
        <v>8</v>
      </c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3"/>
      <c r="V279" s="3"/>
      <c r="W279" s="3"/>
      <c r="X279" s="3"/>
      <c r="Y279" s="3"/>
      <c r="Z279" s="3"/>
    </row>
    <row r="280" spans="1:26" ht="21" hidden="1" customHeight="1">
      <c r="A280" s="838">
        <v>90449</v>
      </c>
      <c r="B280" s="851" t="s">
        <v>743</v>
      </c>
      <c r="C280" s="813" t="s">
        <v>962</v>
      </c>
      <c r="D280" s="9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3"/>
      <c r="V280" s="3"/>
      <c r="W280" s="3"/>
      <c r="X280" s="3"/>
      <c r="Y280" s="3"/>
      <c r="Z280" s="3"/>
    </row>
    <row r="281" spans="1:26" ht="21" hidden="1" customHeight="1">
      <c r="A281" s="838">
        <v>90449</v>
      </c>
      <c r="B281" s="851" t="s">
        <v>743</v>
      </c>
      <c r="C281" s="813" t="s">
        <v>962</v>
      </c>
      <c r="D281" s="9">
        <v>10001529</v>
      </c>
      <c r="E281" s="5">
        <v>0.18</v>
      </c>
      <c r="F281" s="5" t="s">
        <v>8</v>
      </c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3"/>
      <c r="V281" s="3"/>
      <c r="W281" s="3"/>
      <c r="X281" s="3"/>
      <c r="Y281" s="3"/>
      <c r="Z281" s="3"/>
    </row>
    <row r="282" spans="1:26" ht="21" hidden="1" customHeight="1">
      <c r="A282" s="785">
        <v>90450</v>
      </c>
      <c r="B282" s="793" t="s">
        <v>1053</v>
      </c>
      <c r="C282" s="785" t="s">
        <v>13</v>
      </c>
      <c r="D282" s="9">
        <v>10001528</v>
      </c>
      <c r="E282" s="5">
        <v>0.30499999999999999</v>
      </c>
      <c r="F282" s="5" t="s">
        <v>8</v>
      </c>
      <c r="G282" s="5" t="s">
        <v>9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3"/>
      <c r="V282" s="3"/>
      <c r="W282" s="3"/>
      <c r="X282" s="3"/>
      <c r="Y282" s="3"/>
      <c r="Z282" s="3"/>
    </row>
    <row r="283" spans="1:26" ht="21" hidden="1" customHeight="1">
      <c r="A283" s="785">
        <v>90451</v>
      </c>
      <c r="B283" s="793" t="s">
        <v>1054</v>
      </c>
      <c r="C283" s="785" t="s">
        <v>13</v>
      </c>
      <c r="D283" s="9">
        <v>10001535</v>
      </c>
      <c r="E283" s="5">
        <v>0.27</v>
      </c>
      <c r="F283" s="5" t="s">
        <v>8</v>
      </c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3"/>
      <c r="V283" s="3"/>
      <c r="W283" s="3"/>
      <c r="X283" s="3"/>
      <c r="Y283" s="3"/>
      <c r="Z283" s="3"/>
    </row>
    <row r="284" spans="1:26" ht="21" hidden="1" customHeight="1">
      <c r="A284" s="785">
        <v>90455</v>
      </c>
      <c r="B284" s="793" t="s">
        <v>1055</v>
      </c>
      <c r="C284" s="785" t="s">
        <v>13</v>
      </c>
      <c r="D284" s="9">
        <v>10000412</v>
      </c>
      <c r="E284" s="5">
        <v>0.18</v>
      </c>
      <c r="F284" s="5" t="s">
        <v>8</v>
      </c>
      <c r="G284" s="5" t="s">
        <v>20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1" hidden="1" customHeight="1">
      <c r="A285" s="785">
        <v>90456</v>
      </c>
      <c r="B285" s="793" t="s">
        <v>1056</v>
      </c>
      <c r="C285" s="785" t="s">
        <v>13</v>
      </c>
      <c r="D285" s="9">
        <v>10009974</v>
      </c>
      <c r="E285" s="5">
        <v>0.32</v>
      </c>
      <c r="F285" s="5" t="s">
        <v>8</v>
      </c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1" hidden="1" customHeight="1">
      <c r="A286" s="814">
        <v>90457</v>
      </c>
      <c r="B286" s="793" t="s">
        <v>1147</v>
      </c>
      <c r="C286" s="842" t="s">
        <v>13</v>
      </c>
      <c r="D286" s="9">
        <v>10001629</v>
      </c>
      <c r="E286" s="5">
        <v>10.52</v>
      </c>
      <c r="F286" s="5" t="s">
        <v>8</v>
      </c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1" hidden="1" customHeight="1">
      <c r="A287" s="804">
        <v>2940</v>
      </c>
      <c r="B287" s="791" t="s">
        <v>44</v>
      </c>
      <c r="C287" s="813" t="s">
        <v>10</v>
      </c>
      <c r="D287" s="9">
        <v>10002601</v>
      </c>
      <c r="E287" s="5">
        <v>10.69</v>
      </c>
      <c r="F287" s="5" t="s">
        <v>8</v>
      </c>
      <c r="G287" s="5" t="s">
        <v>9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3"/>
      <c r="V287" s="3"/>
      <c r="W287" s="3"/>
      <c r="X287" s="3"/>
      <c r="Y287" s="3"/>
      <c r="Z287" s="3"/>
    </row>
    <row r="288" spans="1:26" ht="21" hidden="1" customHeight="1">
      <c r="A288" s="804">
        <v>2941</v>
      </c>
      <c r="B288" s="791" t="s">
        <v>45</v>
      </c>
      <c r="C288" s="813" t="s">
        <v>10</v>
      </c>
      <c r="D288" s="9">
        <v>10003250</v>
      </c>
      <c r="E288" s="5">
        <v>33</v>
      </c>
      <c r="F288" s="5" t="s">
        <v>8</v>
      </c>
      <c r="G288" s="5" t="s">
        <v>9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3"/>
      <c r="V288" s="3"/>
      <c r="W288" s="3"/>
      <c r="X288" s="3"/>
      <c r="Y288" s="3"/>
      <c r="Z288" s="3"/>
    </row>
    <row r="289" spans="1:26" ht="21" hidden="1" customHeight="1">
      <c r="A289" s="785">
        <v>2941</v>
      </c>
      <c r="B289" s="793" t="s">
        <v>45</v>
      </c>
      <c r="C289" s="785" t="s">
        <v>10</v>
      </c>
      <c r="D289" s="9">
        <v>10003242</v>
      </c>
      <c r="E289" s="5">
        <v>17</v>
      </c>
      <c r="F289" s="5" t="s">
        <v>8</v>
      </c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3"/>
      <c r="V289" s="3"/>
      <c r="W289" s="3"/>
      <c r="X289" s="3"/>
      <c r="Y289" s="3"/>
      <c r="Z289" s="3"/>
    </row>
    <row r="290" spans="1:26" ht="21" hidden="1" customHeight="1">
      <c r="A290" s="814">
        <v>90638</v>
      </c>
      <c r="B290" s="856" t="s">
        <v>724</v>
      </c>
      <c r="C290" s="814" t="s">
        <v>10</v>
      </c>
      <c r="D290" s="9">
        <v>10001644</v>
      </c>
      <c r="E290" s="5">
        <v>6.2</v>
      </c>
      <c r="F290" s="5" t="s">
        <v>8</v>
      </c>
      <c r="G290" s="5" t="s">
        <v>19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3"/>
      <c r="V290" s="3"/>
      <c r="W290" s="3"/>
      <c r="X290" s="3"/>
      <c r="Y290" s="3"/>
      <c r="Z290" s="3"/>
    </row>
    <row r="291" spans="1:26" ht="21" hidden="1" customHeight="1">
      <c r="A291" s="785">
        <v>90638</v>
      </c>
      <c r="B291" s="793" t="s">
        <v>724</v>
      </c>
      <c r="C291" s="785" t="s">
        <v>13</v>
      </c>
      <c r="D291" s="9">
        <v>10003249</v>
      </c>
      <c r="E291" s="5">
        <v>18</v>
      </c>
      <c r="F291" s="5" t="s">
        <v>8</v>
      </c>
      <c r="G291" s="5" t="s">
        <v>20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3"/>
      <c r="V291" s="3"/>
      <c r="W291" s="3"/>
      <c r="X291" s="3"/>
      <c r="Y291" s="3"/>
      <c r="Z291" s="3"/>
    </row>
    <row r="292" spans="1:26" ht="21" hidden="1" customHeight="1">
      <c r="A292" s="804">
        <v>90462</v>
      </c>
      <c r="B292" s="845" t="s">
        <v>702</v>
      </c>
      <c r="C292" s="813" t="s">
        <v>13</v>
      </c>
      <c r="D292" s="771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72"/>
      <c r="V292" s="772"/>
      <c r="W292" s="772"/>
      <c r="X292" s="772"/>
      <c r="Y292" s="772"/>
      <c r="Z292" s="772"/>
    </row>
    <row r="293" spans="1:26" ht="21" hidden="1" customHeight="1">
      <c r="A293" s="785">
        <v>90462</v>
      </c>
      <c r="B293" s="793" t="s">
        <v>702</v>
      </c>
      <c r="C293" s="785" t="s">
        <v>13</v>
      </c>
      <c r="D293" s="9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3"/>
      <c r="V293" s="3"/>
      <c r="W293" s="3"/>
      <c r="X293" s="3"/>
      <c r="Y293" s="3"/>
      <c r="Z293" s="3"/>
    </row>
    <row r="294" spans="1:26" ht="21" hidden="1" customHeight="1">
      <c r="A294" s="804">
        <v>3097</v>
      </c>
      <c r="B294" s="845" t="s">
        <v>600</v>
      </c>
      <c r="C294" s="813" t="s">
        <v>962</v>
      </c>
      <c r="D294" s="9">
        <v>10001775</v>
      </c>
      <c r="E294" s="5">
        <v>48</v>
      </c>
      <c r="F294" s="5" t="s">
        <v>8</v>
      </c>
      <c r="G294" s="5" t="s">
        <v>9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3"/>
      <c r="V294" s="3"/>
      <c r="W294" s="3"/>
      <c r="X294" s="3"/>
      <c r="Y294" s="3"/>
      <c r="Z294" s="3"/>
    </row>
    <row r="295" spans="1:26" ht="21" hidden="1" customHeight="1">
      <c r="A295" s="785">
        <v>90463</v>
      </c>
      <c r="B295" s="793" t="s">
        <v>1057</v>
      </c>
      <c r="C295" s="785" t="s">
        <v>13</v>
      </c>
      <c r="D295" s="9">
        <v>10006812</v>
      </c>
      <c r="E295" s="5">
        <v>15</v>
      </c>
      <c r="F295" s="5" t="s">
        <v>8</v>
      </c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1" hidden="1" customHeight="1">
      <c r="A296" s="785">
        <v>90277</v>
      </c>
      <c r="B296" s="793" t="s">
        <v>1058</v>
      </c>
      <c r="C296" s="785" t="s">
        <v>13</v>
      </c>
      <c r="D296" s="9"/>
      <c r="E296" s="5"/>
      <c r="F296" s="5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1" hidden="1" customHeight="1">
      <c r="A297" s="785">
        <v>90279</v>
      </c>
      <c r="B297" s="793" t="s">
        <v>1059</v>
      </c>
      <c r="C297" s="785" t="s">
        <v>13</v>
      </c>
      <c r="D297" s="9">
        <v>10001777</v>
      </c>
      <c r="E297" s="5">
        <v>15</v>
      </c>
      <c r="F297" s="5" t="s">
        <v>8</v>
      </c>
      <c r="G297" s="5" t="s">
        <v>20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1" hidden="1" customHeight="1">
      <c r="A298" s="804">
        <v>7599</v>
      </c>
      <c r="B298" s="791" t="s">
        <v>1140</v>
      </c>
      <c r="C298" s="813" t="s">
        <v>10</v>
      </c>
      <c r="D298" s="9">
        <v>10010432</v>
      </c>
      <c r="E298" s="5">
        <v>43</v>
      </c>
      <c r="F298" s="5" t="s">
        <v>8</v>
      </c>
      <c r="G298" s="5" t="s">
        <v>9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1" hidden="1" customHeight="1">
      <c r="A299" s="804">
        <v>90253</v>
      </c>
      <c r="B299" s="845" t="s">
        <v>645</v>
      </c>
      <c r="C299" s="813" t="s">
        <v>13</v>
      </c>
      <c r="D299" s="9">
        <v>10010429</v>
      </c>
      <c r="E299" s="5">
        <v>60</v>
      </c>
      <c r="F299" s="5" t="s">
        <v>8</v>
      </c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1" hidden="1" customHeight="1">
      <c r="A300" s="804">
        <v>90580</v>
      </c>
      <c r="B300" s="845" t="s">
        <v>721</v>
      </c>
      <c r="C300" s="813" t="s">
        <v>13</v>
      </c>
      <c r="D300" s="9"/>
      <c r="E300" s="5"/>
      <c r="F300" s="5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1" hidden="1" customHeight="1">
      <c r="A301" s="785">
        <v>90253</v>
      </c>
      <c r="B301" s="793" t="s">
        <v>1060</v>
      </c>
      <c r="C301" s="785" t="s">
        <v>13</v>
      </c>
      <c r="D301" s="9">
        <v>10010430</v>
      </c>
      <c r="E301" s="5">
        <v>25</v>
      </c>
      <c r="F301" s="5" t="s">
        <v>8</v>
      </c>
      <c r="G301" s="5" t="s">
        <v>9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3"/>
      <c r="V301" s="3"/>
      <c r="W301" s="3"/>
      <c r="X301" s="3"/>
      <c r="Y301" s="3"/>
      <c r="Z301" s="3"/>
    </row>
    <row r="302" spans="1:26" ht="21" hidden="1" customHeight="1">
      <c r="A302" s="785">
        <v>90580</v>
      </c>
      <c r="B302" s="793" t="s">
        <v>1061</v>
      </c>
      <c r="C302" s="785" t="s">
        <v>13</v>
      </c>
      <c r="D302" s="9">
        <v>10010437</v>
      </c>
      <c r="E302" s="5">
        <v>0.27900000000000003</v>
      </c>
      <c r="F302" s="5" t="s">
        <v>8</v>
      </c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3"/>
      <c r="V302" s="3"/>
      <c r="W302" s="3"/>
      <c r="X302" s="3"/>
      <c r="Y302" s="3"/>
      <c r="Z302" s="3"/>
    </row>
    <row r="303" spans="1:26" ht="21" hidden="1" customHeight="1">
      <c r="A303" s="804">
        <v>2943</v>
      </c>
      <c r="B303" s="791" t="s">
        <v>596</v>
      </c>
      <c r="C303" s="813" t="s">
        <v>10</v>
      </c>
      <c r="D303" s="9">
        <v>10010442</v>
      </c>
      <c r="E303" s="5">
        <v>50</v>
      </c>
      <c r="F303" s="5" t="s">
        <v>8</v>
      </c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3"/>
      <c r="V303" s="3"/>
      <c r="W303" s="3"/>
      <c r="X303" s="3"/>
      <c r="Y303" s="3"/>
      <c r="Z303" s="3"/>
    </row>
    <row r="304" spans="1:26" ht="21" hidden="1" customHeight="1">
      <c r="A304" s="804">
        <v>90275</v>
      </c>
      <c r="B304" s="845" t="s">
        <v>655</v>
      </c>
      <c r="C304" s="813" t="s">
        <v>13</v>
      </c>
      <c r="D304" s="9">
        <v>10010436</v>
      </c>
      <c r="E304" s="5">
        <v>70</v>
      </c>
      <c r="F304" s="5" t="s">
        <v>8</v>
      </c>
      <c r="G304" s="5" t="s">
        <v>9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3"/>
      <c r="V304" s="3"/>
      <c r="W304" s="3"/>
      <c r="X304" s="3"/>
      <c r="Y304" s="3"/>
      <c r="Z304" s="3"/>
    </row>
    <row r="305" spans="1:26" ht="21" hidden="1" customHeight="1">
      <c r="A305" s="785">
        <v>90275</v>
      </c>
      <c r="B305" s="793" t="s">
        <v>655</v>
      </c>
      <c r="C305" s="785" t="s">
        <v>13</v>
      </c>
      <c r="D305" s="9">
        <v>10003262</v>
      </c>
      <c r="E305" s="5">
        <v>4.4999999999999998E-2</v>
      </c>
      <c r="F305" s="5" t="s">
        <v>8</v>
      </c>
      <c r="G305" s="5" t="s">
        <v>9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3"/>
      <c r="V305" s="3"/>
      <c r="W305" s="3"/>
      <c r="X305" s="3"/>
      <c r="Y305" s="3"/>
      <c r="Z305" s="3"/>
    </row>
    <row r="306" spans="1:26" ht="21" hidden="1" customHeight="1">
      <c r="A306" s="785">
        <v>90276</v>
      </c>
      <c r="B306" s="793" t="s">
        <v>1062</v>
      </c>
      <c r="C306" s="785" t="s">
        <v>13</v>
      </c>
      <c r="D306" s="9">
        <v>10010440</v>
      </c>
      <c r="E306" s="5">
        <v>0.01</v>
      </c>
      <c r="F306" s="5" t="s">
        <v>8</v>
      </c>
      <c r="G306" s="5" t="s">
        <v>9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3"/>
      <c r="V306" s="3"/>
      <c r="W306" s="3"/>
      <c r="X306" s="3"/>
      <c r="Y306" s="3"/>
      <c r="Z306" s="3"/>
    </row>
    <row r="307" spans="1:26" ht="21" hidden="1" customHeight="1">
      <c r="A307" s="785">
        <v>208</v>
      </c>
      <c r="B307" s="793" t="s">
        <v>1063</v>
      </c>
      <c r="C307" s="785" t="s">
        <v>10</v>
      </c>
      <c r="D307" s="9">
        <v>10010244</v>
      </c>
      <c r="E307" s="5">
        <v>0.03</v>
      </c>
      <c r="F307" s="5" t="s">
        <v>8</v>
      </c>
      <c r="G307" s="5" t="s">
        <v>9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3"/>
      <c r="V307" s="3"/>
      <c r="W307" s="3"/>
      <c r="X307" s="3"/>
      <c r="Y307" s="3"/>
      <c r="Z307" s="3"/>
    </row>
    <row r="308" spans="1:26" ht="21" hidden="1" customHeight="1">
      <c r="A308" s="804">
        <v>208</v>
      </c>
      <c r="B308" s="791" t="s">
        <v>46</v>
      </c>
      <c r="C308" s="813" t="s">
        <v>10</v>
      </c>
      <c r="D308" s="9">
        <v>10010444</v>
      </c>
      <c r="E308" s="5">
        <v>2.9000000000000001E-2</v>
      </c>
      <c r="F308" s="5" t="s">
        <v>8</v>
      </c>
      <c r="G308" s="5" t="s">
        <v>9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3"/>
      <c r="V308" s="3"/>
      <c r="W308" s="3"/>
      <c r="X308" s="3"/>
      <c r="Y308" s="3"/>
      <c r="Z308" s="3"/>
    </row>
    <row r="309" spans="1:26" ht="21" hidden="1" customHeight="1">
      <c r="A309" s="804">
        <v>3999</v>
      </c>
      <c r="B309" s="845" t="s">
        <v>47</v>
      </c>
      <c r="C309" s="813" t="s">
        <v>962</v>
      </c>
      <c r="D309" s="9">
        <v>10010439</v>
      </c>
      <c r="E309" s="5">
        <v>0.3</v>
      </c>
      <c r="F309" s="5" t="s">
        <v>8</v>
      </c>
      <c r="G309" s="5" t="s">
        <v>9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3"/>
      <c r="V309" s="3"/>
      <c r="W309" s="3"/>
      <c r="X309" s="3"/>
      <c r="Y309" s="3"/>
      <c r="Z309" s="3"/>
    </row>
    <row r="310" spans="1:26" ht="21" hidden="1" customHeight="1">
      <c r="A310" s="804">
        <v>7605</v>
      </c>
      <c r="B310" s="791" t="s">
        <v>983</v>
      </c>
      <c r="C310" s="813" t="s">
        <v>10</v>
      </c>
      <c r="D310" s="9">
        <v>10010442</v>
      </c>
      <c r="E310" s="5">
        <v>2.8000000000000001E-2</v>
      </c>
      <c r="F310" s="5" t="s">
        <v>8</v>
      </c>
      <c r="G310" s="5" t="s">
        <v>9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3"/>
      <c r="V310" s="3"/>
      <c r="W310" s="3"/>
      <c r="X310" s="3"/>
      <c r="Y310" s="3"/>
      <c r="Z310" s="3"/>
    </row>
    <row r="311" spans="1:26" ht="21" hidden="1" customHeight="1">
      <c r="A311" s="804">
        <v>90295</v>
      </c>
      <c r="B311" s="845" t="s">
        <v>662</v>
      </c>
      <c r="C311" s="813" t="s">
        <v>13</v>
      </c>
      <c r="D311" s="9">
        <v>10010447</v>
      </c>
      <c r="E311" s="5">
        <v>2.5999999999999999E-2</v>
      </c>
      <c r="F311" s="5" t="s">
        <v>8</v>
      </c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3"/>
      <c r="V311" s="3"/>
      <c r="W311" s="3"/>
      <c r="X311" s="3"/>
      <c r="Y311" s="3"/>
      <c r="Z311" s="3"/>
    </row>
    <row r="312" spans="1:26" ht="21" hidden="1" customHeight="1">
      <c r="A312" s="804">
        <v>90295</v>
      </c>
      <c r="B312" s="791" t="s">
        <v>1064</v>
      </c>
      <c r="C312" s="813" t="s">
        <v>13</v>
      </c>
      <c r="D312" s="9">
        <v>10010273</v>
      </c>
      <c r="E312" s="5">
        <v>2.5999999999999999E-2</v>
      </c>
      <c r="F312" s="5" t="s">
        <v>8</v>
      </c>
      <c r="G312" s="5" t="s">
        <v>9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3"/>
      <c r="V312" s="3"/>
      <c r="W312" s="3"/>
      <c r="X312" s="3"/>
      <c r="Y312" s="3"/>
      <c r="Z312" s="3"/>
    </row>
    <row r="313" spans="1:26" ht="21" hidden="1" customHeight="1">
      <c r="A313" s="785">
        <v>90295</v>
      </c>
      <c r="B313" s="793" t="s">
        <v>1064</v>
      </c>
      <c r="C313" s="785" t="s">
        <v>13</v>
      </c>
      <c r="D313" s="9">
        <v>10003260</v>
      </c>
      <c r="E313" s="5">
        <v>2.5999999999999999E-2</v>
      </c>
      <c r="F313" s="5" t="s">
        <v>8</v>
      </c>
      <c r="G313" s="5" t="s">
        <v>9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3"/>
      <c r="V313" s="3"/>
      <c r="W313" s="3"/>
      <c r="X313" s="3"/>
      <c r="Y313" s="3"/>
      <c r="Z313" s="3"/>
    </row>
    <row r="314" spans="1:26" ht="21" hidden="1" customHeight="1">
      <c r="A314" s="785">
        <v>2945</v>
      </c>
      <c r="B314" s="793" t="s">
        <v>1132</v>
      </c>
      <c r="C314" s="785"/>
      <c r="D314" s="771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72"/>
      <c r="V314" s="772"/>
      <c r="W314" s="772"/>
      <c r="X314" s="772"/>
      <c r="Y314" s="772"/>
      <c r="Z314" s="772"/>
    </row>
    <row r="315" spans="1:26" ht="21" hidden="1" customHeight="1">
      <c r="A315" s="804">
        <v>90277</v>
      </c>
      <c r="B315" s="845" t="s">
        <v>656</v>
      </c>
      <c r="C315" s="813" t="s">
        <v>13</v>
      </c>
      <c r="D315" s="9">
        <v>10003261</v>
      </c>
      <c r="E315" s="5">
        <v>3.6999999999999998E-2</v>
      </c>
      <c r="F315" s="5" t="s">
        <v>8</v>
      </c>
      <c r="G315" s="5" t="s">
        <v>9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3"/>
      <c r="V315" s="3"/>
      <c r="W315" s="3"/>
      <c r="X315" s="3"/>
      <c r="Y315" s="3"/>
      <c r="Z315" s="3"/>
    </row>
    <row r="316" spans="1:26" ht="21" hidden="1" customHeight="1">
      <c r="A316" s="804">
        <v>90279</v>
      </c>
      <c r="B316" s="845" t="s">
        <v>657</v>
      </c>
      <c r="C316" s="813" t="s">
        <v>13</v>
      </c>
      <c r="D316" s="9">
        <v>10003263</v>
      </c>
      <c r="E316" s="5">
        <v>0.02</v>
      </c>
      <c r="F316" s="5" t="s">
        <v>8</v>
      </c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3"/>
      <c r="V316" s="3"/>
      <c r="W316" s="3"/>
      <c r="X316" s="3"/>
      <c r="Y316" s="3"/>
      <c r="Z316" s="3"/>
    </row>
    <row r="317" spans="1:26" ht="21" hidden="1" customHeight="1">
      <c r="A317" s="804">
        <v>2947</v>
      </c>
      <c r="B317" s="845" t="s">
        <v>740</v>
      </c>
      <c r="C317" s="813" t="s">
        <v>962</v>
      </c>
      <c r="D317" s="9">
        <v>10003267</v>
      </c>
      <c r="E317" s="5">
        <v>4.3999999999999997E-2</v>
      </c>
      <c r="F317" s="5" t="s">
        <v>8</v>
      </c>
      <c r="G317" s="5" t="s">
        <v>9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3"/>
      <c r="V317" s="3"/>
      <c r="W317" s="3"/>
      <c r="X317" s="3"/>
      <c r="Y317" s="3"/>
      <c r="Z317" s="3"/>
    </row>
    <row r="318" spans="1:26" ht="21" hidden="1" customHeight="1">
      <c r="A318" s="785">
        <v>90328</v>
      </c>
      <c r="B318" s="793" t="s">
        <v>1065</v>
      </c>
      <c r="C318" s="785" t="s">
        <v>13</v>
      </c>
      <c r="D318" s="9">
        <v>10010438</v>
      </c>
      <c r="E318" s="5">
        <v>0.01</v>
      </c>
      <c r="F318" s="5" t="s">
        <v>8</v>
      </c>
      <c r="G318" s="5" t="s">
        <v>9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3"/>
      <c r="V318" s="3"/>
      <c r="W318" s="3"/>
      <c r="X318" s="3"/>
      <c r="Y318" s="3"/>
      <c r="Z318" s="3"/>
    </row>
    <row r="319" spans="1:26" ht="21" hidden="1" customHeight="1">
      <c r="A319" s="804">
        <v>90320</v>
      </c>
      <c r="B319" s="791" t="s">
        <v>668</v>
      </c>
      <c r="C319" s="813" t="s">
        <v>10</v>
      </c>
      <c r="D319" s="9">
        <v>10010448</v>
      </c>
      <c r="E319" s="5">
        <v>0.01</v>
      </c>
      <c r="F319" s="5" t="s">
        <v>8</v>
      </c>
      <c r="G319" s="5" t="s">
        <v>9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3"/>
      <c r="V319" s="3"/>
      <c r="W319" s="3"/>
      <c r="X319" s="3"/>
      <c r="Y319" s="3"/>
      <c r="Z319" s="3"/>
    </row>
    <row r="320" spans="1:26" ht="21" hidden="1" customHeight="1">
      <c r="A320" s="785">
        <v>90320</v>
      </c>
      <c r="B320" s="793" t="s">
        <v>1066</v>
      </c>
      <c r="C320" s="785" t="s">
        <v>13</v>
      </c>
      <c r="D320" s="9">
        <v>10010443</v>
      </c>
      <c r="E320" s="5">
        <v>2.5999999999999999E-2</v>
      </c>
      <c r="F320" s="5" t="s">
        <v>8</v>
      </c>
      <c r="G320" s="5" t="s">
        <v>9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3"/>
      <c r="V320" s="3"/>
      <c r="W320" s="3"/>
      <c r="X320" s="3"/>
      <c r="Y320" s="3"/>
      <c r="Z320" s="3"/>
    </row>
    <row r="321" spans="1:26" ht="21" hidden="1" customHeight="1">
      <c r="A321" s="804">
        <v>90321</v>
      </c>
      <c r="B321" s="845" t="s">
        <v>752</v>
      </c>
      <c r="C321" s="813" t="s">
        <v>962</v>
      </c>
      <c r="D321" s="9">
        <v>10010445</v>
      </c>
      <c r="E321" s="5">
        <v>0.02</v>
      </c>
      <c r="F321" s="5" t="s">
        <v>8</v>
      </c>
      <c r="G321" s="5" t="s">
        <v>9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3"/>
      <c r="V321" s="3"/>
      <c r="W321" s="3"/>
      <c r="X321" s="3"/>
      <c r="Y321" s="3"/>
      <c r="Z321" s="3"/>
    </row>
    <row r="322" spans="1:26" ht="21" hidden="1" customHeight="1">
      <c r="A322" s="785">
        <v>90321</v>
      </c>
      <c r="B322" s="793" t="s">
        <v>1067</v>
      </c>
      <c r="C322" s="785" t="s">
        <v>13</v>
      </c>
      <c r="D322" s="9">
        <v>10010449</v>
      </c>
      <c r="E322" s="5">
        <v>0.01</v>
      </c>
      <c r="F322" s="5" t="s">
        <v>8</v>
      </c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3"/>
      <c r="V322" s="3"/>
      <c r="W322" s="3"/>
      <c r="X322" s="3"/>
      <c r="Y322" s="3"/>
      <c r="Z322" s="3"/>
    </row>
    <row r="323" spans="1:26" ht="21" hidden="1" customHeight="1">
      <c r="A323" s="804">
        <v>90318</v>
      </c>
      <c r="B323" s="791" t="s">
        <v>667</v>
      </c>
      <c r="C323" s="813" t="s">
        <v>10</v>
      </c>
      <c r="D323" s="9">
        <v>10010446</v>
      </c>
      <c r="E323" s="5">
        <v>0.02</v>
      </c>
      <c r="F323" s="5" t="s">
        <v>8</v>
      </c>
      <c r="G323" s="5" t="s">
        <v>9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3"/>
      <c r="V323" s="3"/>
      <c r="W323" s="3"/>
      <c r="X323" s="3"/>
      <c r="Y323" s="3"/>
      <c r="Z323" s="3"/>
    </row>
    <row r="324" spans="1:26" ht="21" hidden="1" customHeight="1">
      <c r="A324" s="785">
        <v>90318</v>
      </c>
      <c r="B324" s="793" t="s">
        <v>1068</v>
      </c>
      <c r="C324" s="785" t="s">
        <v>13</v>
      </c>
      <c r="D324" s="9">
        <v>10010441</v>
      </c>
      <c r="E324" s="5">
        <v>0.01</v>
      </c>
      <c r="F324" s="5" t="s">
        <v>8</v>
      </c>
      <c r="G324" s="5" t="s">
        <v>9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3"/>
      <c r="V324" s="3"/>
      <c r="W324" s="3"/>
      <c r="X324" s="3"/>
      <c r="Y324" s="3"/>
      <c r="Z324" s="3"/>
    </row>
    <row r="325" spans="1:26" ht="21" hidden="1" customHeight="1">
      <c r="A325" s="785">
        <v>90319</v>
      </c>
      <c r="B325" s="793" t="s">
        <v>1069</v>
      </c>
      <c r="C325" s="785" t="s">
        <v>13</v>
      </c>
      <c r="D325" s="9">
        <v>10003264</v>
      </c>
      <c r="E325" s="5">
        <v>0.02</v>
      </c>
      <c r="F325" s="5" t="s">
        <v>8</v>
      </c>
      <c r="G325" s="5" t="s">
        <v>9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3"/>
      <c r="V325" s="3"/>
      <c r="W325" s="3"/>
      <c r="X325" s="3"/>
      <c r="Y325" s="3"/>
      <c r="Z325" s="3"/>
    </row>
    <row r="326" spans="1:26" ht="21" hidden="1" customHeight="1">
      <c r="A326" s="785">
        <v>4285</v>
      </c>
      <c r="B326" s="793" t="s">
        <v>1070</v>
      </c>
      <c r="C326" s="785" t="s">
        <v>10</v>
      </c>
      <c r="D326" s="9">
        <v>10003268</v>
      </c>
      <c r="E326" s="5">
        <v>0.09</v>
      </c>
      <c r="F326" s="5" t="s">
        <v>8</v>
      </c>
      <c r="G326" s="5" t="s">
        <v>9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3"/>
      <c r="V326" s="3"/>
      <c r="W326" s="3"/>
      <c r="X326" s="3"/>
      <c r="Y326" s="3"/>
      <c r="Z326" s="3"/>
    </row>
    <row r="327" spans="1:26" ht="21" hidden="1" customHeight="1">
      <c r="A327" s="804">
        <v>2952</v>
      </c>
      <c r="B327" s="791" t="s">
        <v>48</v>
      </c>
      <c r="C327" s="813" t="s">
        <v>10</v>
      </c>
      <c r="D327" s="9">
        <v>10003269</v>
      </c>
      <c r="E327" s="5">
        <v>0.40500000000000003</v>
      </c>
      <c r="F327" s="5" t="s">
        <v>8</v>
      </c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3"/>
      <c r="V327" s="3"/>
      <c r="W327" s="3"/>
      <c r="X327" s="3"/>
      <c r="Y327" s="3"/>
      <c r="Z327" s="3"/>
    </row>
    <row r="328" spans="1:26" ht="21" hidden="1" customHeight="1">
      <c r="A328" s="785">
        <v>90581</v>
      </c>
      <c r="B328" s="793" t="s">
        <v>1071</v>
      </c>
      <c r="C328" s="785" t="s">
        <v>10</v>
      </c>
      <c r="D328" s="9">
        <v>10003265</v>
      </c>
      <c r="E328" s="5">
        <v>0.34</v>
      </c>
      <c r="F328" s="5" t="s">
        <v>8</v>
      </c>
      <c r="G328" s="5" t="s">
        <v>9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1" hidden="1" customHeight="1">
      <c r="A329" s="804">
        <v>3080</v>
      </c>
      <c r="B329" s="845" t="s">
        <v>599</v>
      </c>
      <c r="C329" s="813" t="s">
        <v>962</v>
      </c>
      <c r="D329" s="9">
        <v>10003270</v>
      </c>
      <c r="E329" s="5">
        <v>0.24</v>
      </c>
      <c r="F329" s="5" t="s">
        <v>8</v>
      </c>
      <c r="G329" s="5" t="s">
        <v>9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1" hidden="1" customHeight="1">
      <c r="A330" s="804">
        <v>90581</v>
      </c>
      <c r="B330" s="791" t="s">
        <v>599</v>
      </c>
      <c r="C330" s="813" t="s">
        <v>962</v>
      </c>
      <c r="D330" s="9"/>
      <c r="E330" s="5"/>
      <c r="F330" s="5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1" hidden="1" customHeight="1">
      <c r="A331" s="804">
        <v>90440</v>
      </c>
      <c r="B331" s="791" t="s">
        <v>691</v>
      </c>
      <c r="C331" s="813" t="s">
        <v>10</v>
      </c>
      <c r="D331" s="9">
        <v>10003266</v>
      </c>
      <c r="E331" s="5">
        <v>0.11</v>
      </c>
      <c r="F331" s="5" t="s">
        <v>8</v>
      </c>
      <c r="G331" s="5" t="s">
        <v>9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3"/>
      <c r="V331" s="3"/>
      <c r="W331" s="3"/>
      <c r="X331" s="3"/>
      <c r="Y331" s="3"/>
      <c r="Z331" s="3"/>
    </row>
    <row r="332" spans="1:26" ht="21" hidden="1" customHeight="1">
      <c r="A332" s="785">
        <v>90440</v>
      </c>
      <c r="B332" s="793" t="s">
        <v>691</v>
      </c>
      <c r="C332" s="785" t="s">
        <v>13</v>
      </c>
      <c r="D332" s="9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3"/>
      <c r="V332" s="3"/>
      <c r="W332" s="3"/>
      <c r="X332" s="3"/>
      <c r="Y332" s="3"/>
      <c r="Z332" s="3"/>
    </row>
    <row r="333" spans="1:26" ht="21" hidden="1" customHeight="1">
      <c r="A333" s="804">
        <v>90441</v>
      </c>
      <c r="B333" s="791" t="s">
        <v>692</v>
      </c>
      <c r="C333" s="813" t="s">
        <v>10</v>
      </c>
      <c r="D333" s="9">
        <v>10001807</v>
      </c>
      <c r="E333" s="5">
        <v>0.66</v>
      </c>
      <c r="F333" s="5" t="s">
        <v>8</v>
      </c>
      <c r="G333" s="5" t="s">
        <v>9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3"/>
      <c r="V333" s="3"/>
      <c r="W333" s="3"/>
      <c r="X333" s="3"/>
      <c r="Y333" s="3"/>
      <c r="Z333" s="3"/>
    </row>
    <row r="334" spans="1:26" ht="21" hidden="1" customHeight="1">
      <c r="A334" s="804">
        <v>90442</v>
      </c>
      <c r="B334" s="791" t="s">
        <v>693</v>
      </c>
      <c r="C334" s="813" t="s">
        <v>10</v>
      </c>
      <c r="D334" s="9">
        <v>10003271</v>
      </c>
      <c r="E334" s="5">
        <v>0.36</v>
      </c>
      <c r="F334" s="5" t="s">
        <v>8</v>
      </c>
      <c r="G334" s="5" t="s">
        <v>9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3"/>
      <c r="V334" s="3"/>
      <c r="W334" s="3"/>
      <c r="X334" s="3"/>
      <c r="Y334" s="3"/>
      <c r="Z334" s="3"/>
    </row>
    <row r="335" spans="1:26" ht="21" hidden="1" customHeight="1">
      <c r="A335" s="785">
        <v>90441</v>
      </c>
      <c r="B335" s="793" t="s">
        <v>1072</v>
      </c>
      <c r="C335" s="785" t="s">
        <v>13</v>
      </c>
      <c r="D335" s="9">
        <v>10001808</v>
      </c>
      <c r="E335" s="5">
        <v>0.1</v>
      </c>
      <c r="F335" s="5" t="s">
        <v>8</v>
      </c>
      <c r="G335" s="5" t="s">
        <v>9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3"/>
      <c r="V335" s="3"/>
      <c r="W335" s="3"/>
      <c r="X335" s="3"/>
      <c r="Y335" s="3"/>
      <c r="Z335" s="3"/>
    </row>
    <row r="336" spans="1:26" ht="21" hidden="1" customHeight="1">
      <c r="A336" s="785">
        <v>90442</v>
      </c>
      <c r="B336" s="793" t="s">
        <v>1073</v>
      </c>
      <c r="C336" s="785" t="s">
        <v>13</v>
      </c>
      <c r="D336" s="9">
        <v>10001809</v>
      </c>
      <c r="E336" s="5">
        <v>0.27</v>
      </c>
      <c r="F336" s="5" t="s">
        <v>8</v>
      </c>
      <c r="G336" s="5" t="s">
        <v>9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3"/>
      <c r="V336" s="3"/>
      <c r="W336" s="3"/>
      <c r="X336" s="3"/>
      <c r="Y336" s="3"/>
      <c r="Z336" s="3"/>
    </row>
    <row r="337" spans="1:26" ht="21" hidden="1" customHeight="1">
      <c r="A337" s="804">
        <v>90445</v>
      </c>
      <c r="B337" s="791" t="s">
        <v>696</v>
      </c>
      <c r="C337" s="813" t="s">
        <v>10</v>
      </c>
      <c r="D337" s="9">
        <v>10001811</v>
      </c>
      <c r="E337" s="5">
        <v>0.2</v>
      </c>
      <c r="F337" s="5" t="s">
        <v>8</v>
      </c>
      <c r="G337" s="5" t="s">
        <v>9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3"/>
      <c r="V337" s="3"/>
      <c r="W337" s="3"/>
      <c r="X337" s="3"/>
      <c r="Y337" s="3"/>
      <c r="Z337" s="3"/>
    </row>
    <row r="338" spans="1:26" ht="21" hidden="1" customHeight="1">
      <c r="A338" s="804">
        <v>90443</v>
      </c>
      <c r="B338" s="791" t="s">
        <v>694</v>
      </c>
      <c r="C338" s="813" t="s">
        <v>10</v>
      </c>
      <c r="D338" s="14"/>
      <c r="E338" s="15"/>
      <c r="F338" s="15"/>
      <c r="G338" s="1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1" hidden="1" customHeight="1">
      <c r="A339" s="804">
        <v>90444</v>
      </c>
      <c r="B339" s="791" t="s">
        <v>695</v>
      </c>
      <c r="C339" s="813" t="s">
        <v>10</v>
      </c>
      <c r="D339" s="9">
        <v>10003273</v>
      </c>
      <c r="E339" s="5">
        <v>2.2000000000000002</v>
      </c>
      <c r="F339" s="5" t="s">
        <v>8</v>
      </c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1" hidden="1" customHeight="1">
      <c r="A340" s="785">
        <v>90445</v>
      </c>
      <c r="B340" s="793" t="s">
        <v>1074</v>
      </c>
      <c r="C340" s="785" t="s">
        <v>13</v>
      </c>
      <c r="D340" s="12"/>
      <c r="E340" s="10"/>
      <c r="F340" s="10"/>
      <c r="G340" s="10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3"/>
      <c r="V340" s="3"/>
      <c r="W340" s="3"/>
      <c r="X340" s="3"/>
      <c r="Y340" s="3"/>
      <c r="Z340" s="3"/>
    </row>
    <row r="341" spans="1:26" ht="21" hidden="1" customHeight="1">
      <c r="A341" s="785">
        <v>90443</v>
      </c>
      <c r="B341" s="793" t="s">
        <v>1075</v>
      </c>
      <c r="C341" s="785" t="s">
        <v>13</v>
      </c>
      <c r="D341" s="9">
        <v>10010599</v>
      </c>
      <c r="E341" s="5">
        <v>0.68</v>
      </c>
      <c r="F341" s="5" t="s">
        <v>8</v>
      </c>
      <c r="G341" s="5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3"/>
      <c r="V341" s="3"/>
      <c r="W341" s="3"/>
      <c r="X341" s="3"/>
      <c r="Y341" s="3"/>
      <c r="Z341" s="3"/>
    </row>
    <row r="342" spans="1:26" ht="21" hidden="1" customHeight="1">
      <c r="A342" s="785">
        <v>90444</v>
      </c>
      <c r="B342" s="793" t="s">
        <v>1076</v>
      </c>
      <c r="C342" s="785" t="s">
        <v>10</v>
      </c>
      <c r="D342" s="9"/>
      <c r="E342" s="5"/>
      <c r="F342" s="5"/>
      <c r="G342" s="5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3"/>
      <c r="V342" s="3"/>
      <c r="W342" s="3"/>
      <c r="X342" s="3"/>
      <c r="Y342" s="3"/>
      <c r="Z342" s="3"/>
    </row>
    <row r="343" spans="1:26" ht="21" hidden="1" customHeight="1">
      <c r="A343" s="804">
        <v>3403</v>
      </c>
      <c r="B343" s="845" t="s">
        <v>76</v>
      </c>
      <c r="C343" s="813" t="s">
        <v>962</v>
      </c>
      <c r="D343" s="9">
        <v>10010614</v>
      </c>
      <c r="E343" s="5">
        <v>0.2</v>
      </c>
      <c r="F343" s="5" t="s">
        <v>8</v>
      </c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3"/>
      <c r="V343" s="3"/>
      <c r="W343" s="3"/>
      <c r="X343" s="3"/>
      <c r="Y343" s="3"/>
      <c r="Z343" s="3"/>
    </row>
    <row r="344" spans="1:26" ht="21" hidden="1" customHeight="1">
      <c r="A344" s="785">
        <v>3011</v>
      </c>
      <c r="B344" s="793" t="s">
        <v>1130</v>
      </c>
      <c r="C344" s="785" t="s">
        <v>10</v>
      </c>
      <c r="D344" s="9">
        <v>10002887</v>
      </c>
      <c r="E344" s="5">
        <v>0.2</v>
      </c>
      <c r="F344" s="5" t="s">
        <v>8</v>
      </c>
      <c r="G344" s="5" t="s">
        <v>9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3"/>
      <c r="V344" s="3"/>
      <c r="W344" s="3"/>
      <c r="X344" s="3"/>
      <c r="Y344" s="3"/>
      <c r="Z344" s="3"/>
    </row>
    <row r="345" spans="1:26" ht="21" hidden="1" customHeight="1">
      <c r="A345" s="804">
        <v>90446</v>
      </c>
      <c r="B345" s="845" t="s">
        <v>6</v>
      </c>
      <c r="C345" s="813" t="s">
        <v>962</v>
      </c>
      <c r="D345" s="9">
        <v>10002892</v>
      </c>
      <c r="E345" s="5">
        <v>0.5</v>
      </c>
      <c r="F345" s="5" t="s">
        <v>8</v>
      </c>
      <c r="G345" s="5" t="s">
        <v>9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3"/>
      <c r="V345" s="3"/>
      <c r="W345" s="3"/>
      <c r="X345" s="3"/>
      <c r="Y345" s="3"/>
      <c r="Z345" s="3"/>
    </row>
    <row r="346" spans="1:26" ht="21" hidden="1" customHeight="1">
      <c r="A346" s="785">
        <v>90446</v>
      </c>
      <c r="B346" s="793" t="s">
        <v>6</v>
      </c>
      <c r="C346" s="785" t="s">
        <v>13</v>
      </c>
      <c r="D346" s="9">
        <v>10002912</v>
      </c>
      <c r="E346" s="5">
        <v>0.23</v>
      </c>
      <c r="F346" s="5" t="s">
        <v>8</v>
      </c>
      <c r="G346" s="5" t="s">
        <v>9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3"/>
      <c r="V346" s="3"/>
      <c r="W346" s="3"/>
      <c r="X346" s="3"/>
      <c r="Y346" s="3"/>
      <c r="Z346" s="3"/>
    </row>
    <row r="347" spans="1:26" ht="21" hidden="1" customHeight="1">
      <c r="A347" s="804">
        <v>2955</v>
      </c>
      <c r="B347" s="845" t="s">
        <v>49</v>
      </c>
      <c r="C347" s="813" t="s">
        <v>13</v>
      </c>
      <c r="D347" s="9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3"/>
      <c r="V347" s="3"/>
      <c r="W347" s="3"/>
      <c r="X347" s="3"/>
      <c r="Y347" s="3"/>
      <c r="Z347" s="3"/>
    </row>
    <row r="348" spans="1:26" ht="21" hidden="1" customHeight="1">
      <c r="A348" s="804">
        <v>4097</v>
      </c>
      <c r="B348" s="845" t="s">
        <v>750</v>
      </c>
      <c r="C348" s="813" t="s">
        <v>962</v>
      </c>
      <c r="D348" s="9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3"/>
      <c r="V348" s="3"/>
      <c r="W348" s="3"/>
      <c r="X348" s="3"/>
      <c r="Y348" s="3"/>
      <c r="Z348" s="3"/>
    </row>
    <row r="349" spans="1:26" ht="21" hidden="1" customHeight="1">
      <c r="A349" s="804">
        <v>3853</v>
      </c>
      <c r="B349" s="845" t="s">
        <v>747</v>
      </c>
      <c r="C349" s="813" t="s">
        <v>962</v>
      </c>
      <c r="D349" s="9">
        <v>10002893</v>
      </c>
      <c r="E349" s="5">
        <v>0.13</v>
      </c>
      <c r="F349" s="5" t="s">
        <v>8</v>
      </c>
      <c r="G349" s="5" t="s">
        <v>9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3"/>
      <c r="V349" s="3"/>
      <c r="W349" s="3"/>
      <c r="X349" s="3"/>
      <c r="Y349" s="3"/>
      <c r="Z349" s="3"/>
    </row>
    <row r="350" spans="1:26" ht="21" hidden="1" customHeight="1">
      <c r="A350" s="804">
        <v>3082</v>
      </c>
      <c r="B350" s="845" t="s">
        <v>50</v>
      </c>
      <c r="C350" s="813" t="s">
        <v>962</v>
      </c>
      <c r="D350" s="9">
        <v>10002894</v>
      </c>
      <c r="E350" s="5">
        <v>2.9</v>
      </c>
      <c r="F350" s="5" t="s">
        <v>8</v>
      </c>
      <c r="G350" s="5" t="s">
        <v>9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1" hidden="1" customHeight="1">
      <c r="A351" s="804">
        <v>3081</v>
      </c>
      <c r="B351" s="845" t="s">
        <v>51</v>
      </c>
      <c r="C351" s="813" t="s">
        <v>962</v>
      </c>
      <c r="D351" s="9">
        <v>10002903</v>
      </c>
      <c r="E351" s="5">
        <v>0.3</v>
      </c>
      <c r="F351" s="5" t="s">
        <v>8</v>
      </c>
      <c r="G351" s="5" t="s">
        <v>9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1" hidden="1" customHeight="1">
      <c r="A352" s="785">
        <v>3081</v>
      </c>
      <c r="B352" s="793" t="s">
        <v>51</v>
      </c>
      <c r="C352" s="785" t="s">
        <v>10</v>
      </c>
      <c r="D352" s="9">
        <v>10002914</v>
      </c>
      <c r="E352" s="5">
        <v>0.41</v>
      </c>
      <c r="F352" s="5" t="s">
        <v>8</v>
      </c>
      <c r="G352" s="5" t="s">
        <v>9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1" hidden="1" customHeight="1">
      <c r="A353" s="804">
        <v>90374</v>
      </c>
      <c r="B353" s="791" t="s">
        <v>682</v>
      </c>
      <c r="C353" s="813" t="s">
        <v>10</v>
      </c>
      <c r="D353" s="9">
        <v>10002895</v>
      </c>
      <c r="E353" s="5">
        <v>4</v>
      </c>
      <c r="F353" s="5" t="s">
        <v>8</v>
      </c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1" hidden="1" customHeight="1">
      <c r="A354" s="785">
        <v>90374</v>
      </c>
      <c r="B354" s="793" t="s">
        <v>682</v>
      </c>
      <c r="C354" s="785" t="s">
        <v>13</v>
      </c>
      <c r="D354" s="9">
        <v>10002904</v>
      </c>
      <c r="E354" s="5">
        <v>0.5</v>
      </c>
      <c r="F354" s="5" t="s">
        <v>8</v>
      </c>
      <c r="G354" s="5" t="s">
        <v>9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1" hidden="1" customHeight="1">
      <c r="A355" s="785">
        <v>90372</v>
      </c>
      <c r="B355" s="793" t="s">
        <v>1077</v>
      </c>
      <c r="C355" s="785" t="s">
        <v>13</v>
      </c>
      <c r="D355" s="9">
        <v>10002915</v>
      </c>
      <c r="E355" s="5">
        <v>2.2000000000000002</v>
      </c>
      <c r="F355" s="5" t="s">
        <v>8</v>
      </c>
      <c r="G355" s="5" t="s">
        <v>9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1" hidden="1" customHeight="1">
      <c r="A356" s="804">
        <v>90373</v>
      </c>
      <c r="B356" s="791" t="s">
        <v>681</v>
      </c>
      <c r="C356" s="813" t="s">
        <v>10</v>
      </c>
      <c r="D356" s="9">
        <v>10002905</v>
      </c>
      <c r="E356" s="5"/>
      <c r="F356" s="5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1" hidden="1" customHeight="1">
      <c r="A357" s="785">
        <v>90373</v>
      </c>
      <c r="B357" s="793" t="s">
        <v>681</v>
      </c>
      <c r="C357" s="785" t="s">
        <v>13</v>
      </c>
      <c r="D357" s="9">
        <v>10002930</v>
      </c>
      <c r="E357" s="5">
        <v>1</v>
      </c>
      <c r="F357" s="5" t="s">
        <v>8</v>
      </c>
      <c r="G357" s="5" t="s">
        <v>9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1" hidden="1" customHeight="1">
      <c r="A358" s="804">
        <v>90359</v>
      </c>
      <c r="B358" s="791" t="s">
        <v>673</v>
      </c>
      <c r="C358" s="813" t="s">
        <v>10</v>
      </c>
      <c r="D358" s="9">
        <v>10003024</v>
      </c>
      <c r="E358" s="5">
        <v>1</v>
      </c>
      <c r="F358" s="5" t="s">
        <v>8</v>
      </c>
      <c r="G358" s="1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1" hidden="1" customHeight="1">
      <c r="A359" s="785">
        <v>90359</v>
      </c>
      <c r="B359" s="793" t="s">
        <v>673</v>
      </c>
      <c r="C359" s="785" t="s">
        <v>13</v>
      </c>
      <c r="D359" s="9">
        <v>10003077</v>
      </c>
      <c r="E359" s="5">
        <v>1</v>
      </c>
      <c r="F359" s="5" t="s">
        <v>8</v>
      </c>
      <c r="G359" s="5" t="s">
        <v>9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1" hidden="1" customHeight="1">
      <c r="A360" s="804">
        <v>90360</v>
      </c>
      <c r="B360" s="791" t="s">
        <v>674</v>
      </c>
      <c r="C360" s="813" t="s">
        <v>10</v>
      </c>
      <c r="D360" s="9">
        <v>10002902</v>
      </c>
      <c r="E360" s="5">
        <v>0.6</v>
      </c>
      <c r="F360" s="5" t="s">
        <v>8</v>
      </c>
      <c r="G360" s="5" t="s">
        <v>9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1" hidden="1" customHeight="1">
      <c r="A361" s="785">
        <v>90360</v>
      </c>
      <c r="B361" s="793" t="s">
        <v>674</v>
      </c>
      <c r="C361" s="785" t="s">
        <v>13</v>
      </c>
      <c r="D361" s="9">
        <v>10002889</v>
      </c>
      <c r="E361" s="5">
        <v>1.1200000000000001</v>
      </c>
      <c r="F361" s="5" t="s">
        <v>8</v>
      </c>
      <c r="G361" s="5" t="s">
        <v>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1" hidden="1" customHeight="1">
      <c r="A362" s="804">
        <v>90361</v>
      </c>
      <c r="B362" s="791" t="s">
        <v>675</v>
      </c>
      <c r="C362" s="813" t="s">
        <v>10</v>
      </c>
      <c r="D362" s="9">
        <v>10002976</v>
      </c>
      <c r="E362" s="5">
        <v>1</v>
      </c>
      <c r="F362" s="5" t="s">
        <v>8</v>
      </c>
      <c r="G362" s="5" t="s">
        <v>19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1" hidden="1" customHeight="1">
      <c r="A363" s="785">
        <v>90361</v>
      </c>
      <c r="B363" s="793" t="s">
        <v>675</v>
      </c>
      <c r="C363" s="785" t="s">
        <v>13</v>
      </c>
      <c r="D363" s="9">
        <v>10002977</v>
      </c>
      <c r="E363" s="5">
        <v>1</v>
      </c>
      <c r="F363" s="5" t="s">
        <v>8</v>
      </c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1" hidden="1" customHeight="1">
      <c r="A364" s="804">
        <v>90362</v>
      </c>
      <c r="B364" s="791" t="s">
        <v>676</v>
      </c>
      <c r="C364" s="813" t="s">
        <v>10</v>
      </c>
      <c r="D364" s="9">
        <v>10003027</v>
      </c>
      <c r="E364" s="5">
        <v>1</v>
      </c>
      <c r="F364" s="5" t="s">
        <v>8</v>
      </c>
      <c r="G364" s="5" t="s">
        <v>9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1" hidden="1" customHeight="1">
      <c r="A365" s="785">
        <v>90362</v>
      </c>
      <c r="B365" s="793" t="s">
        <v>676</v>
      </c>
      <c r="C365" s="785" t="s">
        <v>13</v>
      </c>
      <c r="D365" s="9">
        <v>10003083</v>
      </c>
      <c r="E365" s="5">
        <v>1</v>
      </c>
      <c r="F365" s="5" t="s">
        <v>8</v>
      </c>
      <c r="G365" s="5" t="s">
        <v>9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1" hidden="1" customHeight="1">
      <c r="A366" s="804">
        <v>90363</v>
      </c>
      <c r="B366" s="791" t="s">
        <v>677</v>
      </c>
      <c r="C366" s="813" t="s">
        <v>10</v>
      </c>
      <c r="D366" s="9">
        <v>10002982</v>
      </c>
      <c r="E366" s="5">
        <v>0.02</v>
      </c>
      <c r="F366" s="5" t="s">
        <v>8</v>
      </c>
      <c r="G366" s="5" t="s">
        <v>9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1" hidden="1" customHeight="1">
      <c r="A367" s="785">
        <v>90363</v>
      </c>
      <c r="B367" s="793" t="s">
        <v>677</v>
      </c>
      <c r="C367" s="785" t="s">
        <v>13</v>
      </c>
      <c r="D367" s="9">
        <v>10002983</v>
      </c>
      <c r="E367" s="5">
        <v>1.7999999999999999E-2</v>
      </c>
      <c r="F367" s="5" t="s">
        <v>8</v>
      </c>
      <c r="G367" s="5" t="s">
        <v>9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1" hidden="1" customHeight="1">
      <c r="A368" s="804">
        <v>90364</v>
      </c>
      <c r="B368" s="791" t="s">
        <v>678</v>
      </c>
      <c r="C368" s="813" t="s">
        <v>10</v>
      </c>
      <c r="D368" s="9">
        <v>10003022</v>
      </c>
      <c r="E368" s="5">
        <v>0.5</v>
      </c>
      <c r="F368" s="5" t="s">
        <v>8</v>
      </c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1" hidden="1" customHeight="1">
      <c r="A369" s="785">
        <v>90364</v>
      </c>
      <c r="B369" s="793" t="s">
        <v>678</v>
      </c>
      <c r="C369" s="785" t="s">
        <v>13</v>
      </c>
      <c r="D369" s="9">
        <v>10002987</v>
      </c>
      <c r="E369" s="5">
        <v>1</v>
      </c>
      <c r="F369" s="5" t="s">
        <v>8</v>
      </c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1" hidden="1" customHeight="1">
      <c r="A370" s="804">
        <v>90365</v>
      </c>
      <c r="B370" s="791" t="s">
        <v>973</v>
      </c>
      <c r="C370" s="813" t="s">
        <v>10</v>
      </c>
      <c r="D370" s="9">
        <v>10003028</v>
      </c>
      <c r="E370" s="5">
        <v>1</v>
      </c>
      <c r="F370" s="5" t="s">
        <v>8</v>
      </c>
      <c r="G370" s="5" t="s">
        <v>9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1" hidden="1" customHeight="1">
      <c r="A371" s="785">
        <v>90365</v>
      </c>
      <c r="B371" s="793" t="s">
        <v>973</v>
      </c>
      <c r="C371" s="785" t="s">
        <v>13</v>
      </c>
      <c r="D371" s="9">
        <v>10002989</v>
      </c>
      <c r="E371" s="5">
        <v>1</v>
      </c>
      <c r="F371" s="5" t="s">
        <v>8</v>
      </c>
      <c r="G371" s="5" t="s">
        <v>20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1" hidden="1" customHeight="1">
      <c r="A372" s="804">
        <v>90366</v>
      </c>
      <c r="B372" s="791" t="s">
        <v>679</v>
      </c>
      <c r="C372" s="813" t="s">
        <v>10</v>
      </c>
      <c r="D372" s="9">
        <v>10002913</v>
      </c>
      <c r="E372" s="5">
        <v>0.25</v>
      </c>
      <c r="F372" s="5" t="s">
        <v>8</v>
      </c>
      <c r="G372" s="5" t="s">
        <v>9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1" hidden="1" customHeight="1">
      <c r="A373" s="785">
        <v>90366</v>
      </c>
      <c r="B373" s="793" t="s">
        <v>679</v>
      </c>
      <c r="C373" s="785" t="s">
        <v>13</v>
      </c>
      <c r="D373" s="9"/>
      <c r="E373" s="5"/>
      <c r="F373" s="5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1" hidden="1" customHeight="1">
      <c r="A374" s="804">
        <v>90367</v>
      </c>
      <c r="B374" s="791" t="s">
        <v>680</v>
      </c>
      <c r="C374" s="813" t="s">
        <v>10</v>
      </c>
      <c r="D374" s="9">
        <v>10002991</v>
      </c>
      <c r="E374" s="5">
        <v>1</v>
      </c>
      <c r="F374" s="5" t="s">
        <v>8</v>
      </c>
      <c r="G374" s="5" t="s">
        <v>9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1" hidden="1" customHeight="1">
      <c r="A375" s="804">
        <v>3013</v>
      </c>
      <c r="B375" s="845" t="s">
        <v>52</v>
      </c>
      <c r="C375" s="813" t="s">
        <v>13</v>
      </c>
      <c r="D375" s="9">
        <v>10001440</v>
      </c>
      <c r="E375" s="5">
        <v>1</v>
      </c>
      <c r="F375" s="5" t="s">
        <v>8</v>
      </c>
      <c r="G375" s="5" t="s">
        <v>9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3"/>
      <c r="V375" s="3"/>
      <c r="W375" s="3"/>
      <c r="X375" s="3"/>
      <c r="Y375" s="3"/>
      <c r="Z375" s="3"/>
    </row>
    <row r="376" spans="1:26" ht="21" hidden="1" customHeight="1">
      <c r="A376" s="785">
        <v>3013</v>
      </c>
      <c r="B376" s="793" t="s">
        <v>52</v>
      </c>
      <c r="C376" s="785" t="s">
        <v>10</v>
      </c>
      <c r="D376" s="9">
        <v>10009197</v>
      </c>
      <c r="E376" s="5">
        <v>1</v>
      </c>
      <c r="F376" s="5" t="s">
        <v>8</v>
      </c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3"/>
      <c r="V376" s="3"/>
      <c r="W376" s="3"/>
      <c r="X376" s="3"/>
      <c r="Y376" s="3"/>
      <c r="Z376" s="3"/>
    </row>
    <row r="377" spans="1:26" ht="21" hidden="1" customHeight="1">
      <c r="A377" s="840">
        <v>3014</v>
      </c>
      <c r="B377" s="845" t="s">
        <v>53</v>
      </c>
      <c r="C377" s="813" t="s">
        <v>13</v>
      </c>
      <c r="D377" s="9">
        <v>10006830</v>
      </c>
      <c r="E377" s="5">
        <v>2.9</v>
      </c>
      <c r="F377" s="5" t="s">
        <v>8</v>
      </c>
      <c r="G377" s="5" t="s">
        <v>9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3"/>
      <c r="V377" s="3"/>
      <c r="W377" s="3"/>
      <c r="X377" s="3"/>
      <c r="Y377" s="3"/>
      <c r="Z377" s="3"/>
    </row>
    <row r="378" spans="1:26" ht="21" hidden="1" customHeight="1">
      <c r="A378" s="785">
        <v>3014</v>
      </c>
      <c r="B378" s="793" t="s">
        <v>53</v>
      </c>
      <c r="C378" s="785" t="s">
        <v>10</v>
      </c>
      <c r="D378" s="9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3"/>
      <c r="V378" s="3"/>
      <c r="W378" s="3"/>
      <c r="X378" s="3"/>
      <c r="Y378" s="3"/>
      <c r="Z378" s="3"/>
    </row>
    <row r="379" spans="1:26" ht="21" hidden="1" customHeight="1">
      <c r="A379" s="804">
        <v>3015</v>
      </c>
      <c r="B379" s="845" t="s">
        <v>54</v>
      </c>
      <c r="C379" s="813" t="s">
        <v>13</v>
      </c>
      <c r="D379" s="9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3"/>
      <c r="V379" s="3"/>
      <c r="W379" s="3"/>
      <c r="X379" s="3"/>
      <c r="Y379" s="3"/>
      <c r="Z379" s="3"/>
    </row>
    <row r="380" spans="1:26" ht="21" hidden="1" customHeight="1">
      <c r="A380" s="785">
        <v>3015</v>
      </c>
      <c r="B380" s="793" t="s">
        <v>54</v>
      </c>
      <c r="C380" s="785" t="s">
        <v>10</v>
      </c>
      <c r="D380" s="9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3"/>
      <c r="V380" s="3"/>
      <c r="W380" s="3"/>
      <c r="X380" s="3"/>
      <c r="Y380" s="3"/>
      <c r="Z380" s="3"/>
    </row>
    <row r="381" spans="1:26" ht="21" hidden="1" customHeight="1">
      <c r="A381" s="785">
        <v>3016</v>
      </c>
      <c r="B381" s="793" t="s">
        <v>1078</v>
      </c>
      <c r="C381" s="785" t="s">
        <v>10</v>
      </c>
      <c r="D381" s="9">
        <v>10001822</v>
      </c>
      <c r="E381" s="5">
        <v>1</v>
      </c>
      <c r="F381" s="5" t="s">
        <v>8</v>
      </c>
      <c r="G381" s="5" t="s">
        <v>9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3"/>
      <c r="V381" s="3"/>
      <c r="W381" s="3"/>
      <c r="X381" s="3"/>
      <c r="Y381" s="3"/>
      <c r="Z381" s="3"/>
    </row>
    <row r="382" spans="1:26" ht="21" hidden="1" customHeight="1">
      <c r="A382" s="804">
        <v>3017</v>
      </c>
      <c r="B382" s="845" t="s">
        <v>55</v>
      </c>
      <c r="C382" s="813" t="s">
        <v>13</v>
      </c>
      <c r="D382" s="9">
        <v>10005792</v>
      </c>
      <c r="E382" s="5">
        <v>0.1</v>
      </c>
      <c r="F382" s="5" t="s">
        <v>8</v>
      </c>
      <c r="G382" s="5" t="s">
        <v>9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3"/>
      <c r="V382" s="3"/>
      <c r="W382" s="3"/>
      <c r="X382" s="3"/>
      <c r="Y382" s="3"/>
      <c r="Z382" s="3"/>
    </row>
    <row r="383" spans="1:26" ht="21" hidden="1" customHeight="1">
      <c r="A383" s="785">
        <v>90379</v>
      </c>
      <c r="B383" s="793" t="s">
        <v>1079</v>
      </c>
      <c r="C383" s="785" t="s">
        <v>13</v>
      </c>
      <c r="D383" s="9">
        <v>10005794</v>
      </c>
      <c r="E383" s="5">
        <v>0.01</v>
      </c>
      <c r="F383" s="5" t="s">
        <v>8</v>
      </c>
      <c r="G383" s="5" t="s">
        <v>9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3"/>
      <c r="V383" s="3"/>
      <c r="W383" s="3"/>
      <c r="X383" s="3"/>
      <c r="Y383" s="3"/>
      <c r="Z383" s="3"/>
    </row>
    <row r="384" spans="1:26" ht="21" hidden="1" customHeight="1">
      <c r="A384" s="804">
        <v>90380</v>
      </c>
      <c r="B384" s="791" t="s">
        <v>683</v>
      </c>
      <c r="C384" s="814" t="s">
        <v>10</v>
      </c>
      <c r="D384" s="9">
        <v>10010782</v>
      </c>
      <c r="E384" s="5">
        <v>0.2</v>
      </c>
      <c r="F384" s="5" t="s">
        <v>8</v>
      </c>
      <c r="G384" s="5" t="s">
        <v>9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3"/>
      <c r="V384" s="3"/>
      <c r="W384" s="3"/>
      <c r="X384" s="3"/>
      <c r="Y384" s="3"/>
      <c r="Z384" s="3"/>
    </row>
    <row r="385" spans="1:26" ht="21" hidden="1" customHeight="1">
      <c r="A385" s="785">
        <v>90380</v>
      </c>
      <c r="B385" s="793" t="s">
        <v>683</v>
      </c>
      <c r="C385" s="785" t="s">
        <v>13</v>
      </c>
      <c r="D385" s="9">
        <v>10003285</v>
      </c>
      <c r="E385" s="5">
        <v>3.21</v>
      </c>
      <c r="F385" s="5" t="s">
        <v>8</v>
      </c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3"/>
      <c r="V385" s="3"/>
      <c r="W385" s="3"/>
      <c r="X385" s="3"/>
      <c r="Y385" s="3"/>
      <c r="Z385" s="3"/>
    </row>
    <row r="386" spans="1:26" ht="21" hidden="1" customHeight="1">
      <c r="A386" s="804">
        <v>90382</v>
      </c>
      <c r="B386" s="791" t="s">
        <v>684</v>
      </c>
      <c r="C386" s="814" t="s">
        <v>10</v>
      </c>
      <c r="D386" s="9">
        <v>10007361</v>
      </c>
      <c r="E386" s="5">
        <v>4.4000000000000004</v>
      </c>
      <c r="F386" s="5" t="s">
        <v>8</v>
      </c>
      <c r="G386" s="5" t="s">
        <v>9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3"/>
      <c r="V386" s="3"/>
      <c r="W386" s="3"/>
      <c r="X386" s="3"/>
      <c r="Y386" s="3"/>
      <c r="Z386" s="3"/>
    </row>
    <row r="387" spans="1:26" ht="21" hidden="1" customHeight="1">
      <c r="A387" s="785">
        <v>90382</v>
      </c>
      <c r="B387" s="793" t="s">
        <v>684</v>
      </c>
      <c r="C387" s="785" t="s">
        <v>13</v>
      </c>
      <c r="D387" s="771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772"/>
      <c r="V387" s="772"/>
      <c r="W387" s="772"/>
      <c r="X387" s="772"/>
      <c r="Y387" s="772"/>
      <c r="Z387" s="772"/>
    </row>
    <row r="388" spans="1:26" ht="21" hidden="1" customHeight="1">
      <c r="A388" s="804">
        <v>90381</v>
      </c>
      <c r="B388" s="791" t="s">
        <v>982</v>
      </c>
      <c r="C388" s="814" t="s">
        <v>10</v>
      </c>
      <c r="D388" s="12"/>
      <c r="E388" s="10"/>
      <c r="F388" s="10"/>
      <c r="G388" s="10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3"/>
      <c r="V388" s="3"/>
      <c r="W388" s="3"/>
      <c r="X388" s="3"/>
      <c r="Y388" s="3"/>
      <c r="Z388" s="3"/>
    </row>
    <row r="389" spans="1:26" ht="21" hidden="1" customHeight="1">
      <c r="A389" s="804">
        <v>250</v>
      </c>
      <c r="B389" s="791" t="s">
        <v>56</v>
      </c>
      <c r="C389" s="813" t="s">
        <v>10</v>
      </c>
      <c r="D389" s="9">
        <v>10010783</v>
      </c>
      <c r="E389" s="5">
        <v>3.2650000000000001</v>
      </c>
      <c r="F389" s="5" t="s">
        <v>8</v>
      </c>
      <c r="G389" s="5" t="s">
        <v>9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1" hidden="1" customHeight="1">
      <c r="A390" s="804">
        <v>4318</v>
      </c>
      <c r="B390" s="845" t="s">
        <v>604</v>
      </c>
      <c r="C390" s="813" t="s">
        <v>962</v>
      </c>
      <c r="D390" s="9">
        <v>10001302</v>
      </c>
      <c r="E390" s="5">
        <v>4.8600000000000003</v>
      </c>
      <c r="F390" s="5" t="s">
        <v>8</v>
      </c>
      <c r="G390" s="5" t="s">
        <v>9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1" hidden="1" customHeight="1">
      <c r="A391" s="785">
        <v>4097</v>
      </c>
      <c r="B391" s="793" t="s">
        <v>1080</v>
      </c>
      <c r="C391" s="785" t="s">
        <v>10</v>
      </c>
      <c r="D391" s="9">
        <v>10001303</v>
      </c>
      <c r="E391" s="5">
        <v>4.12</v>
      </c>
      <c r="F391" s="5" t="s">
        <v>8</v>
      </c>
      <c r="G391" s="5" t="s">
        <v>9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3"/>
      <c r="V391" s="3"/>
      <c r="W391" s="3"/>
      <c r="X391" s="3"/>
      <c r="Y391" s="3"/>
      <c r="Z391" s="3"/>
    </row>
    <row r="392" spans="1:26" ht="21" hidden="1" customHeight="1">
      <c r="A392" s="785">
        <v>3853</v>
      </c>
      <c r="B392" s="793" t="s">
        <v>1081</v>
      </c>
      <c r="C392" s="785" t="s">
        <v>10</v>
      </c>
      <c r="D392" s="9">
        <v>10005796</v>
      </c>
      <c r="E392" s="5">
        <v>0.45</v>
      </c>
      <c r="F392" s="5" t="s">
        <v>8</v>
      </c>
      <c r="G392" s="5" t="s">
        <v>19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3"/>
      <c r="V392" s="3"/>
      <c r="W392" s="3"/>
      <c r="X392" s="3"/>
      <c r="Y392" s="3"/>
      <c r="Z392" s="3"/>
    </row>
    <row r="393" spans="1:26" ht="21" hidden="1" customHeight="1">
      <c r="A393" s="804">
        <v>3346</v>
      </c>
      <c r="B393" s="791" t="s">
        <v>974</v>
      </c>
      <c r="C393" s="813" t="s">
        <v>962</v>
      </c>
      <c r="D393" s="12"/>
      <c r="E393" s="10"/>
      <c r="F393" s="10"/>
      <c r="G393" s="10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3"/>
      <c r="V393" s="3"/>
      <c r="W393" s="3"/>
      <c r="X393" s="3"/>
      <c r="Y393" s="3"/>
      <c r="Z393" s="3"/>
    </row>
    <row r="394" spans="1:26" ht="21" hidden="1" customHeight="1">
      <c r="A394" s="804">
        <v>3346</v>
      </c>
      <c r="B394" s="791" t="s">
        <v>974</v>
      </c>
      <c r="C394" s="813" t="s">
        <v>962</v>
      </c>
      <c r="D394" s="12"/>
      <c r="E394" s="10"/>
      <c r="F394" s="10"/>
      <c r="G394" s="10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3"/>
      <c r="V394" s="3"/>
      <c r="W394" s="3"/>
      <c r="X394" s="3"/>
      <c r="Y394" s="3"/>
      <c r="Z394" s="3"/>
    </row>
    <row r="395" spans="1:26" ht="21" hidden="1" customHeight="1">
      <c r="A395" s="785">
        <v>90618</v>
      </c>
      <c r="B395" s="793" t="s">
        <v>1082</v>
      </c>
      <c r="C395" s="785" t="s">
        <v>13</v>
      </c>
      <c r="D395" s="12"/>
      <c r="E395" s="10"/>
      <c r="F395" s="10"/>
      <c r="G395" s="10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3"/>
      <c r="V395" s="3"/>
      <c r="W395" s="3"/>
      <c r="X395" s="3"/>
      <c r="Y395" s="3"/>
      <c r="Z395" s="3"/>
    </row>
    <row r="396" spans="1:26" ht="21" hidden="1" customHeight="1">
      <c r="A396" s="804">
        <v>90207</v>
      </c>
      <c r="B396" s="791" t="s">
        <v>622</v>
      </c>
      <c r="C396" s="813" t="s">
        <v>10</v>
      </c>
      <c r="D396" s="9">
        <v>10007363</v>
      </c>
      <c r="E396" s="5">
        <v>3.5</v>
      </c>
      <c r="F396" s="5" t="s">
        <v>8</v>
      </c>
      <c r="G396" s="5" t="s">
        <v>20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1" hidden="1" customHeight="1">
      <c r="A397" s="785">
        <v>90207</v>
      </c>
      <c r="B397" s="793" t="s">
        <v>622</v>
      </c>
      <c r="C397" s="785" t="s">
        <v>13</v>
      </c>
      <c r="D397" s="9"/>
      <c r="E397" s="5"/>
      <c r="F397" s="5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1" hidden="1" customHeight="1">
      <c r="A398" s="785">
        <v>90210</v>
      </c>
      <c r="B398" s="793" t="s">
        <v>1083</v>
      </c>
      <c r="C398" s="785" t="s">
        <v>13</v>
      </c>
      <c r="D398" s="771"/>
      <c r="E398" s="5"/>
      <c r="F398" s="5"/>
      <c r="G398" s="5"/>
      <c r="H398" s="772"/>
      <c r="I398" s="772"/>
      <c r="J398" s="772"/>
      <c r="K398" s="772"/>
      <c r="L398" s="772"/>
      <c r="M398" s="772"/>
      <c r="N398" s="772"/>
      <c r="O398" s="772"/>
      <c r="P398" s="772"/>
      <c r="Q398" s="772"/>
      <c r="R398" s="772"/>
      <c r="S398" s="772"/>
      <c r="T398" s="772"/>
      <c r="U398" s="772"/>
      <c r="V398" s="772"/>
      <c r="W398" s="772"/>
      <c r="X398" s="772"/>
      <c r="Y398" s="772"/>
      <c r="Z398" s="772"/>
    </row>
    <row r="399" spans="1:26" ht="21" hidden="1" customHeight="1">
      <c r="A399" s="804">
        <v>90210</v>
      </c>
      <c r="B399" s="791" t="s">
        <v>623</v>
      </c>
      <c r="C399" s="814" t="s">
        <v>10</v>
      </c>
      <c r="D399" s="9"/>
      <c r="E399" s="5"/>
      <c r="F399" s="5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1" hidden="1" customHeight="1">
      <c r="A400" s="804">
        <v>90618</v>
      </c>
      <c r="B400" s="791" t="s">
        <v>623</v>
      </c>
      <c r="C400" s="814" t="s">
        <v>10</v>
      </c>
      <c r="D400" s="9">
        <v>10007364</v>
      </c>
      <c r="E400" s="5">
        <v>3.42</v>
      </c>
      <c r="F400" s="5" t="s">
        <v>8</v>
      </c>
      <c r="G400" s="5" t="s">
        <v>20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1" hidden="1" customHeight="1">
      <c r="A401" s="785">
        <v>90212</v>
      </c>
      <c r="B401" s="793" t="s">
        <v>1084</v>
      </c>
      <c r="C401" s="785" t="s">
        <v>13</v>
      </c>
      <c r="D401" s="9">
        <v>10010820</v>
      </c>
      <c r="E401" s="5"/>
      <c r="F401" s="5"/>
      <c r="G401" s="5" t="s">
        <v>20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1" hidden="1" customHeight="1">
      <c r="A402" s="804">
        <v>90212</v>
      </c>
      <c r="B402" s="845" t="s">
        <v>624</v>
      </c>
      <c r="C402" s="813" t="s">
        <v>13</v>
      </c>
      <c r="D402" s="9"/>
      <c r="E402" s="5"/>
      <c r="F402" s="5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1" hidden="1" customHeight="1">
      <c r="A403" s="804">
        <v>3446</v>
      </c>
      <c r="B403" s="791" t="s">
        <v>981</v>
      </c>
      <c r="C403" s="813" t="s">
        <v>962</v>
      </c>
      <c r="D403" s="9">
        <v>10007452</v>
      </c>
      <c r="E403" s="5">
        <v>3.7</v>
      </c>
      <c r="F403" s="5" t="s">
        <v>8</v>
      </c>
      <c r="G403" s="5" t="s">
        <v>20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1" hidden="1" customHeight="1">
      <c r="A404" s="804">
        <v>90447</v>
      </c>
      <c r="B404" s="791" t="s">
        <v>697</v>
      </c>
      <c r="C404" s="813" t="s">
        <v>10</v>
      </c>
      <c r="D404" s="9">
        <v>10007372</v>
      </c>
      <c r="E404" s="5">
        <v>3.4</v>
      </c>
      <c r="F404" s="5" t="s">
        <v>8</v>
      </c>
      <c r="G404" s="5" t="s">
        <v>9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1" hidden="1" customHeight="1">
      <c r="A405" s="785">
        <v>90447</v>
      </c>
      <c r="B405" s="793" t="s">
        <v>697</v>
      </c>
      <c r="C405" s="785" t="s">
        <v>13</v>
      </c>
      <c r="D405" s="9">
        <v>10010822</v>
      </c>
      <c r="E405" s="5">
        <v>7.77</v>
      </c>
      <c r="F405" s="5" t="s">
        <v>8</v>
      </c>
      <c r="G405" s="5" t="s">
        <v>20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3"/>
      <c r="V405" s="3"/>
      <c r="W405" s="3"/>
      <c r="X405" s="3"/>
      <c r="Y405" s="3"/>
      <c r="Z405" s="3"/>
    </row>
    <row r="406" spans="1:26" ht="21" hidden="1" customHeight="1">
      <c r="A406" s="804">
        <v>90251</v>
      </c>
      <c r="B406" s="845" t="s">
        <v>643</v>
      </c>
      <c r="C406" s="813" t="s">
        <v>13</v>
      </c>
      <c r="D406" s="9">
        <v>10007399</v>
      </c>
      <c r="E406" s="5">
        <v>6.05</v>
      </c>
      <c r="F406" s="5" t="s">
        <v>8</v>
      </c>
      <c r="G406" s="5" t="s">
        <v>9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3"/>
      <c r="V406" s="3"/>
      <c r="W406" s="3"/>
      <c r="X406" s="3"/>
      <c r="Y406" s="3"/>
      <c r="Z406" s="3"/>
    </row>
    <row r="407" spans="1:26" ht="21" hidden="1" customHeight="1">
      <c r="A407" s="804">
        <v>90621</v>
      </c>
      <c r="B407" s="845" t="s">
        <v>723</v>
      </c>
      <c r="C407" s="813" t="s">
        <v>13</v>
      </c>
      <c r="D407" s="9">
        <v>10007376</v>
      </c>
      <c r="E407" s="5">
        <v>3.5</v>
      </c>
      <c r="F407" s="5" t="s">
        <v>8</v>
      </c>
      <c r="G407" s="5" t="s">
        <v>20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3"/>
      <c r="V407" s="3"/>
      <c r="W407" s="3"/>
      <c r="X407" s="3"/>
      <c r="Y407" s="3"/>
      <c r="Z407" s="3"/>
    </row>
    <row r="408" spans="1:26" ht="21" hidden="1" customHeight="1">
      <c r="A408" s="785">
        <v>90621</v>
      </c>
      <c r="B408" s="793" t="s">
        <v>1085</v>
      </c>
      <c r="C408" s="785" t="s">
        <v>13</v>
      </c>
      <c r="D408" s="9">
        <v>10007515</v>
      </c>
      <c r="E408" s="5">
        <v>0.15</v>
      </c>
      <c r="F408" s="5" t="s">
        <v>8</v>
      </c>
      <c r="G408" s="5" t="s">
        <v>9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3"/>
      <c r="V408" s="3"/>
      <c r="W408" s="3"/>
      <c r="X408" s="3"/>
      <c r="Y408" s="3"/>
      <c r="Z408" s="3"/>
    </row>
    <row r="409" spans="1:26" ht="21" hidden="1" customHeight="1">
      <c r="A409" s="804">
        <v>90252</v>
      </c>
      <c r="B409" s="845" t="s">
        <v>644</v>
      </c>
      <c r="C409" s="813" t="s">
        <v>13</v>
      </c>
      <c r="D409" s="9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3"/>
      <c r="V409" s="3"/>
      <c r="W409" s="3"/>
      <c r="X409" s="3"/>
      <c r="Y409" s="3"/>
      <c r="Z409" s="3"/>
    </row>
    <row r="410" spans="1:26" ht="21" hidden="1" customHeight="1">
      <c r="A410" s="785">
        <v>90252</v>
      </c>
      <c r="B410" s="793" t="s">
        <v>1086</v>
      </c>
      <c r="C410" s="785" t="s">
        <v>13</v>
      </c>
      <c r="D410" s="9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3"/>
      <c r="V410" s="3"/>
      <c r="W410" s="3"/>
      <c r="X410" s="3"/>
      <c r="Y410" s="3"/>
      <c r="Z410" s="3"/>
    </row>
    <row r="411" spans="1:26" ht="21" hidden="1" customHeight="1">
      <c r="A411" s="804">
        <v>90249</v>
      </c>
      <c r="B411" s="845" t="s">
        <v>642</v>
      </c>
      <c r="C411" s="813" t="s">
        <v>13</v>
      </c>
      <c r="D411" s="9">
        <v>10007411</v>
      </c>
      <c r="E411" s="5">
        <v>0.56000000000000005</v>
      </c>
      <c r="F411" s="5" t="s">
        <v>8</v>
      </c>
      <c r="G411" s="5" t="s">
        <v>9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3"/>
      <c r="V411" s="3"/>
      <c r="W411" s="3"/>
      <c r="X411" s="3"/>
      <c r="Y411" s="3"/>
      <c r="Z411" s="3"/>
    </row>
    <row r="412" spans="1:26" ht="21" hidden="1" customHeight="1">
      <c r="A412" s="785">
        <v>90249</v>
      </c>
      <c r="B412" s="793" t="s">
        <v>1087</v>
      </c>
      <c r="C412" s="785" t="s">
        <v>13</v>
      </c>
      <c r="D412" s="9">
        <v>10007369</v>
      </c>
      <c r="E412" s="5">
        <v>2.2599999999999998</v>
      </c>
      <c r="F412" s="5" t="s">
        <v>8</v>
      </c>
      <c r="G412" s="5" t="s">
        <v>9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3"/>
      <c r="V412" s="3"/>
      <c r="W412" s="3"/>
      <c r="X412" s="3"/>
      <c r="Y412" s="3"/>
      <c r="Z412" s="3"/>
    </row>
    <row r="413" spans="1:26" ht="21" hidden="1" customHeight="1">
      <c r="A413" s="814">
        <v>2958</v>
      </c>
      <c r="B413" s="847" t="s">
        <v>57</v>
      </c>
      <c r="C413" s="814" t="s">
        <v>13</v>
      </c>
      <c r="D413" s="9">
        <v>10007370</v>
      </c>
      <c r="E413" s="5">
        <v>5.3</v>
      </c>
      <c r="F413" s="5" t="s">
        <v>8</v>
      </c>
      <c r="G413" s="5" t="s">
        <v>19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3"/>
      <c r="V413" s="3"/>
      <c r="W413" s="3"/>
      <c r="X413" s="3"/>
      <c r="Y413" s="3"/>
      <c r="Z413" s="3"/>
    </row>
    <row r="414" spans="1:26" ht="21" hidden="1" customHeight="1">
      <c r="A414" s="785">
        <v>2958</v>
      </c>
      <c r="B414" s="793" t="s">
        <v>1088</v>
      </c>
      <c r="C414" s="785" t="s">
        <v>10</v>
      </c>
      <c r="D414" s="9">
        <v>10003286</v>
      </c>
      <c r="E414" s="5">
        <v>3.8</v>
      </c>
      <c r="F414" s="5" t="s">
        <v>8</v>
      </c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3"/>
      <c r="V414" s="3"/>
      <c r="W414" s="3"/>
      <c r="X414" s="3"/>
      <c r="Y414" s="3"/>
      <c r="Z414" s="3"/>
    </row>
    <row r="415" spans="1:26" ht="21" hidden="1" customHeight="1">
      <c r="A415" s="785">
        <v>213</v>
      </c>
      <c r="B415" s="793" t="s">
        <v>1089</v>
      </c>
      <c r="C415" s="785" t="s">
        <v>10</v>
      </c>
      <c r="D415" s="12"/>
      <c r="E415" s="10"/>
      <c r="F415" s="10"/>
      <c r="G415" s="10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3"/>
      <c r="V415" s="3"/>
      <c r="W415" s="3"/>
      <c r="X415" s="3"/>
      <c r="Y415" s="3"/>
      <c r="Z415" s="3"/>
    </row>
    <row r="416" spans="1:26" ht="21" hidden="1" customHeight="1">
      <c r="A416" s="804">
        <v>3018</v>
      </c>
      <c r="B416" s="845" t="s">
        <v>58</v>
      </c>
      <c r="C416" s="813" t="s">
        <v>13</v>
      </c>
      <c r="D416" s="9">
        <v>10003289</v>
      </c>
      <c r="E416" s="5">
        <v>7.7</v>
      </c>
      <c r="F416" s="5" t="s">
        <v>8</v>
      </c>
      <c r="G416" s="5" t="s">
        <v>20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3"/>
      <c r="V416" s="3"/>
      <c r="W416" s="3"/>
      <c r="X416" s="3"/>
      <c r="Y416" s="3"/>
      <c r="Z416" s="3"/>
    </row>
    <row r="417" spans="1:26" ht="21" hidden="1" customHeight="1">
      <c r="A417" s="785">
        <v>3018</v>
      </c>
      <c r="B417" s="793" t="s">
        <v>58</v>
      </c>
      <c r="C417" s="785" t="s">
        <v>10</v>
      </c>
      <c r="D417" s="771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772"/>
      <c r="V417" s="772"/>
      <c r="W417" s="772"/>
      <c r="X417" s="772"/>
      <c r="Y417" s="772"/>
      <c r="Z417" s="772"/>
    </row>
    <row r="418" spans="1:26" ht="21" hidden="1" customHeight="1">
      <c r="A418" s="785">
        <v>90585</v>
      </c>
      <c r="B418" s="793" t="s">
        <v>1135</v>
      </c>
      <c r="C418" s="785" t="s">
        <v>13</v>
      </c>
      <c r="D418" s="9">
        <v>10010823</v>
      </c>
      <c r="E418" s="5">
        <v>0.57999999999999996</v>
      </c>
      <c r="F418" s="5" t="s">
        <v>8</v>
      </c>
      <c r="G418" s="5" t="s">
        <v>9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3"/>
      <c r="V418" s="3"/>
      <c r="W418" s="3"/>
      <c r="X418" s="3"/>
      <c r="Y418" s="3"/>
      <c r="Z418" s="3"/>
    </row>
    <row r="419" spans="1:26" ht="21" hidden="1" customHeight="1">
      <c r="A419" s="785">
        <v>90388</v>
      </c>
      <c r="B419" s="793" t="s">
        <v>1090</v>
      </c>
      <c r="C419" s="785" t="s">
        <v>13</v>
      </c>
      <c r="D419" s="9">
        <v>10003288</v>
      </c>
      <c r="E419" s="5">
        <v>3.54</v>
      </c>
      <c r="F419" s="5" t="s">
        <v>8</v>
      </c>
      <c r="G419" s="5" t="s">
        <v>19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3"/>
      <c r="V419" s="3"/>
      <c r="W419" s="3"/>
      <c r="X419" s="3"/>
      <c r="Y419" s="3"/>
      <c r="Z419" s="3"/>
    </row>
    <row r="420" spans="1:26" ht="21" hidden="1" customHeight="1">
      <c r="A420" s="785">
        <v>227</v>
      </c>
      <c r="B420" s="793" t="s">
        <v>1091</v>
      </c>
      <c r="C420" s="785" t="s">
        <v>10</v>
      </c>
      <c r="D420" s="9">
        <v>10000232</v>
      </c>
      <c r="E420" s="5">
        <v>1.25</v>
      </c>
      <c r="F420" s="5" t="s">
        <v>8</v>
      </c>
      <c r="G420" s="5" t="s">
        <v>9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3"/>
      <c r="V420" s="3"/>
      <c r="W420" s="3"/>
      <c r="X420" s="3"/>
      <c r="Y420" s="3"/>
      <c r="Z420" s="3"/>
    </row>
    <row r="421" spans="1:26" ht="21" hidden="1" customHeight="1">
      <c r="A421" s="804">
        <v>2789</v>
      </c>
      <c r="B421" s="791" t="s">
        <v>1141</v>
      </c>
      <c r="C421" s="814" t="s">
        <v>10</v>
      </c>
      <c r="D421" s="9">
        <v>10007367</v>
      </c>
      <c r="E421" s="5">
        <v>4</v>
      </c>
      <c r="F421" s="5" t="s">
        <v>8</v>
      </c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3"/>
      <c r="V421" s="3"/>
      <c r="W421" s="3"/>
      <c r="X421" s="3"/>
      <c r="Y421" s="3"/>
      <c r="Z421" s="3"/>
    </row>
    <row r="422" spans="1:26" ht="21" hidden="1" customHeight="1">
      <c r="A422" s="804">
        <v>228</v>
      </c>
      <c r="B422" s="791" t="s">
        <v>59</v>
      </c>
      <c r="C422" s="814" t="s">
        <v>10</v>
      </c>
      <c r="D422" s="9">
        <v>10000233</v>
      </c>
      <c r="E422" s="5">
        <v>2.0299999999999998</v>
      </c>
      <c r="F422" s="5" t="s">
        <v>8</v>
      </c>
      <c r="G422" s="5" t="s">
        <v>9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3"/>
      <c r="V422" s="3"/>
      <c r="W422" s="3"/>
      <c r="X422" s="3"/>
      <c r="Y422" s="3"/>
      <c r="Z422" s="3"/>
    </row>
    <row r="423" spans="1:26" ht="21" hidden="1" customHeight="1">
      <c r="A423" s="804">
        <v>2989</v>
      </c>
      <c r="B423" s="791" t="s">
        <v>60</v>
      </c>
      <c r="C423" s="813" t="s">
        <v>10</v>
      </c>
      <c r="D423" s="9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3"/>
      <c r="V423" s="3"/>
      <c r="W423" s="3"/>
      <c r="X423" s="3"/>
      <c r="Y423" s="3"/>
      <c r="Z423" s="3"/>
    </row>
    <row r="424" spans="1:26" ht="21" hidden="1" customHeight="1">
      <c r="A424" s="804">
        <v>2990</v>
      </c>
      <c r="B424" s="791" t="s">
        <v>61</v>
      </c>
      <c r="C424" s="813" t="s">
        <v>10</v>
      </c>
      <c r="D424" s="9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3"/>
      <c r="V424" s="3"/>
      <c r="W424" s="3"/>
      <c r="X424" s="3"/>
      <c r="Y424" s="3"/>
      <c r="Z424" s="3"/>
    </row>
    <row r="425" spans="1:26" ht="21" hidden="1" customHeight="1">
      <c r="A425" s="804">
        <v>2991</v>
      </c>
      <c r="B425" s="791" t="s">
        <v>62</v>
      </c>
      <c r="C425" s="813" t="s">
        <v>10</v>
      </c>
      <c r="D425" s="9">
        <v>10007426</v>
      </c>
      <c r="E425" s="5">
        <v>0.18</v>
      </c>
      <c r="F425" s="5" t="s">
        <v>8</v>
      </c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3"/>
      <c r="V425" s="3"/>
      <c r="W425" s="3"/>
      <c r="X425" s="3"/>
      <c r="Y425" s="3"/>
      <c r="Z425" s="3"/>
    </row>
    <row r="426" spans="1:26" ht="21" hidden="1" customHeight="1">
      <c r="A426" s="814">
        <v>4028</v>
      </c>
      <c r="B426" s="850" t="s">
        <v>603</v>
      </c>
      <c r="C426" s="813" t="s">
        <v>962</v>
      </c>
      <c r="D426" s="9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3"/>
      <c r="V426" s="3"/>
      <c r="W426" s="3"/>
      <c r="X426" s="3"/>
      <c r="Y426" s="3"/>
      <c r="Z426" s="3"/>
    </row>
    <row r="427" spans="1:26" ht="21" hidden="1" customHeight="1">
      <c r="A427" s="843">
        <v>3994</v>
      </c>
      <c r="B427" s="855" t="s">
        <v>63</v>
      </c>
      <c r="C427" s="813" t="s">
        <v>962</v>
      </c>
      <c r="D427" s="9">
        <v>10000076</v>
      </c>
      <c r="E427" s="5">
        <v>0.1</v>
      </c>
      <c r="F427" s="5" t="s">
        <v>8</v>
      </c>
      <c r="G427" s="5" t="s">
        <v>9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3"/>
      <c r="V427" s="3"/>
      <c r="W427" s="3"/>
      <c r="X427" s="3"/>
      <c r="Y427" s="3"/>
      <c r="Z427" s="3"/>
    </row>
    <row r="428" spans="1:26" ht="21" hidden="1" customHeight="1">
      <c r="A428" s="842">
        <v>90183</v>
      </c>
      <c r="B428" s="854" t="s">
        <v>612</v>
      </c>
      <c r="C428" s="842" t="s">
        <v>962</v>
      </c>
      <c r="D428" s="9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3"/>
      <c r="V428" s="3"/>
      <c r="W428" s="3"/>
      <c r="X428" s="3"/>
      <c r="Y428" s="3"/>
      <c r="Z428" s="3"/>
    </row>
    <row r="429" spans="1:26" ht="21" hidden="1" customHeight="1">
      <c r="A429" s="785">
        <v>90183</v>
      </c>
      <c r="B429" s="793" t="s">
        <v>612</v>
      </c>
      <c r="C429" s="785" t="s">
        <v>10</v>
      </c>
      <c r="D429" s="12"/>
      <c r="E429" s="10"/>
      <c r="F429" s="10"/>
      <c r="G429" s="10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3"/>
      <c r="V429" s="3"/>
      <c r="W429" s="3"/>
      <c r="X429" s="3"/>
      <c r="Y429" s="3"/>
      <c r="Z429" s="3"/>
    </row>
    <row r="430" spans="1:26" ht="21" hidden="1" customHeight="1">
      <c r="A430" s="804">
        <v>90184</v>
      </c>
      <c r="B430" s="845" t="s">
        <v>613</v>
      </c>
      <c r="C430" s="813" t="s">
        <v>962</v>
      </c>
      <c r="D430" s="12"/>
      <c r="E430" s="10"/>
      <c r="F430" s="10"/>
      <c r="G430" s="10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3"/>
      <c r="V430" s="3"/>
      <c r="W430" s="3"/>
      <c r="X430" s="3"/>
      <c r="Y430" s="3"/>
      <c r="Z430" s="3"/>
    </row>
    <row r="431" spans="1:26" ht="21" hidden="1" customHeight="1">
      <c r="A431" s="785">
        <v>90184</v>
      </c>
      <c r="B431" s="793" t="s">
        <v>613</v>
      </c>
      <c r="C431" s="785" t="s">
        <v>10</v>
      </c>
      <c r="D431" s="12"/>
      <c r="E431" s="10"/>
      <c r="F431" s="10"/>
      <c r="G431" s="10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3"/>
      <c r="V431" s="3"/>
      <c r="W431" s="3"/>
      <c r="X431" s="3"/>
      <c r="Y431" s="3"/>
      <c r="Z431" s="3"/>
    </row>
    <row r="432" spans="1:26" ht="21" hidden="1" customHeight="1">
      <c r="A432" s="785">
        <v>90185</v>
      </c>
      <c r="B432" s="793" t="s">
        <v>1092</v>
      </c>
      <c r="C432" s="785" t="s">
        <v>10</v>
      </c>
      <c r="D432" s="9">
        <v>10007443</v>
      </c>
      <c r="E432" s="5">
        <v>0.18</v>
      </c>
      <c r="F432" s="5" t="s">
        <v>8</v>
      </c>
      <c r="G432" s="5" t="s">
        <v>9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1" hidden="1" customHeight="1">
      <c r="A433" s="804">
        <v>90186</v>
      </c>
      <c r="B433" s="845" t="s">
        <v>614</v>
      </c>
      <c r="C433" s="813" t="s">
        <v>962</v>
      </c>
      <c r="D433" s="9">
        <v>10007406</v>
      </c>
      <c r="E433" s="5">
        <v>0.02</v>
      </c>
      <c r="F433" s="5" t="s">
        <v>8</v>
      </c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1" hidden="1" customHeight="1">
      <c r="A434" s="785">
        <v>90186</v>
      </c>
      <c r="B434" s="793" t="s">
        <v>614</v>
      </c>
      <c r="C434" s="785" t="s">
        <v>10</v>
      </c>
      <c r="D434" s="9"/>
      <c r="E434" s="5"/>
      <c r="F434" s="5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1" hidden="1" customHeight="1">
      <c r="A435" s="785">
        <v>90187</v>
      </c>
      <c r="B435" s="793" t="s">
        <v>1093</v>
      </c>
      <c r="C435" s="785" t="s">
        <v>10</v>
      </c>
      <c r="D435" s="9">
        <v>10007433</v>
      </c>
      <c r="E435" s="5">
        <v>0.23</v>
      </c>
      <c r="F435" s="5" t="s">
        <v>8</v>
      </c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1" hidden="1" customHeight="1">
      <c r="A436" s="785">
        <v>90188</v>
      </c>
      <c r="B436" s="793" t="s">
        <v>1094</v>
      </c>
      <c r="C436" s="785" t="s">
        <v>10</v>
      </c>
      <c r="D436" s="9">
        <v>10007502</v>
      </c>
      <c r="E436" s="5">
        <v>0.18</v>
      </c>
      <c r="F436" s="5" t="s">
        <v>8</v>
      </c>
      <c r="G436" s="5" t="s">
        <v>9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1" hidden="1" customHeight="1">
      <c r="A437" s="804">
        <v>90189</v>
      </c>
      <c r="B437" s="845" t="s">
        <v>615</v>
      </c>
      <c r="C437" s="813" t="s">
        <v>962</v>
      </c>
      <c r="D437" s="9">
        <v>10007482</v>
      </c>
      <c r="E437" s="5">
        <v>0.1</v>
      </c>
      <c r="F437" s="5" t="s">
        <v>8</v>
      </c>
      <c r="G437" s="5" t="s">
        <v>9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1" hidden="1" customHeight="1">
      <c r="A438" s="785">
        <v>90189</v>
      </c>
      <c r="B438" s="793" t="s">
        <v>615</v>
      </c>
      <c r="C438" s="785" t="s">
        <v>10</v>
      </c>
      <c r="D438" s="9">
        <v>10007529</v>
      </c>
      <c r="E438" s="5">
        <v>0.18</v>
      </c>
      <c r="F438" s="5" t="s">
        <v>8</v>
      </c>
      <c r="G438" s="5" t="s">
        <v>9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1" hidden="1" customHeight="1">
      <c r="A439" s="785">
        <v>90190</v>
      </c>
      <c r="B439" s="793" t="s">
        <v>1095</v>
      </c>
      <c r="C439" s="785" t="s">
        <v>10</v>
      </c>
      <c r="D439" s="771"/>
      <c r="E439" s="5"/>
      <c r="F439" s="5"/>
      <c r="G439" s="5"/>
      <c r="H439" s="772"/>
      <c r="I439" s="772"/>
      <c r="J439" s="772"/>
      <c r="K439" s="772"/>
      <c r="L439" s="772"/>
      <c r="M439" s="772"/>
      <c r="N439" s="772"/>
      <c r="O439" s="772"/>
      <c r="P439" s="772"/>
      <c r="Q439" s="772"/>
      <c r="R439" s="772"/>
      <c r="S439" s="772"/>
      <c r="T439" s="772"/>
      <c r="U439" s="772"/>
      <c r="V439" s="772"/>
      <c r="W439" s="772"/>
      <c r="X439" s="772"/>
      <c r="Y439" s="772"/>
      <c r="Z439" s="772"/>
    </row>
    <row r="440" spans="1:26" ht="21" hidden="1" customHeight="1">
      <c r="A440" s="785">
        <v>90191</v>
      </c>
      <c r="B440" s="793" t="s">
        <v>1096</v>
      </c>
      <c r="C440" s="785" t="s">
        <v>10</v>
      </c>
      <c r="D440" s="9">
        <v>10007476</v>
      </c>
      <c r="E440" s="5">
        <v>0.18</v>
      </c>
      <c r="F440" s="5" t="s">
        <v>8</v>
      </c>
      <c r="G440" s="5" t="s">
        <v>9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1" hidden="1" customHeight="1">
      <c r="A441" s="785">
        <v>90192</v>
      </c>
      <c r="B441" s="793" t="s">
        <v>1097</v>
      </c>
      <c r="C441" s="785" t="s">
        <v>10</v>
      </c>
      <c r="D441" s="9">
        <v>10007493</v>
      </c>
      <c r="E441" s="5">
        <v>0.18</v>
      </c>
      <c r="F441" s="5" t="s">
        <v>8</v>
      </c>
      <c r="G441" s="5" t="s">
        <v>9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3"/>
      <c r="V441" s="3"/>
      <c r="W441" s="3"/>
      <c r="X441" s="3"/>
      <c r="Y441" s="3"/>
      <c r="Z441" s="3"/>
    </row>
    <row r="442" spans="1:26" ht="21" hidden="1" customHeight="1">
      <c r="A442" s="804">
        <v>90193</v>
      </c>
      <c r="B442" s="845" t="s">
        <v>616</v>
      </c>
      <c r="C442" s="813" t="s">
        <v>962</v>
      </c>
      <c r="D442" s="9">
        <v>10007488</v>
      </c>
      <c r="E442" s="5">
        <v>0.01</v>
      </c>
      <c r="F442" s="5" t="s">
        <v>8</v>
      </c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3"/>
      <c r="V442" s="3"/>
      <c r="W442" s="3"/>
      <c r="X442" s="3"/>
      <c r="Y442" s="3"/>
      <c r="Z442" s="3"/>
    </row>
    <row r="443" spans="1:26" ht="21" hidden="1" customHeight="1">
      <c r="A443" s="785">
        <v>90193</v>
      </c>
      <c r="B443" s="793" t="s">
        <v>616</v>
      </c>
      <c r="C443" s="785" t="s">
        <v>10</v>
      </c>
      <c r="D443" s="9">
        <v>10007499</v>
      </c>
      <c r="E443" s="5">
        <v>0.156</v>
      </c>
      <c r="F443" s="5" t="s">
        <v>8</v>
      </c>
      <c r="G443" s="5" t="s">
        <v>9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3"/>
      <c r="V443" s="3"/>
      <c r="W443" s="3"/>
      <c r="X443" s="3"/>
      <c r="Y443" s="3"/>
      <c r="Z443" s="3"/>
    </row>
    <row r="444" spans="1:26" ht="21" hidden="1" customHeight="1">
      <c r="A444" s="804">
        <v>90194</v>
      </c>
      <c r="B444" s="845" t="s">
        <v>617</v>
      </c>
      <c r="C444" s="814" t="s">
        <v>962</v>
      </c>
      <c r="D444" s="9">
        <v>10001010</v>
      </c>
      <c r="E444" s="5">
        <v>0.1</v>
      </c>
      <c r="F444" s="5" t="s">
        <v>8</v>
      </c>
      <c r="G444" s="5" t="s">
        <v>9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3"/>
      <c r="V444" s="3"/>
      <c r="W444" s="3"/>
      <c r="X444" s="3"/>
      <c r="Y444" s="3"/>
      <c r="Z444" s="3"/>
    </row>
    <row r="445" spans="1:26" ht="21" hidden="1" customHeight="1">
      <c r="A445" s="785">
        <v>90194</v>
      </c>
      <c r="B445" s="793" t="s">
        <v>617</v>
      </c>
      <c r="C445" s="785" t="s">
        <v>10</v>
      </c>
      <c r="D445" s="9">
        <v>10007510</v>
      </c>
      <c r="E445" s="5">
        <v>0.06</v>
      </c>
      <c r="F445" s="5" t="s">
        <v>8</v>
      </c>
      <c r="G445" s="5" t="s">
        <v>9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3"/>
      <c r="V445" s="3"/>
      <c r="W445" s="3"/>
      <c r="X445" s="3"/>
      <c r="Y445" s="3"/>
      <c r="Z445" s="3"/>
    </row>
    <row r="446" spans="1:26" ht="21" hidden="1" customHeight="1">
      <c r="A446" s="785">
        <v>90195</v>
      </c>
      <c r="B446" s="793" t="s">
        <v>1098</v>
      </c>
      <c r="C446" s="785" t="s">
        <v>10</v>
      </c>
      <c r="D446" s="9">
        <v>10007539</v>
      </c>
      <c r="E446" s="5">
        <v>4.4999999999999998E-2</v>
      </c>
      <c r="F446" s="5" t="s">
        <v>8</v>
      </c>
      <c r="G446" s="5" t="s">
        <v>9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3"/>
      <c r="V446" s="3"/>
      <c r="W446" s="3"/>
      <c r="X446" s="3"/>
      <c r="Y446" s="3"/>
      <c r="Z446" s="3"/>
    </row>
    <row r="447" spans="1:26" ht="21" hidden="1" customHeight="1">
      <c r="A447" s="804">
        <v>90196</v>
      </c>
      <c r="B447" s="845" t="s">
        <v>618</v>
      </c>
      <c r="C447" s="814" t="s">
        <v>962</v>
      </c>
      <c r="D447" s="9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3"/>
      <c r="V447" s="3"/>
      <c r="W447" s="3"/>
      <c r="X447" s="3"/>
      <c r="Y447" s="3"/>
      <c r="Z447" s="3"/>
    </row>
    <row r="448" spans="1:26" ht="21" hidden="1" customHeight="1">
      <c r="A448" s="785">
        <v>90196</v>
      </c>
      <c r="B448" s="793" t="s">
        <v>618</v>
      </c>
      <c r="C448" s="785" t="s">
        <v>10</v>
      </c>
      <c r="D448" s="9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3"/>
      <c r="V448" s="3"/>
      <c r="W448" s="3"/>
      <c r="X448" s="3"/>
      <c r="Y448" s="3"/>
      <c r="Z448" s="3"/>
    </row>
    <row r="449" spans="1:26" ht="21" hidden="1" customHeight="1">
      <c r="A449" s="785">
        <v>90197</v>
      </c>
      <c r="B449" s="793" t="s">
        <v>1099</v>
      </c>
      <c r="C449" s="785" t="s">
        <v>10</v>
      </c>
      <c r="D449" s="9">
        <v>10007492</v>
      </c>
      <c r="E449" s="5">
        <v>0.1</v>
      </c>
      <c r="F449" s="5" t="s">
        <v>8</v>
      </c>
      <c r="G449" s="5" t="s">
        <v>9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3"/>
      <c r="V449" s="3"/>
      <c r="W449" s="3"/>
      <c r="X449" s="3"/>
      <c r="Y449" s="3"/>
      <c r="Z449" s="3"/>
    </row>
    <row r="450" spans="1:26" ht="21" hidden="1" customHeight="1">
      <c r="A450" s="841">
        <v>90198</v>
      </c>
      <c r="B450" s="848" t="s">
        <v>619</v>
      </c>
      <c r="C450" s="814" t="s">
        <v>962</v>
      </c>
      <c r="D450" s="9">
        <v>10007417</v>
      </c>
      <c r="E450" s="5">
        <v>0.18</v>
      </c>
      <c r="F450" s="5" t="s">
        <v>8</v>
      </c>
      <c r="G450" s="5" t="s">
        <v>9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3"/>
      <c r="V450" s="3"/>
      <c r="W450" s="3"/>
      <c r="X450" s="3"/>
      <c r="Y450" s="3"/>
      <c r="Z450" s="3"/>
    </row>
    <row r="451" spans="1:26" ht="21" hidden="1" customHeight="1">
      <c r="A451" s="785">
        <v>90198</v>
      </c>
      <c r="B451" s="793" t="s">
        <v>619</v>
      </c>
      <c r="C451" s="785" t="s">
        <v>10</v>
      </c>
      <c r="D451" s="9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3"/>
      <c r="V451" s="3"/>
      <c r="W451" s="3"/>
      <c r="X451" s="3"/>
      <c r="Y451" s="3"/>
      <c r="Z451" s="3"/>
    </row>
    <row r="452" spans="1:26" ht="21" hidden="1" customHeight="1">
      <c r="A452" s="804">
        <v>90199</v>
      </c>
      <c r="B452" s="845" t="s">
        <v>620</v>
      </c>
      <c r="C452" s="814" t="s">
        <v>962</v>
      </c>
      <c r="D452" s="9">
        <v>10007544</v>
      </c>
      <c r="E452" s="5">
        <v>0.18</v>
      </c>
      <c r="F452" s="5" t="s">
        <v>8</v>
      </c>
      <c r="G452" s="5" t="s">
        <v>9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3"/>
      <c r="V452" s="3"/>
      <c r="W452" s="3"/>
      <c r="X452" s="3"/>
      <c r="Y452" s="3"/>
      <c r="Z452" s="3"/>
    </row>
    <row r="453" spans="1:26" ht="21" hidden="1" customHeight="1">
      <c r="A453" s="785">
        <v>90199</v>
      </c>
      <c r="B453" s="793" t="s">
        <v>620</v>
      </c>
      <c r="C453" s="785" t="s">
        <v>10</v>
      </c>
      <c r="D453" s="9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3"/>
      <c r="V453" s="3"/>
      <c r="W453" s="3"/>
      <c r="X453" s="3"/>
      <c r="Y453" s="3"/>
      <c r="Z453" s="3"/>
    </row>
    <row r="454" spans="1:26" ht="21" hidden="1" customHeight="1">
      <c r="A454" s="785">
        <v>90200</v>
      </c>
      <c r="B454" s="793" t="s">
        <v>1100</v>
      </c>
      <c r="C454" s="785" t="s">
        <v>10</v>
      </c>
      <c r="D454" s="9">
        <v>10002622</v>
      </c>
      <c r="E454" s="5">
        <v>0.18</v>
      </c>
      <c r="F454" s="5" t="s">
        <v>8</v>
      </c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3"/>
      <c r="V454" s="3"/>
      <c r="W454" s="3"/>
      <c r="X454" s="3"/>
      <c r="Y454" s="3"/>
      <c r="Z454" s="3"/>
    </row>
    <row r="455" spans="1:26" ht="21" hidden="1" customHeight="1">
      <c r="A455" s="785">
        <v>90201</v>
      </c>
      <c r="B455" s="793" t="s">
        <v>1101</v>
      </c>
      <c r="C455" s="785" t="s">
        <v>10</v>
      </c>
      <c r="D455" s="9">
        <v>10001144</v>
      </c>
      <c r="E455" s="5">
        <v>0.12</v>
      </c>
      <c r="F455" s="5" t="s">
        <v>8</v>
      </c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3"/>
      <c r="V455" s="3"/>
      <c r="W455" s="3"/>
      <c r="X455" s="3"/>
      <c r="Y455" s="3"/>
      <c r="Z455" s="3"/>
    </row>
    <row r="456" spans="1:26" ht="21" hidden="1" customHeight="1">
      <c r="A456" s="785">
        <v>90202</v>
      </c>
      <c r="B456" s="793" t="s">
        <v>1102</v>
      </c>
      <c r="C456" s="785" t="s">
        <v>10</v>
      </c>
      <c r="D456" s="9">
        <v>10001178</v>
      </c>
      <c r="E456" s="5">
        <v>0.17</v>
      </c>
      <c r="F456" s="5" t="s">
        <v>8</v>
      </c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3"/>
      <c r="V456" s="3"/>
      <c r="W456" s="3"/>
      <c r="X456" s="3"/>
      <c r="Y456" s="3"/>
      <c r="Z456" s="3"/>
    </row>
    <row r="457" spans="1:26" ht="21" hidden="1" customHeight="1">
      <c r="A457" s="804">
        <v>90203</v>
      </c>
      <c r="B457" s="845" t="s">
        <v>621</v>
      </c>
      <c r="C457" s="814" t="s">
        <v>962</v>
      </c>
      <c r="D457" s="9">
        <v>10007017</v>
      </c>
      <c r="E457" s="5">
        <v>0.18</v>
      </c>
      <c r="F457" s="5" t="s">
        <v>8</v>
      </c>
      <c r="G457" s="5" t="s">
        <v>9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3"/>
      <c r="V457" s="3"/>
      <c r="W457" s="3"/>
      <c r="X457" s="3"/>
      <c r="Y457" s="3"/>
      <c r="Z457" s="3"/>
    </row>
    <row r="458" spans="1:26" ht="21" hidden="1" customHeight="1">
      <c r="A458" s="785">
        <v>90203</v>
      </c>
      <c r="B458" s="793" t="s">
        <v>621</v>
      </c>
      <c r="C458" s="785" t="s">
        <v>10</v>
      </c>
      <c r="D458" s="18"/>
      <c r="E458" s="19"/>
      <c r="F458" s="19"/>
      <c r="G458" s="19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3"/>
      <c r="V458" s="3"/>
      <c r="W458" s="3"/>
      <c r="X458" s="3"/>
      <c r="Y458" s="3"/>
      <c r="Z458" s="3"/>
    </row>
    <row r="459" spans="1:26" ht="21" hidden="1" customHeight="1">
      <c r="A459" s="785">
        <v>90204</v>
      </c>
      <c r="B459" s="793" t="s">
        <v>1103</v>
      </c>
      <c r="C459" s="785" t="s">
        <v>10</v>
      </c>
      <c r="D459" s="9"/>
      <c r="E459" s="5"/>
      <c r="F459" s="5"/>
      <c r="G459" s="5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3"/>
      <c r="V459" s="3"/>
      <c r="W459" s="3"/>
      <c r="X459" s="3"/>
      <c r="Y459" s="3"/>
      <c r="Z459" s="3"/>
    </row>
    <row r="460" spans="1:26" ht="21" hidden="1" customHeight="1">
      <c r="A460" s="785">
        <v>90205</v>
      </c>
      <c r="B460" s="793" t="s">
        <v>1104</v>
      </c>
      <c r="C460" s="785" t="s">
        <v>10</v>
      </c>
      <c r="D460" s="9"/>
      <c r="E460" s="5"/>
      <c r="F460" s="5"/>
      <c r="G460" s="5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3"/>
      <c r="V460" s="3"/>
      <c r="W460" s="3"/>
      <c r="X460" s="3"/>
      <c r="Y460" s="3"/>
      <c r="Z460" s="3"/>
    </row>
    <row r="461" spans="1:26" ht="21" hidden="1" customHeight="1">
      <c r="A461" s="785">
        <v>90206</v>
      </c>
      <c r="B461" s="793" t="s">
        <v>1105</v>
      </c>
      <c r="C461" s="785" t="s">
        <v>10</v>
      </c>
      <c r="D461" s="9">
        <v>10001232</v>
      </c>
      <c r="E461" s="5">
        <v>0.18</v>
      </c>
      <c r="F461" s="5" t="s">
        <v>8</v>
      </c>
      <c r="G461" s="5" t="s">
        <v>9</v>
      </c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3"/>
      <c r="V461" s="3"/>
      <c r="W461" s="3"/>
      <c r="X461" s="3"/>
      <c r="Y461" s="3"/>
      <c r="Z461" s="3"/>
    </row>
    <row r="462" spans="1:26" ht="21" hidden="1" customHeight="1">
      <c r="A462" s="804">
        <v>22782</v>
      </c>
      <c r="B462" s="845" t="s">
        <v>1146</v>
      </c>
      <c r="C462" s="813" t="s">
        <v>13</v>
      </c>
      <c r="D462" s="9">
        <v>10001290</v>
      </c>
      <c r="E462" s="5">
        <v>0.18</v>
      </c>
      <c r="F462" s="5" t="s">
        <v>8</v>
      </c>
      <c r="G462" s="5" t="s">
        <v>9</v>
      </c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3"/>
      <c r="V462" s="3"/>
      <c r="W462" s="3"/>
      <c r="X462" s="3"/>
      <c r="Y462" s="3"/>
      <c r="Z462" s="3"/>
    </row>
    <row r="463" spans="1:26" ht="21" hidden="1" customHeight="1">
      <c r="A463" s="785">
        <v>91022</v>
      </c>
      <c r="B463" s="793" t="s">
        <v>1149</v>
      </c>
      <c r="C463" s="785" t="s">
        <v>962</v>
      </c>
      <c r="D463" s="9">
        <v>10001365</v>
      </c>
      <c r="E463" s="5">
        <v>0.18</v>
      </c>
      <c r="F463" s="5" t="s">
        <v>8</v>
      </c>
      <c r="G463" s="5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3"/>
      <c r="V463" s="3"/>
      <c r="W463" s="3"/>
      <c r="X463" s="3"/>
      <c r="Y463" s="3"/>
      <c r="Z463" s="3"/>
    </row>
    <row r="464" spans="1:26" ht="21" hidden="1" customHeight="1">
      <c r="A464" s="804">
        <v>91406</v>
      </c>
      <c r="B464" s="845" t="s">
        <v>1152</v>
      </c>
      <c r="C464" s="814" t="s">
        <v>13</v>
      </c>
      <c r="D464" s="9">
        <v>10007090</v>
      </c>
      <c r="E464" s="5">
        <v>0.18</v>
      </c>
      <c r="F464" s="5" t="s">
        <v>8</v>
      </c>
      <c r="G464" s="5" t="s">
        <v>9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3"/>
      <c r="V464" s="3"/>
      <c r="W464" s="3"/>
      <c r="X464" s="3"/>
      <c r="Y464" s="3"/>
      <c r="Z464" s="3"/>
    </row>
    <row r="465" spans="1:26" ht="15" hidden="1" customHeight="1">
      <c r="A465" s="814">
        <v>90202</v>
      </c>
      <c r="B465" s="847" t="s">
        <v>745</v>
      </c>
      <c r="C465" s="813" t="s">
        <v>962</v>
      </c>
      <c r="D465" s="9">
        <v>10007093</v>
      </c>
      <c r="E465" s="5">
        <v>0.18</v>
      </c>
      <c r="F465" s="5" t="s">
        <v>8</v>
      </c>
      <c r="G465" s="5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3"/>
      <c r="V465" s="3"/>
      <c r="W465" s="3"/>
      <c r="X465" s="3"/>
      <c r="Y465" s="3"/>
      <c r="Z465" s="3"/>
    </row>
    <row r="466" spans="1:26" ht="20.25" hidden="1" customHeight="1">
      <c r="A466" s="814">
        <v>90202</v>
      </c>
      <c r="B466" s="847" t="s">
        <v>745</v>
      </c>
      <c r="C466" s="813" t="s">
        <v>962</v>
      </c>
      <c r="D466" s="9">
        <v>10002510</v>
      </c>
      <c r="E466" s="5">
        <v>0.1</v>
      </c>
      <c r="F466" s="5" t="s">
        <v>8</v>
      </c>
      <c r="G466" s="5" t="s">
        <v>9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3"/>
      <c r="V466" s="3"/>
      <c r="W466" s="3"/>
      <c r="X466" s="3"/>
      <c r="Y466" s="3"/>
      <c r="Z466" s="3"/>
    </row>
    <row r="467" spans="1:26" ht="21" hidden="1" customHeight="1">
      <c r="A467" s="841">
        <v>3733</v>
      </c>
      <c r="B467" s="848" t="s">
        <v>601</v>
      </c>
      <c r="C467" s="813" t="s">
        <v>962</v>
      </c>
      <c r="D467" s="9">
        <v>10001600</v>
      </c>
      <c r="E467" s="5">
        <v>0.09</v>
      </c>
      <c r="F467" s="5" t="s">
        <v>8</v>
      </c>
      <c r="G467" s="5" t="s">
        <v>9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3"/>
      <c r="V467" s="3"/>
      <c r="W467" s="3"/>
      <c r="X467" s="3"/>
      <c r="Y467" s="3"/>
      <c r="Z467" s="3"/>
    </row>
    <row r="468" spans="1:26" ht="21" hidden="1" customHeight="1">
      <c r="A468" s="814">
        <v>3009</v>
      </c>
      <c r="B468" s="850" t="s">
        <v>64</v>
      </c>
      <c r="C468" s="814" t="s">
        <v>962</v>
      </c>
      <c r="D468" s="9">
        <v>10001515</v>
      </c>
      <c r="E468" s="5">
        <v>0.08</v>
      </c>
      <c r="F468" s="5" t="s">
        <v>8</v>
      </c>
      <c r="G468" s="5" t="s">
        <v>9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3"/>
      <c r="V468" s="3"/>
      <c r="W468" s="3"/>
      <c r="X468" s="3"/>
      <c r="Y468" s="3"/>
      <c r="Z468" s="3"/>
    </row>
    <row r="469" spans="1:26" ht="21" hidden="1" customHeight="1">
      <c r="A469" s="785">
        <v>3009</v>
      </c>
      <c r="B469" s="793" t="s">
        <v>64</v>
      </c>
      <c r="C469" s="785" t="s">
        <v>10</v>
      </c>
      <c r="D469" s="9">
        <v>10003279</v>
      </c>
      <c r="E469" s="5">
        <v>0.2</v>
      </c>
      <c r="F469" s="5" t="s">
        <v>8</v>
      </c>
      <c r="G469" s="5" t="s">
        <v>9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3"/>
      <c r="V469" s="3"/>
      <c r="W469" s="3"/>
      <c r="X469" s="3"/>
      <c r="Y469" s="3"/>
      <c r="Z469" s="3"/>
    </row>
    <row r="470" spans="1:26" ht="21" hidden="1" customHeight="1">
      <c r="A470" s="785">
        <v>5485</v>
      </c>
      <c r="B470" s="793" t="s">
        <v>1106</v>
      </c>
      <c r="C470" s="785" t="s">
        <v>10</v>
      </c>
      <c r="D470" s="9">
        <v>10006836</v>
      </c>
      <c r="E470" s="5">
        <v>0.1</v>
      </c>
      <c r="F470" s="5" t="s">
        <v>8</v>
      </c>
      <c r="G470" s="5" t="s">
        <v>9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3"/>
      <c r="V470" s="3"/>
      <c r="W470" s="3"/>
      <c r="X470" s="3"/>
      <c r="Y470" s="3"/>
      <c r="Z470" s="3"/>
    </row>
    <row r="471" spans="1:26" ht="21" hidden="1" customHeight="1">
      <c r="A471" s="804">
        <v>638406</v>
      </c>
      <c r="B471" s="845" t="s">
        <v>65</v>
      </c>
      <c r="C471" s="813" t="s">
        <v>13</v>
      </c>
      <c r="D471" s="9">
        <v>10019308</v>
      </c>
      <c r="E471" s="5">
        <v>0.01</v>
      </c>
      <c r="F471" s="5" t="s">
        <v>8</v>
      </c>
      <c r="G471" s="5" t="s">
        <v>9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3"/>
      <c r="V471" s="3"/>
      <c r="W471" s="3"/>
      <c r="X471" s="3"/>
      <c r="Y471" s="3"/>
      <c r="Z471" s="3"/>
    </row>
    <row r="472" spans="1:26" ht="21" hidden="1" customHeight="1">
      <c r="A472" s="785">
        <v>90409</v>
      </c>
      <c r="B472" s="793" t="s">
        <v>1134</v>
      </c>
      <c r="C472" s="785" t="s">
        <v>13</v>
      </c>
      <c r="D472" s="771"/>
      <c r="E472" s="5"/>
      <c r="F472" s="5"/>
      <c r="G472" s="5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772"/>
      <c r="V472" s="772"/>
      <c r="W472" s="772"/>
      <c r="X472" s="772"/>
      <c r="Y472" s="772"/>
      <c r="Z472" s="772"/>
    </row>
    <row r="473" spans="1:26" ht="21" hidden="1" customHeight="1">
      <c r="A473" s="804">
        <v>90409</v>
      </c>
      <c r="B473" s="845" t="s">
        <v>963</v>
      </c>
      <c r="C473" s="813" t="s">
        <v>13</v>
      </c>
      <c r="D473" s="9">
        <v>10019314</v>
      </c>
      <c r="E473" s="5">
        <v>0.17</v>
      </c>
      <c r="F473" s="5" t="s">
        <v>8</v>
      </c>
      <c r="G473" s="5" t="s">
        <v>9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3"/>
      <c r="V473" s="3"/>
      <c r="W473" s="3"/>
      <c r="X473" s="3"/>
      <c r="Y473" s="3"/>
      <c r="Z473" s="3"/>
    </row>
    <row r="474" spans="1:26" ht="21" hidden="1" customHeight="1">
      <c r="A474" s="804">
        <v>2964</v>
      </c>
      <c r="B474" s="845" t="s">
        <v>66</v>
      </c>
      <c r="C474" s="813" t="s">
        <v>13</v>
      </c>
      <c r="D474" s="9"/>
      <c r="E474" s="5"/>
      <c r="F474" s="5"/>
      <c r="G474" s="5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3"/>
      <c r="V474" s="3"/>
      <c r="W474" s="3"/>
      <c r="X474" s="3"/>
      <c r="Y474" s="3"/>
      <c r="Z474" s="3"/>
    </row>
    <row r="475" spans="1:26" ht="21" hidden="1" customHeight="1">
      <c r="A475" s="785">
        <v>2964</v>
      </c>
      <c r="B475" s="793" t="s">
        <v>66</v>
      </c>
      <c r="C475" s="785" t="s">
        <v>10</v>
      </c>
      <c r="D475" s="9">
        <v>10010812</v>
      </c>
      <c r="E475" s="5">
        <v>0.12</v>
      </c>
      <c r="F475" s="5" t="s">
        <v>8</v>
      </c>
      <c r="G475" s="5" t="s">
        <v>9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3"/>
      <c r="V475" s="3"/>
      <c r="W475" s="3"/>
      <c r="X475" s="3"/>
      <c r="Y475" s="3"/>
      <c r="Z475" s="3"/>
    </row>
    <row r="476" spans="1:26" ht="21" hidden="1" customHeight="1">
      <c r="A476" s="785">
        <v>3029</v>
      </c>
      <c r="B476" s="793" t="s">
        <v>1107</v>
      </c>
      <c r="C476" s="785" t="s">
        <v>10</v>
      </c>
      <c r="D476" s="21">
        <v>3238</v>
      </c>
      <c r="E476" s="5">
        <v>0.17</v>
      </c>
      <c r="F476" s="5" t="s">
        <v>8</v>
      </c>
      <c r="G476" s="5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3"/>
      <c r="V476" s="3"/>
      <c r="W476" s="3"/>
      <c r="X476" s="3"/>
      <c r="Y476" s="3"/>
      <c r="Z476" s="3"/>
    </row>
    <row r="477" spans="1:26" ht="21" hidden="1" customHeight="1">
      <c r="A477" s="804">
        <v>90410</v>
      </c>
      <c r="B477" s="845" t="s">
        <v>67</v>
      </c>
      <c r="C477" s="814" t="s">
        <v>962</v>
      </c>
      <c r="D477" s="22">
        <v>374</v>
      </c>
      <c r="E477" s="5">
        <v>0.18</v>
      </c>
      <c r="F477" s="5" t="s">
        <v>8</v>
      </c>
      <c r="G477" s="5" t="s">
        <v>9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3"/>
      <c r="V477" s="3"/>
      <c r="W477" s="3"/>
      <c r="X477" s="3"/>
      <c r="Y477" s="3"/>
      <c r="Z477" s="3"/>
    </row>
    <row r="478" spans="1:26" ht="21" hidden="1" customHeight="1">
      <c r="A478" s="785">
        <v>90410</v>
      </c>
      <c r="B478" s="824" t="s">
        <v>67</v>
      </c>
      <c r="C478" s="785" t="s">
        <v>13</v>
      </c>
      <c r="D478" s="9">
        <v>10003290</v>
      </c>
      <c r="E478" s="5">
        <v>0.13</v>
      </c>
      <c r="F478" s="5" t="s">
        <v>8</v>
      </c>
      <c r="G478" s="5" t="s">
        <v>9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3"/>
      <c r="V478" s="3"/>
      <c r="W478" s="3"/>
      <c r="X478" s="3"/>
      <c r="Y478" s="3"/>
      <c r="Z478" s="3"/>
    </row>
    <row r="479" spans="1:26" ht="21" hidden="1" customHeight="1">
      <c r="A479" s="785">
        <v>90412</v>
      </c>
      <c r="B479" s="793" t="s">
        <v>1108</v>
      </c>
      <c r="C479" s="785" t="s">
        <v>13</v>
      </c>
      <c r="D479" s="9">
        <v>10007517</v>
      </c>
      <c r="E479" s="5"/>
      <c r="F479" s="5"/>
      <c r="G479" s="5" t="s">
        <v>9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3"/>
      <c r="V479" s="3"/>
      <c r="W479" s="3"/>
      <c r="X479" s="3"/>
      <c r="Y479" s="3"/>
      <c r="Z479" s="3"/>
    </row>
    <row r="480" spans="1:26" ht="21" hidden="1" customHeight="1">
      <c r="A480" s="785">
        <v>90413</v>
      </c>
      <c r="B480" s="793" t="s">
        <v>1109</v>
      </c>
      <c r="C480" s="785" t="s">
        <v>13</v>
      </c>
      <c r="D480" s="9">
        <v>10018523</v>
      </c>
      <c r="E480" s="5">
        <v>0.14000000000000001</v>
      </c>
      <c r="F480" s="5" t="s">
        <v>8</v>
      </c>
      <c r="G480" s="5" t="s">
        <v>9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3"/>
      <c r="V480" s="3"/>
      <c r="W480" s="3"/>
      <c r="X480" s="3"/>
      <c r="Y480" s="3"/>
      <c r="Z480" s="3"/>
    </row>
    <row r="481" spans="1:26" ht="21" hidden="1" customHeight="1">
      <c r="A481" s="804">
        <v>629220</v>
      </c>
      <c r="B481" s="845" t="s">
        <v>735</v>
      </c>
      <c r="C481" s="813" t="s">
        <v>13</v>
      </c>
      <c r="D481" s="22">
        <v>2988</v>
      </c>
      <c r="E481" s="5">
        <v>0.18</v>
      </c>
      <c r="F481" s="5" t="s">
        <v>8</v>
      </c>
      <c r="G481" s="5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3"/>
      <c r="V481" s="3"/>
      <c r="W481" s="3"/>
      <c r="X481" s="3"/>
      <c r="Y481" s="3"/>
      <c r="Z481" s="3"/>
    </row>
    <row r="482" spans="1:26" ht="21" hidden="1" customHeight="1">
      <c r="A482" s="804">
        <v>3021</v>
      </c>
      <c r="B482" s="845" t="s">
        <v>68</v>
      </c>
      <c r="C482" s="813" t="s">
        <v>962</v>
      </c>
      <c r="D482" s="22">
        <v>376</v>
      </c>
      <c r="E482" s="5">
        <v>0.03</v>
      </c>
      <c r="F482" s="5" t="s">
        <v>8</v>
      </c>
      <c r="G482" s="5" t="s">
        <v>9</v>
      </c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3"/>
      <c r="V482" s="3"/>
      <c r="W482" s="3"/>
      <c r="X482" s="3"/>
      <c r="Y482" s="3"/>
      <c r="Z482" s="3"/>
    </row>
    <row r="483" spans="1:26" ht="21" hidden="1" customHeight="1">
      <c r="A483" s="785">
        <v>90522</v>
      </c>
      <c r="B483" s="793" t="s">
        <v>68</v>
      </c>
      <c r="C483" s="785"/>
      <c r="D483" s="22">
        <v>3098</v>
      </c>
      <c r="E483" s="5">
        <v>0.18</v>
      </c>
      <c r="F483" s="5" t="s">
        <v>8</v>
      </c>
      <c r="G483" s="5" t="s">
        <v>9</v>
      </c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3"/>
      <c r="V483" s="3"/>
      <c r="W483" s="3"/>
      <c r="X483" s="3"/>
      <c r="Y483" s="3"/>
      <c r="Z483" s="3"/>
    </row>
    <row r="484" spans="1:26" ht="21" hidden="1" customHeight="1">
      <c r="A484" s="785">
        <v>3021</v>
      </c>
      <c r="B484" s="793" t="s">
        <v>68</v>
      </c>
      <c r="C484" s="785" t="s">
        <v>10</v>
      </c>
      <c r="D484" s="22">
        <v>3077</v>
      </c>
      <c r="E484" s="5">
        <v>4.4999999999999998E-2</v>
      </c>
      <c r="F484" s="5" t="s">
        <v>8</v>
      </c>
      <c r="G484" s="5" t="s">
        <v>9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3"/>
      <c r="V484" s="3"/>
      <c r="W484" s="3"/>
      <c r="X484" s="3"/>
      <c r="Y484" s="3"/>
      <c r="Z484" s="3"/>
    </row>
    <row r="485" spans="1:26" ht="21" hidden="1" customHeight="1">
      <c r="A485" s="785">
        <v>90656</v>
      </c>
      <c r="B485" s="793" t="s">
        <v>1110</v>
      </c>
      <c r="C485" s="785" t="s">
        <v>13</v>
      </c>
      <c r="D485" s="22">
        <v>375</v>
      </c>
      <c r="E485" s="5">
        <v>3.5000000000000003E-2</v>
      </c>
      <c r="F485" s="5" t="s">
        <v>8</v>
      </c>
      <c r="G485" s="5" t="s">
        <v>9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3"/>
      <c r="V485" s="3"/>
      <c r="W485" s="3"/>
      <c r="X485" s="3"/>
      <c r="Y485" s="3"/>
      <c r="Z485" s="3"/>
    </row>
    <row r="486" spans="1:26" ht="21" hidden="1" customHeight="1">
      <c r="A486" s="814">
        <v>90524</v>
      </c>
      <c r="B486" s="847" t="s">
        <v>1148</v>
      </c>
      <c r="C486" s="814" t="s">
        <v>10</v>
      </c>
      <c r="D486" s="22">
        <v>3035</v>
      </c>
      <c r="E486" s="5">
        <v>0.18</v>
      </c>
      <c r="F486" s="5" t="s">
        <v>8</v>
      </c>
      <c r="G486" s="5" t="s">
        <v>9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3"/>
      <c r="V486" s="3"/>
      <c r="W486" s="3"/>
      <c r="X486" s="3"/>
      <c r="Y486" s="3"/>
      <c r="Z486" s="3"/>
    </row>
    <row r="487" spans="1:26" ht="21" hidden="1" customHeight="1">
      <c r="A487" s="785">
        <v>4096</v>
      </c>
      <c r="B487" s="793" t="s">
        <v>1111</v>
      </c>
      <c r="C487" s="785" t="s">
        <v>10</v>
      </c>
      <c r="D487" s="23">
        <v>690001</v>
      </c>
      <c r="E487" s="5">
        <v>0.03</v>
      </c>
      <c r="F487" s="5" t="s">
        <v>8</v>
      </c>
      <c r="G487" s="5" t="s">
        <v>9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3"/>
      <c r="V487" s="3"/>
      <c r="W487" s="3"/>
      <c r="X487" s="3"/>
      <c r="Y487" s="3"/>
      <c r="Z487" s="3"/>
    </row>
    <row r="488" spans="1:26" ht="21" hidden="1" customHeight="1">
      <c r="A488" s="785">
        <v>90254</v>
      </c>
      <c r="B488" s="793" t="s">
        <v>1153</v>
      </c>
      <c r="C488" s="785" t="s">
        <v>10</v>
      </c>
      <c r="D488" s="22">
        <v>602826</v>
      </c>
      <c r="E488" s="24">
        <v>0.18</v>
      </c>
      <c r="F488" s="5" t="s">
        <v>8</v>
      </c>
      <c r="G488" s="5" t="s">
        <v>9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3"/>
      <c r="V488" s="3"/>
      <c r="W488" s="3"/>
      <c r="X488" s="3"/>
      <c r="Y488" s="3"/>
      <c r="Z488" s="3"/>
    </row>
    <row r="489" spans="1:26" ht="21" hidden="1" customHeight="1">
      <c r="A489" s="785">
        <v>252</v>
      </c>
      <c r="B489" s="793" t="s">
        <v>1112</v>
      </c>
      <c r="C489" s="785" t="s">
        <v>10</v>
      </c>
      <c r="D489" s="23">
        <v>3173</v>
      </c>
      <c r="E489" s="24">
        <v>0.08</v>
      </c>
      <c r="F489" s="5" t="s">
        <v>8</v>
      </c>
      <c r="G489" s="5" t="s">
        <v>9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3"/>
      <c r="V489" s="3"/>
      <c r="W489" s="3"/>
      <c r="X489" s="3"/>
      <c r="Y489" s="3"/>
      <c r="Z489" s="3"/>
    </row>
    <row r="490" spans="1:26" ht="21" hidden="1" customHeight="1">
      <c r="A490" s="785">
        <v>90525</v>
      </c>
      <c r="B490" s="793" t="s">
        <v>1129</v>
      </c>
      <c r="C490" s="785" t="s">
        <v>10</v>
      </c>
      <c r="D490" s="23">
        <v>603821</v>
      </c>
      <c r="E490" s="25">
        <v>0.03</v>
      </c>
      <c r="F490" s="25" t="s">
        <v>8</v>
      </c>
      <c r="G490" s="25" t="s">
        <v>9</v>
      </c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7"/>
      <c r="U490" s="3"/>
      <c r="V490" s="3"/>
      <c r="W490" s="3"/>
      <c r="X490" s="3"/>
      <c r="Y490" s="3"/>
      <c r="Z490" s="3"/>
    </row>
    <row r="491" spans="1:26" ht="21" hidden="1" customHeight="1">
      <c r="A491" s="804">
        <v>90519</v>
      </c>
      <c r="B491" s="845" t="s">
        <v>709</v>
      </c>
      <c r="C491" s="813" t="s">
        <v>13</v>
      </c>
      <c r="D491" s="23">
        <v>625220</v>
      </c>
      <c r="E491" s="25">
        <v>0.1</v>
      </c>
      <c r="F491" s="25" t="s">
        <v>8</v>
      </c>
      <c r="G491" s="25" t="s">
        <v>9</v>
      </c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7"/>
      <c r="U491" s="3"/>
      <c r="V491" s="3"/>
      <c r="W491" s="3"/>
      <c r="X491" s="3"/>
      <c r="Y491" s="3"/>
      <c r="Z491" s="3"/>
    </row>
    <row r="492" spans="1:26" ht="21" hidden="1" customHeight="1">
      <c r="A492" s="785">
        <v>90519</v>
      </c>
      <c r="B492" s="793" t="s">
        <v>709</v>
      </c>
      <c r="C492" s="785" t="s">
        <v>13</v>
      </c>
      <c r="D492" s="23">
        <v>3033</v>
      </c>
      <c r="E492" s="24">
        <v>0.01</v>
      </c>
      <c r="F492" s="5" t="s">
        <v>8</v>
      </c>
      <c r="G492" s="5" t="s">
        <v>9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3"/>
      <c r="V492" s="3"/>
      <c r="W492" s="3"/>
      <c r="X492" s="3"/>
      <c r="Y492" s="3"/>
      <c r="Z492" s="3"/>
    </row>
    <row r="493" spans="1:26" ht="21" hidden="1" customHeight="1">
      <c r="A493" s="804">
        <v>90520</v>
      </c>
      <c r="B493" s="845" t="s">
        <v>710</v>
      </c>
      <c r="C493" s="813" t="s">
        <v>13</v>
      </c>
      <c r="D493" s="22">
        <v>3097</v>
      </c>
      <c r="E493" s="5">
        <v>1.1000000000000001</v>
      </c>
      <c r="F493" s="5" t="s">
        <v>8</v>
      </c>
      <c r="G493" s="5" t="s">
        <v>9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3"/>
      <c r="V493" s="3"/>
      <c r="W493" s="3"/>
      <c r="X493" s="3"/>
      <c r="Y493" s="3"/>
      <c r="Z493" s="3"/>
    </row>
    <row r="494" spans="1:26" ht="21" hidden="1" customHeight="1">
      <c r="A494" s="785">
        <v>90520</v>
      </c>
      <c r="B494" s="793" t="s">
        <v>710</v>
      </c>
      <c r="C494" s="785" t="s">
        <v>13</v>
      </c>
      <c r="D494" s="22"/>
      <c r="E494" s="5"/>
      <c r="F494" s="5"/>
      <c r="G494" s="5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3"/>
      <c r="V494" s="3"/>
      <c r="W494" s="3"/>
      <c r="X494" s="3"/>
      <c r="Y494" s="3"/>
      <c r="Z494" s="3"/>
    </row>
    <row r="495" spans="1:26" ht="21" hidden="1" customHeight="1">
      <c r="A495" s="804">
        <v>3095</v>
      </c>
      <c r="B495" s="845" t="s">
        <v>69</v>
      </c>
      <c r="C495" s="813" t="s">
        <v>962</v>
      </c>
      <c r="D495" s="22">
        <v>3887</v>
      </c>
      <c r="E495" s="5">
        <v>1</v>
      </c>
      <c r="F495" s="5" t="s">
        <v>8</v>
      </c>
      <c r="G495" s="5" t="s">
        <v>9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3"/>
      <c r="V495" s="3"/>
      <c r="W495" s="3"/>
      <c r="X495" s="3"/>
      <c r="Y495" s="3"/>
      <c r="Z495" s="3"/>
    </row>
    <row r="496" spans="1:26" ht="21" hidden="1" customHeight="1">
      <c r="A496" s="785">
        <v>3095</v>
      </c>
      <c r="B496" s="793" t="s">
        <v>69</v>
      </c>
      <c r="C496" s="785" t="s">
        <v>10</v>
      </c>
      <c r="D496" s="23">
        <v>500</v>
      </c>
      <c r="E496" s="5">
        <v>1.2</v>
      </c>
      <c r="F496" s="5" t="s">
        <v>8</v>
      </c>
      <c r="G496" s="5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3"/>
      <c r="V496" s="3"/>
      <c r="W496" s="3"/>
      <c r="X496" s="3"/>
      <c r="Y496" s="3"/>
      <c r="Z496" s="3"/>
    </row>
    <row r="497" spans="1:26" ht="21" hidden="1" customHeight="1">
      <c r="A497" s="804">
        <v>3096</v>
      </c>
      <c r="B497" s="845" t="s">
        <v>70</v>
      </c>
      <c r="C497" s="813" t="s">
        <v>962</v>
      </c>
      <c r="D497" s="23">
        <v>756</v>
      </c>
      <c r="E497" s="5">
        <v>2.2000000000000002</v>
      </c>
      <c r="F497" s="5" t="s">
        <v>8</v>
      </c>
      <c r="G497" s="5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3"/>
      <c r="V497" s="3"/>
      <c r="W497" s="3"/>
      <c r="X497" s="3"/>
      <c r="Y497" s="3"/>
      <c r="Z497" s="3"/>
    </row>
    <row r="498" spans="1:26" ht="21" hidden="1" customHeight="1">
      <c r="A498" s="785">
        <v>3096</v>
      </c>
      <c r="B498" s="793" t="s">
        <v>70</v>
      </c>
      <c r="C498" s="785" t="s">
        <v>10</v>
      </c>
      <c r="D498" s="11">
        <v>1611</v>
      </c>
      <c r="E498" s="5">
        <v>0.02</v>
      </c>
      <c r="F498" s="5" t="s">
        <v>8</v>
      </c>
      <c r="G498" s="5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3"/>
      <c r="V498" s="3"/>
      <c r="W498" s="3"/>
      <c r="X498" s="3"/>
      <c r="Y498" s="3"/>
      <c r="Z498" s="3"/>
    </row>
    <row r="499" spans="1:26" ht="21" hidden="1" customHeight="1">
      <c r="A499" s="804">
        <v>90522</v>
      </c>
      <c r="B499" s="845" t="s">
        <v>754</v>
      </c>
      <c r="C499" s="813" t="s">
        <v>962</v>
      </c>
      <c r="D499" s="11">
        <v>1662</v>
      </c>
      <c r="E499" s="5">
        <v>0.46</v>
      </c>
      <c r="F499" s="5" t="s">
        <v>8</v>
      </c>
      <c r="G499" s="5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3"/>
      <c r="V499" s="3"/>
      <c r="W499" s="3"/>
      <c r="X499" s="3"/>
      <c r="Y499" s="3"/>
      <c r="Z499" s="3"/>
    </row>
    <row r="500" spans="1:26" ht="21" hidden="1" customHeight="1">
      <c r="A500" s="785">
        <v>90422</v>
      </c>
      <c r="B500" s="793" t="s">
        <v>1113</v>
      </c>
      <c r="C500" s="785" t="s">
        <v>13</v>
      </c>
      <c r="D500" s="10" t="s">
        <v>13</v>
      </c>
      <c r="E500" s="10" t="s">
        <v>13</v>
      </c>
      <c r="F500" s="10" t="s">
        <v>13</v>
      </c>
      <c r="G500" s="10" t="s">
        <v>13</v>
      </c>
      <c r="H500" s="1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3"/>
      <c r="V500" s="3"/>
      <c r="W500" s="3"/>
      <c r="X500" s="3"/>
      <c r="Y500" s="3"/>
      <c r="Z500" s="3"/>
    </row>
    <row r="501" spans="1:26" ht="21" hidden="1" customHeight="1">
      <c r="A501" s="804">
        <v>90423</v>
      </c>
      <c r="B501" s="845" t="s">
        <v>690</v>
      </c>
      <c r="C501" s="814" t="s">
        <v>962</v>
      </c>
      <c r="D501" s="773"/>
      <c r="E501" s="10"/>
      <c r="F501" s="10"/>
      <c r="G501" s="10"/>
      <c r="H501" s="1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772"/>
      <c r="V501" s="772"/>
      <c r="W501" s="772"/>
      <c r="X501" s="772"/>
      <c r="Y501" s="772"/>
      <c r="Z501" s="772"/>
    </row>
    <row r="502" spans="1:26" ht="21" hidden="1" customHeight="1">
      <c r="A502" s="803">
        <v>90422</v>
      </c>
      <c r="B502" s="790" t="s">
        <v>690</v>
      </c>
      <c r="C502" s="814" t="s">
        <v>962</v>
      </c>
      <c r="D502" s="11"/>
      <c r="E502" s="5"/>
      <c r="F502" s="5"/>
      <c r="G502" s="5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3"/>
      <c r="V502" s="3"/>
      <c r="W502" s="3"/>
      <c r="X502" s="3"/>
      <c r="Y502" s="3"/>
      <c r="Z502" s="3"/>
    </row>
    <row r="503" spans="1:26" ht="21" hidden="1" customHeight="1">
      <c r="A503" s="785">
        <v>90423</v>
      </c>
      <c r="B503" s="793" t="s">
        <v>690</v>
      </c>
      <c r="C503" s="785" t="s">
        <v>13</v>
      </c>
      <c r="D503" s="24"/>
      <c r="E503" s="5"/>
      <c r="F503" s="5"/>
      <c r="G503" s="5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772"/>
      <c r="V503" s="772"/>
      <c r="W503" s="772"/>
      <c r="X503" s="772"/>
      <c r="Y503" s="772"/>
      <c r="Z503" s="772"/>
    </row>
    <row r="504" spans="1:26" ht="21" hidden="1" customHeight="1">
      <c r="A504" s="785">
        <v>90427</v>
      </c>
      <c r="B504" s="793" t="s">
        <v>1114</v>
      </c>
      <c r="C504" s="785" t="s">
        <v>13</v>
      </c>
      <c r="D504" s="11">
        <v>1667</v>
      </c>
      <c r="E504" s="5">
        <v>6.6</v>
      </c>
      <c r="F504" s="5" t="s">
        <v>8</v>
      </c>
      <c r="G504" s="5" t="s">
        <v>9</v>
      </c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3"/>
      <c r="V504" s="3"/>
      <c r="W504" s="3"/>
      <c r="X504" s="3"/>
      <c r="Y504" s="3"/>
      <c r="Z504" s="3"/>
    </row>
    <row r="505" spans="1:26" ht="21" hidden="1" customHeight="1">
      <c r="A505" s="804">
        <v>90530</v>
      </c>
      <c r="B505" s="845" t="s">
        <v>711</v>
      </c>
      <c r="C505" s="813" t="s">
        <v>13</v>
      </c>
      <c r="D505" s="11"/>
      <c r="E505" s="5"/>
      <c r="F505" s="5"/>
      <c r="G505" s="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3"/>
      <c r="V505" s="3"/>
      <c r="W505" s="3"/>
      <c r="X505" s="3"/>
      <c r="Y505" s="3"/>
      <c r="Z505" s="3"/>
    </row>
    <row r="506" spans="1:26" ht="21" hidden="1" customHeight="1">
      <c r="A506" s="785">
        <v>90530</v>
      </c>
      <c r="B506" s="793" t="s">
        <v>711</v>
      </c>
      <c r="C506" s="785" t="s">
        <v>13</v>
      </c>
      <c r="D506" s="11" t="s">
        <v>11</v>
      </c>
      <c r="E506" s="5">
        <v>1.27</v>
      </c>
      <c r="F506" s="5" t="s">
        <v>8</v>
      </c>
      <c r="G506" s="5" t="s">
        <v>9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3"/>
      <c r="V506" s="3"/>
      <c r="W506" s="3"/>
      <c r="X506" s="3"/>
      <c r="Y506" s="3"/>
      <c r="Z506" s="3"/>
    </row>
    <row r="507" spans="1:26" ht="21" hidden="1" customHeight="1">
      <c r="A507" s="785">
        <v>90532</v>
      </c>
      <c r="B507" s="793" t="s">
        <v>1115</v>
      </c>
      <c r="C507" s="785" t="s">
        <v>13</v>
      </c>
      <c r="D507" s="11" t="s">
        <v>11</v>
      </c>
      <c r="E507" s="5">
        <v>0.73</v>
      </c>
      <c r="F507" s="5" t="s">
        <v>8</v>
      </c>
      <c r="G507" s="5" t="s">
        <v>9</v>
      </c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3"/>
      <c r="V507" s="3"/>
      <c r="W507" s="3"/>
      <c r="X507" s="3"/>
      <c r="Y507" s="3"/>
      <c r="Z507" s="3"/>
    </row>
    <row r="508" spans="1:26" ht="21" hidden="1" customHeight="1">
      <c r="A508" s="804">
        <v>3037</v>
      </c>
      <c r="B508" s="845" t="s">
        <v>71</v>
      </c>
      <c r="C508" s="813" t="s">
        <v>962</v>
      </c>
      <c r="D508" s="14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3"/>
      <c r="V508" s="3"/>
      <c r="W508" s="3"/>
      <c r="X508" s="3"/>
      <c r="Y508" s="3"/>
      <c r="Z508" s="3"/>
    </row>
    <row r="509" spans="1:26" ht="21" hidden="1" customHeight="1">
      <c r="A509" s="785">
        <v>3037</v>
      </c>
      <c r="B509" s="793" t="s">
        <v>71</v>
      </c>
      <c r="C509" s="785" t="s">
        <v>10</v>
      </c>
      <c r="D509" s="14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3"/>
      <c r="V509" s="3"/>
      <c r="W509" s="3"/>
      <c r="X509" s="3"/>
      <c r="Y509" s="3"/>
      <c r="Z509" s="3"/>
    </row>
    <row r="510" spans="1:26" ht="21" hidden="1" customHeight="1">
      <c r="A510" s="785">
        <v>312</v>
      </c>
      <c r="B510" s="793" t="s">
        <v>1116</v>
      </c>
      <c r="C510" s="785" t="s">
        <v>10</v>
      </c>
      <c r="D510" s="14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3"/>
      <c r="V510" s="3"/>
      <c r="W510" s="3"/>
      <c r="X510" s="3"/>
      <c r="Y510" s="3"/>
      <c r="Z510" s="3"/>
    </row>
    <row r="511" spans="1:26" ht="21" hidden="1" customHeight="1">
      <c r="A511" s="804">
        <v>3039</v>
      </c>
      <c r="B511" s="845" t="s">
        <v>72</v>
      </c>
      <c r="C511" s="813" t="s">
        <v>962</v>
      </c>
      <c r="D511" s="11" t="s">
        <v>11</v>
      </c>
      <c r="E511" s="5">
        <v>3.69</v>
      </c>
      <c r="F511" s="5" t="s">
        <v>8</v>
      </c>
      <c r="G511" s="5" t="s">
        <v>20</v>
      </c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3"/>
      <c r="V511" s="3"/>
      <c r="W511" s="3"/>
      <c r="X511" s="3"/>
      <c r="Y511" s="3"/>
      <c r="Z511" s="3"/>
    </row>
    <row r="512" spans="1:26" ht="21" hidden="1" customHeight="1">
      <c r="A512" s="785">
        <v>3039</v>
      </c>
      <c r="B512" s="793" t="s">
        <v>72</v>
      </c>
      <c r="C512" s="785" t="s">
        <v>10</v>
      </c>
      <c r="D512" s="11" t="s">
        <v>11</v>
      </c>
      <c r="E512" s="5">
        <v>0.54</v>
      </c>
      <c r="F512" s="5" t="s">
        <v>8</v>
      </c>
      <c r="G512" s="5" t="s">
        <v>9</v>
      </c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3"/>
      <c r="V512" s="3"/>
      <c r="W512" s="3"/>
      <c r="X512" s="3"/>
      <c r="Y512" s="3"/>
      <c r="Z512" s="3"/>
    </row>
    <row r="513" spans="1:26" ht="21" hidden="1" customHeight="1">
      <c r="A513" s="804">
        <v>90804</v>
      </c>
      <c r="B513" s="845" t="s">
        <v>731</v>
      </c>
      <c r="C513" s="813" t="s">
        <v>13</v>
      </c>
      <c r="D513" s="24"/>
      <c r="E513" s="5"/>
      <c r="F513" s="5"/>
      <c r="G513" s="5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772"/>
      <c r="V513" s="772"/>
      <c r="W513" s="772"/>
      <c r="X513" s="772"/>
      <c r="Y513" s="772"/>
      <c r="Z513" s="772"/>
    </row>
    <row r="514" spans="1:26" ht="21" hidden="1" customHeight="1">
      <c r="A514" s="785">
        <v>4088</v>
      </c>
      <c r="B514" s="793" t="s">
        <v>1117</v>
      </c>
      <c r="C514" s="785" t="s">
        <v>10</v>
      </c>
      <c r="D514" s="24"/>
      <c r="E514" s="5"/>
      <c r="F514" s="5"/>
      <c r="G514" s="5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772"/>
      <c r="V514" s="772"/>
      <c r="W514" s="772"/>
      <c r="X514" s="772"/>
      <c r="Y514" s="772"/>
      <c r="Z514" s="772"/>
    </row>
    <row r="515" spans="1:26" ht="21" hidden="1" customHeight="1">
      <c r="A515" s="804">
        <v>3146</v>
      </c>
      <c r="B515" s="845" t="s">
        <v>73</v>
      </c>
      <c r="C515" s="813" t="s">
        <v>962</v>
      </c>
      <c r="D515" s="11"/>
      <c r="E515" s="5"/>
      <c r="F515" s="5"/>
      <c r="G515" s="5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3"/>
      <c r="V515" s="3"/>
      <c r="W515" s="3"/>
      <c r="X515" s="3"/>
      <c r="Y515" s="3"/>
      <c r="Z515" s="3"/>
    </row>
    <row r="516" spans="1:26" ht="21" hidden="1" customHeight="1">
      <c r="A516" s="803">
        <v>92196</v>
      </c>
      <c r="B516" s="790" t="s">
        <v>73</v>
      </c>
      <c r="C516" s="803" t="s">
        <v>10</v>
      </c>
      <c r="D516" s="11" t="s">
        <v>11</v>
      </c>
      <c r="E516" s="5">
        <v>0.48</v>
      </c>
      <c r="F516" s="5" t="s">
        <v>8</v>
      </c>
      <c r="G516" s="5" t="s">
        <v>9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3"/>
      <c r="V516" s="3"/>
      <c r="W516" s="3"/>
      <c r="X516" s="3"/>
      <c r="Y516" s="3"/>
      <c r="Z516" s="3"/>
    </row>
    <row r="517" spans="1:26" ht="21" hidden="1" customHeight="1">
      <c r="A517" s="785">
        <v>3146</v>
      </c>
      <c r="B517" s="793" t="s">
        <v>73</v>
      </c>
      <c r="C517" s="785" t="s">
        <v>10</v>
      </c>
      <c r="D517" s="11">
        <v>5703</v>
      </c>
      <c r="E517" s="5">
        <v>0.82499999999999996</v>
      </c>
      <c r="F517" s="5" t="s">
        <v>8</v>
      </c>
      <c r="G517" s="5" t="s">
        <v>9</v>
      </c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3"/>
      <c r="V517" s="3"/>
      <c r="W517" s="3"/>
      <c r="X517" s="3"/>
      <c r="Y517" s="3"/>
      <c r="Z517" s="3"/>
    </row>
    <row r="518" spans="1:26" ht="21" hidden="1" customHeight="1">
      <c r="A518" s="804">
        <v>90342</v>
      </c>
      <c r="B518" s="845" t="s">
        <v>74</v>
      </c>
      <c r="C518" s="814" t="s">
        <v>962</v>
      </c>
      <c r="D518" s="11">
        <v>7530</v>
      </c>
      <c r="E518" s="5">
        <v>4</v>
      </c>
      <c r="F518" s="5" t="s">
        <v>8</v>
      </c>
      <c r="G518" s="5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3"/>
      <c r="V518" s="3"/>
      <c r="W518" s="3"/>
      <c r="X518" s="3"/>
      <c r="Y518" s="3"/>
      <c r="Z518" s="3"/>
    </row>
    <row r="519" spans="1:26" ht="21" hidden="1" customHeight="1">
      <c r="A519" s="803">
        <v>90096</v>
      </c>
      <c r="B519" s="790" t="s">
        <v>986</v>
      </c>
      <c r="C519" s="803" t="s">
        <v>13</v>
      </c>
      <c r="D519" s="30">
        <v>5703</v>
      </c>
      <c r="E519" s="31">
        <v>0.83499999999999996</v>
      </c>
      <c r="F519" s="31" t="s">
        <v>8</v>
      </c>
      <c r="G519" s="31" t="s">
        <v>9</v>
      </c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"/>
      <c r="V519" s="3"/>
      <c r="W519" s="3"/>
      <c r="X519" s="3"/>
      <c r="Y519" s="3"/>
      <c r="Z519" s="3"/>
    </row>
    <row r="520" spans="1:26" ht="21" hidden="1" customHeight="1">
      <c r="A520" s="785">
        <v>90064</v>
      </c>
      <c r="B520" s="793" t="s">
        <v>1118</v>
      </c>
      <c r="C520" s="785" t="s">
        <v>13</v>
      </c>
      <c r="D520" s="11">
        <v>17515</v>
      </c>
      <c r="E520" s="5">
        <v>4.5</v>
      </c>
      <c r="F520" s="5" t="s">
        <v>8</v>
      </c>
      <c r="G520" s="5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15"/>
      <c r="V520" s="15"/>
      <c r="W520" s="15"/>
      <c r="X520" s="15"/>
      <c r="Y520" s="15"/>
      <c r="Z520" s="15"/>
    </row>
    <row r="521" spans="1:26" ht="21" hidden="1" customHeight="1">
      <c r="A521" s="785">
        <v>90065</v>
      </c>
      <c r="B521" s="793" t="s">
        <v>1119</v>
      </c>
      <c r="C521" s="785" t="s">
        <v>13</v>
      </c>
      <c r="D521" s="11" t="s">
        <v>75</v>
      </c>
      <c r="E521" s="5">
        <v>0.15</v>
      </c>
      <c r="F521" s="5" t="s">
        <v>8</v>
      </c>
      <c r="G521" s="5" t="s">
        <v>9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15"/>
      <c r="V521" s="15"/>
      <c r="W521" s="15"/>
      <c r="X521" s="15"/>
      <c r="Y521" s="15"/>
      <c r="Z521" s="15"/>
    </row>
    <row r="522" spans="1:26" ht="21" hidden="1" customHeight="1">
      <c r="A522" s="785">
        <v>90066</v>
      </c>
      <c r="B522" s="793" t="s">
        <v>1120</v>
      </c>
      <c r="C522" s="785" t="s">
        <v>13</v>
      </c>
      <c r="D522" s="11" t="s">
        <v>11</v>
      </c>
      <c r="E522" s="5">
        <v>0.26</v>
      </c>
      <c r="F522" s="5" t="s">
        <v>8</v>
      </c>
      <c r="G522" s="5" t="s">
        <v>9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15"/>
      <c r="V522" s="15"/>
      <c r="W522" s="15"/>
      <c r="X522" s="15"/>
      <c r="Y522" s="15"/>
      <c r="Z522" s="15"/>
    </row>
    <row r="523" spans="1:26" ht="21" hidden="1" customHeight="1">
      <c r="A523" s="785">
        <v>90067</v>
      </c>
      <c r="B523" s="793" t="s">
        <v>1121</v>
      </c>
      <c r="C523" s="785" t="s">
        <v>13</v>
      </c>
      <c r="D523" s="33"/>
      <c r="E523" s="29"/>
      <c r="F523" s="29"/>
      <c r="G523" s="2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15"/>
      <c r="V523" s="15"/>
      <c r="W523" s="15"/>
      <c r="X523" s="15"/>
      <c r="Y523" s="15"/>
      <c r="Z523" s="15"/>
    </row>
    <row r="524" spans="1:26" ht="21" hidden="1" customHeight="1">
      <c r="A524" s="804">
        <v>90094</v>
      </c>
      <c r="B524" s="845" t="s">
        <v>609</v>
      </c>
      <c r="C524" s="813" t="s">
        <v>962</v>
      </c>
      <c r="D524" s="34" t="s">
        <v>75</v>
      </c>
      <c r="E524" s="35">
        <v>0.33</v>
      </c>
      <c r="F524" s="35" t="s">
        <v>8</v>
      </c>
      <c r="G524" s="35" t="s">
        <v>9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3"/>
      <c r="V524" s="3"/>
      <c r="W524" s="3"/>
      <c r="X524" s="3"/>
      <c r="Y524" s="3"/>
      <c r="Z524" s="3"/>
    </row>
    <row r="525" spans="1:26" ht="21" hidden="1" customHeight="1">
      <c r="A525" s="785">
        <v>90094</v>
      </c>
      <c r="B525" s="793" t="s">
        <v>609</v>
      </c>
      <c r="C525" s="785" t="s">
        <v>13</v>
      </c>
      <c r="D525" s="34" t="s">
        <v>75</v>
      </c>
      <c r="E525" s="35">
        <v>0.4</v>
      </c>
      <c r="F525" s="35" t="s">
        <v>8</v>
      </c>
      <c r="G525" s="3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3"/>
      <c r="V525" s="3"/>
      <c r="W525" s="3"/>
      <c r="X525" s="3"/>
      <c r="Y525" s="3"/>
      <c r="Z525" s="3"/>
    </row>
    <row r="526" spans="1:26" ht="21" hidden="1" customHeight="1">
      <c r="A526" s="785">
        <v>90095</v>
      </c>
      <c r="B526" s="793" t="s">
        <v>1122</v>
      </c>
      <c r="C526" s="785" t="s">
        <v>13</v>
      </c>
      <c r="D526" s="34" t="s">
        <v>11</v>
      </c>
      <c r="E526" s="35">
        <v>0.13</v>
      </c>
      <c r="F526" s="35" t="s">
        <v>8</v>
      </c>
      <c r="G526" s="35" t="s">
        <v>9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3"/>
      <c r="V526" s="3"/>
      <c r="W526" s="3"/>
      <c r="X526" s="3"/>
      <c r="Y526" s="3"/>
      <c r="Z526" s="3"/>
    </row>
    <row r="527" spans="1:26" ht="21" hidden="1" customHeight="1">
      <c r="A527" s="785">
        <v>90096</v>
      </c>
      <c r="B527" s="793" t="s">
        <v>1123</v>
      </c>
      <c r="C527" s="785" t="s">
        <v>13</v>
      </c>
      <c r="D527" s="34" t="s">
        <v>11</v>
      </c>
      <c r="E527" s="35">
        <v>0.16</v>
      </c>
      <c r="F527" s="35" t="s">
        <v>8</v>
      </c>
      <c r="G527" s="35" t="s">
        <v>9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3"/>
      <c r="V527" s="3"/>
      <c r="W527" s="3"/>
      <c r="X527" s="3"/>
      <c r="Y527" s="3"/>
      <c r="Z527" s="3"/>
    </row>
    <row r="528" spans="1:26" ht="21" hidden="1" customHeight="1">
      <c r="A528" s="785">
        <v>90097</v>
      </c>
      <c r="B528" s="793" t="s">
        <v>1124</v>
      </c>
      <c r="C528" s="785" t="s">
        <v>13</v>
      </c>
      <c r="D528" s="34" t="s">
        <v>11</v>
      </c>
      <c r="E528" s="35">
        <v>0.24</v>
      </c>
      <c r="F528" s="35" t="s">
        <v>8</v>
      </c>
      <c r="G528" s="35" t="s">
        <v>9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3"/>
      <c r="V528" s="3"/>
      <c r="W528" s="3"/>
      <c r="X528" s="3"/>
      <c r="Y528" s="3"/>
      <c r="Z528" s="3"/>
    </row>
    <row r="529" spans="1:26" ht="21" hidden="1" customHeight="1">
      <c r="A529" s="804">
        <v>90078</v>
      </c>
      <c r="B529" s="845" t="s">
        <v>749</v>
      </c>
      <c r="C529" s="813" t="s">
        <v>962</v>
      </c>
      <c r="D529" s="36"/>
      <c r="E529" s="37"/>
      <c r="F529" s="37"/>
      <c r="G529" s="3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3"/>
      <c r="V529" s="3"/>
      <c r="W529" s="3"/>
      <c r="X529" s="3"/>
      <c r="Y529" s="3"/>
      <c r="Z529" s="3"/>
    </row>
    <row r="530" spans="1:26" ht="21" hidden="1" customHeight="1">
      <c r="A530" s="804">
        <v>90048</v>
      </c>
      <c r="B530" s="845" t="s">
        <v>606</v>
      </c>
      <c r="C530" s="813" t="s">
        <v>962</v>
      </c>
      <c r="D530" s="34" t="s">
        <v>11</v>
      </c>
      <c r="E530" s="35">
        <v>0.5</v>
      </c>
      <c r="F530" s="35" t="s">
        <v>8</v>
      </c>
      <c r="G530" s="35" t="s">
        <v>19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3"/>
      <c r="V530" s="3"/>
      <c r="W530" s="3"/>
      <c r="X530" s="3"/>
      <c r="Y530" s="3"/>
      <c r="Z530" s="3"/>
    </row>
    <row r="531" spans="1:26" ht="21" hidden="1" customHeight="1">
      <c r="A531" s="785">
        <v>90048</v>
      </c>
      <c r="B531" s="793" t="s">
        <v>606</v>
      </c>
      <c r="C531" s="785" t="s">
        <v>13</v>
      </c>
      <c r="D531" s="34" t="s">
        <v>11</v>
      </c>
      <c r="E531" s="35">
        <v>2.16</v>
      </c>
      <c r="F531" s="35" t="s">
        <v>8</v>
      </c>
      <c r="G531" s="35" t="s">
        <v>19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3"/>
      <c r="V531" s="3"/>
      <c r="W531" s="3"/>
      <c r="X531" s="3"/>
      <c r="Y531" s="3"/>
      <c r="Z531" s="3"/>
    </row>
    <row r="532" spans="1:26" ht="21" hidden="1" customHeight="1">
      <c r="A532" s="804">
        <v>90049</v>
      </c>
      <c r="B532" s="845" t="s">
        <v>964</v>
      </c>
      <c r="C532" s="813" t="s">
        <v>962</v>
      </c>
      <c r="D532" s="34" t="s">
        <v>11</v>
      </c>
      <c r="E532" s="35">
        <v>0.27</v>
      </c>
      <c r="F532" s="35" t="s">
        <v>8</v>
      </c>
      <c r="G532" s="35" t="s">
        <v>9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3"/>
      <c r="V532" s="3"/>
      <c r="W532" s="3"/>
      <c r="X532" s="3"/>
      <c r="Y532" s="3"/>
      <c r="Z532" s="3"/>
    </row>
    <row r="533" spans="1:26" ht="21" hidden="1" customHeight="1">
      <c r="A533" s="785">
        <v>90049</v>
      </c>
      <c r="B533" s="793" t="s">
        <v>964</v>
      </c>
      <c r="C533" s="785" t="s">
        <v>13</v>
      </c>
      <c r="D533" s="38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1" hidden="1" customHeight="1">
      <c r="A534" s="785">
        <v>90050</v>
      </c>
      <c r="B534" s="793" t="s">
        <v>1125</v>
      </c>
      <c r="C534" s="785" t="s">
        <v>13</v>
      </c>
      <c r="D534" s="34">
        <v>2114</v>
      </c>
      <c r="E534" s="35">
        <v>0.35</v>
      </c>
      <c r="F534" s="35" t="s">
        <v>8</v>
      </c>
      <c r="G534" s="3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1" hidden="1" customHeight="1">
      <c r="A535" s="785">
        <v>90051</v>
      </c>
      <c r="B535" s="793" t="s">
        <v>1126</v>
      </c>
      <c r="C535" s="785" t="s">
        <v>13</v>
      </c>
      <c r="D535" s="34" t="s">
        <v>11</v>
      </c>
      <c r="E535" s="35">
        <v>0.4</v>
      </c>
      <c r="F535" s="35" t="s">
        <v>8</v>
      </c>
      <c r="G535" s="35" t="s">
        <v>9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1" hidden="1" customHeight="1">
      <c r="A536" s="803">
        <v>90053</v>
      </c>
      <c r="B536" s="790" t="s">
        <v>978</v>
      </c>
      <c r="C536" s="803" t="s">
        <v>13</v>
      </c>
      <c r="D536" s="39" t="s">
        <v>11</v>
      </c>
      <c r="E536" s="39">
        <v>0.34</v>
      </c>
      <c r="F536" s="39" t="s">
        <v>8</v>
      </c>
      <c r="G536" s="39" t="s">
        <v>9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3"/>
      <c r="V536" s="3"/>
      <c r="W536" s="3"/>
      <c r="X536" s="3"/>
      <c r="Y536" s="3"/>
      <c r="Z536" s="3"/>
    </row>
    <row r="537" spans="1:26" ht="21" hidden="1" customHeight="1">
      <c r="A537" s="785">
        <v>90053</v>
      </c>
      <c r="B537" s="793" t="s">
        <v>978</v>
      </c>
      <c r="C537" s="785" t="s">
        <v>13</v>
      </c>
      <c r="D537" s="34"/>
      <c r="E537" s="35"/>
      <c r="F537" s="35"/>
      <c r="G537" s="3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1" hidden="1" customHeight="1">
      <c r="A538" s="804">
        <v>90054</v>
      </c>
      <c r="B538" s="845" t="s">
        <v>607</v>
      </c>
      <c r="C538" s="813" t="s">
        <v>962</v>
      </c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3"/>
      <c r="V538" s="3"/>
      <c r="W538" s="3"/>
      <c r="X538" s="3"/>
      <c r="Y538" s="3"/>
      <c r="Z538" s="3"/>
    </row>
    <row r="539" spans="1:26" ht="21" hidden="1" customHeight="1">
      <c r="A539" s="785">
        <v>90054</v>
      </c>
      <c r="B539" s="793" t="s">
        <v>607</v>
      </c>
      <c r="C539" s="785" t="s">
        <v>13</v>
      </c>
      <c r="D539" s="38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1" hidden="1" customHeight="1">
      <c r="A540" s="804">
        <v>90055</v>
      </c>
      <c r="B540" s="845" t="s">
        <v>608</v>
      </c>
      <c r="C540" s="813" t="s">
        <v>962</v>
      </c>
      <c r="D540" s="38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1" hidden="1" customHeight="1">
      <c r="A541" s="785">
        <v>90055</v>
      </c>
      <c r="B541" s="793" t="s">
        <v>608</v>
      </c>
      <c r="C541" s="785" t="s">
        <v>13</v>
      </c>
      <c r="D541" s="38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1" hidden="1" customHeight="1">
      <c r="A542" s="803">
        <v>90056</v>
      </c>
      <c r="B542" s="790" t="s">
        <v>966</v>
      </c>
      <c r="C542" s="803" t="s">
        <v>13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1" hidden="1" customHeight="1">
      <c r="A543" s="804">
        <v>90081</v>
      </c>
      <c r="B543" s="845" t="s">
        <v>1144</v>
      </c>
      <c r="C543" s="813" t="s">
        <v>962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1" hidden="1" customHeight="1">
      <c r="A544" s="785">
        <v>90082</v>
      </c>
      <c r="B544" s="793" t="s">
        <v>1127</v>
      </c>
      <c r="C544" s="785" t="s">
        <v>13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1" hidden="1" customHeight="1">
      <c r="A545" s="804">
        <v>90083</v>
      </c>
      <c r="B545" s="845" t="s">
        <v>748</v>
      </c>
      <c r="C545" s="813" t="s">
        <v>962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1" hidden="1" customHeight="1">
      <c r="A546" s="785">
        <v>90083</v>
      </c>
      <c r="B546" s="793" t="s">
        <v>1128</v>
      </c>
      <c r="C546" s="785" t="s">
        <v>13</v>
      </c>
      <c r="D546" s="38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1" hidden="1" customHeight="1">
      <c r="A547" s="800"/>
      <c r="B547" s="816"/>
      <c r="C547" s="801"/>
      <c r="D547" s="38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1" hidden="1" customHeight="1">
      <c r="A548" s="822"/>
      <c r="B548" s="848"/>
      <c r="C548" s="801"/>
      <c r="D548" s="38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1" hidden="1" customHeight="1">
      <c r="A549" s="800"/>
      <c r="B549" s="816"/>
      <c r="C549" s="801"/>
      <c r="D549" s="38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1" customHeight="1">
      <c r="A550" s="807"/>
      <c r="B550" s="795"/>
      <c r="C550" s="807"/>
      <c r="D550" s="38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1" customHeight="1">
      <c r="A551" s="801"/>
      <c r="B551" s="794"/>
      <c r="C551" s="801"/>
      <c r="D551" s="38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1" customHeight="1">
      <c r="A552" s="801"/>
      <c r="B552" s="794"/>
      <c r="C552" s="801"/>
      <c r="D552" s="38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1" customHeight="1">
      <c r="A553" s="801"/>
      <c r="B553" s="794"/>
      <c r="C553" s="801"/>
      <c r="D553" s="38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1" customHeight="1">
      <c r="A554" s="801"/>
      <c r="B554" s="794"/>
      <c r="C554" s="801"/>
      <c r="D554" s="38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1" customHeight="1">
      <c r="A555" s="801"/>
      <c r="B555" s="794"/>
      <c r="C555" s="801"/>
      <c r="D555" s="38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1" customHeight="1">
      <c r="A556" s="801"/>
      <c r="B556" s="794"/>
      <c r="C556" s="801"/>
      <c r="D556" s="38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1" customHeight="1">
      <c r="A557" s="801"/>
      <c r="B557" s="794"/>
      <c r="C557" s="801"/>
      <c r="D557" s="38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1" customHeight="1">
      <c r="A558" s="801"/>
      <c r="B558" s="794"/>
      <c r="C558" s="801"/>
      <c r="D558" s="38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1" customHeight="1">
      <c r="A559" s="801"/>
      <c r="B559" s="794"/>
      <c r="C559" s="801"/>
      <c r="D559" s="38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1" customHeight="1">
      <c r="A560" s="808"/>
      <c r="B560" s="796"/>
      <c r="C560" s="80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1" customHeight="1">
      <c r="A561" s="809"/>
      <c r="B561" s="797"/>
      <c r="C561" s="80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1" customHeight="1">
      <c r="A562" s="809"/>
      <c r="B562" s="797"/>
      <c r="C562" s="80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1" customHeight="1">
      <c r="A563" s="809"/>
      <c r="B563" s="797"/>
      <c r="C563" s="80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1" customHeight="1">
      <c r="A564" s="809"/>
      <c r="B564" s="797"/>
      <c r="C564" s="80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1" customHeight="1">
      <c r="A565" s="809"/>
      <c r="B565" s="797"/>
      <c r="C565" s="80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1" customHeight="1">
      <c r="A566" s="809"/>
      <c r="B566" s="797"/>
      <c r="C566" s="80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1" customHeight="1">
      <c r="A567" s="809"/>
      <c r="B567" s="797"/>
      <c r="C567" s="80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1" customHeight="1">
      <c r="A568" s="809"/>
      <c r="B568" s="797"/>
      <c r="C568" s="80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1" customHeight="1">
      <c r="A569" s="809"/>
      <c r="B569" s="797"/>
      <c r="C569" s="80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1" customHeight="1">
      <c r="A570" s="809"/>
      <c r="B570" s="797"/>
      <c r="C570" s="80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1" customHeight="1">
      <c r="A571" s="809"/>
      <c r="B571" s="797"/>
      <c r="C571" s="80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1" customHeight="1">
      <c r="A572" s="809"/>
      <c r="B572" s="797"/>
      <c r="C572" s="80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1" customHeight="1">
      <c r="A573" s="809"/>
      <c r="B573" s="797"/>
      <c r="C573" s="80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1" customHeight="1">
      <c r="A574" s="809"/>
      <c r="B574" s="797"/>
      <c r="C574" s="80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1" customHeight="1">
      <c r="A575" s="809"/>
      <c r="B575" s="797"/>
      <c r="C575" s="80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1" customHeight="1">
      <c r="A576" s="809"/>
      <c r="B576" s="797"/>
      <c r="C576" s="80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1" customHeight="1">
      <c r="A577" s="809"/>
      <c r="B577" s="797"/>
      <c r="C577" s="80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1" customHeight="1">
      <c r="A578" s="809"/>
      <c r="B578" s="797"/>
      <c r="C578" s="80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1" customHeight="1">
      <c r="A579" s="809"/>
      <c r="B579" s="797"/>
      <c r="C579" s="80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1" customHeight="1">
      <c r="A580" s="809"/>
      <c r="B580" s="797"/>
      <c r="C580" s="80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1" customHeight="1">
      <c r="A581" s="809"/>
      <c r="B581" s="797"/>
      <c r="C581" s="80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1" customHeight="1">
      <c r="A582" s="809"/>
      <c r="B582" s="797"/>
      <c r="C582" s="80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1" customHeight="1">
      <c r="A583" s="809"/>
      <c r="B583" s="797"/>
      <c r="C583" s="80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1" customHeight="1">
      <c r="A584" s="809"/>
      <c r="B584" s="797"/>
      <c r="C584" s="80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1" customHeight="1">
      <c r="A585" s="809"/>
      <c r="B585" s="797"/>
      <c r="C585" s="80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1" customHeight="1">
      <c r="A586" s="809"/>
      <c r="B586" s="797"/>
      <c r="C586" s="80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1" customHeight="1">
      <c r="A587" s="809"/>
      <c r="B587" s="797"/>
      <c r="C587" s="80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1" customHeight="1">
      <c r="A588" s="809"/>
      <c r="B588" s="797"/>
      <c r="C588" s="80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1" customHeight="1">
      <c r="A589" s="809"/>
      <c r="B589" s="797"/>
      <c r="C589" s="80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1" customHeight="1">
      <c r="A590" s="809"/>
      <c r="B590" s="797"/>
      <c r="C590" s="80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1" customHeight="1">
      <c r="A591" s="809"/>
      <c r="B591" s="797"/>
      <c r="C591" s="80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1" customHeight="1">
      <c r="A592" s="809"/>
      <c r="B592" s="797"/>
      <c r="C592" s="80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1" customHeight="1">
      <c r="A593" s="809"/>
      <c r="B593" s="797"/>
      <c r="C593" s="80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1" customHeight="1">
      <c r="A594" s="809"/>
      <c r="B594" s="797"/>
      <c r="C594" s="80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1" customHeight="1">
      <c r="A595" s="809"/>
      <c r="B595" s="797"/>
      <c r="C595" s="80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1" customHeight="1">
      <c r="A596" s="809"/>
      <c r="B596" s="797"/>
      <c r="C596" s="80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1" customHeight="1">
      <c r="A597" s="809"/>
      <c r="B597" s="797"/>
      <c r="C597" s="80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1" customHeight="1">
      <c r="A598" s="809"/>
      <c r="B598" s="797"/>
      <c r="C598" s="80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1" customHeight="1">
      <c r="A599" s="809"/>
      <c r="B599" s="797"/>
      <c r="C599" s="80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1" customHeight="1">
      <c r="A600" s="809"/>
      <c r="B600" s="797"/>
      <c r="C600" s="80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1" customHeight="1">
      <c r="A601" s="809"/>
      <c r="B601" s="797"/>
      <c r="C601" s="80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1" customHeight="1">
      <c r="A602" s="809"/>
      <c r="B602" s="797"/>
      <c r="C602" s="80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1" customHeight="1">
      <c r="A603" s="809"/>
      <c r="B603" s="797"/>
      <c r="C603" s="80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1" customHeight="1">
      <c r="A604" s="809"/>
      <c r="B604" s="797"/>
      <c r="C604" s="80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1" customHeight="1">
      <c r="A605" s="809"/>
      <c r="B605" s="797"/>
      <c r="C605" s="80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1" customHeight="1">
      <c r="A606" s="809"/>
      <c r="B606" s="797"/>
      <c r="C606" s="80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1" customHeight="1">
      <c r="A607" s="809"/>
      <c r="B607" s="797"/>
      <c r="C607" s="80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1" customHeight="1">
      <c r="A608" s="809"/>
      <c r="B608" s="797"/>
      <c r="C608" s="80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1" customHeight="1">
      <c r="A609" s="809"/>
      <c r="B609" s="797"/>
      <c r="C609" s="80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1" customHeight="1">
      <c r="A610" s="809"/>
      <c r="B610" s="797"/>
      <c r="C610" s="80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1" customHeight="1">
      <c r="A611" s="809"/>
      <c r="B611" s="797"/>
      <c r="C611" s="80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1" customHeight="1">
      <c r="A612" s="809"/>
      <c r="B612" s="797"/>
      <c r="C612" s="80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1" customHeight="1">
      <c r="A613" s="809"/>
      <c r="B613" s="797"/>
      <c r="C613" s="80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1" customHeight="1">
      <c r="A614" s="809"/>
      <c r="B614" s="797"/>
      <c r="C614" s="80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1" customHeight="1">
      <c r="A615" s="809"/>
      <c r="B615" s="797"/>
      <c r="C615" s="80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1" customHeight="1">
      <c r="A616" s="809"/>
      <c r="B616" s="797"/>
      <c r="C616" s="80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1" customHeight="1">
      <c r="A617" s="809"/>
      <c r="B617" s="797"/>
      <c r="C617" s="80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1" customHeight="1">
      <c r="A618" s="809"/>
      <c r="B618" s="797"/>
      <c r="C618" s="80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1" customHeight="1">
      <c r="A619" s="809"/>
      <c r="B619" s="797"/>
      <c r="C619" s="80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1" customHeight="1">
      <c r="A620" s="809"/>
      <c r="B620" s="797"/>
      <c r="C620" s="80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1" customHeight="1">
      <c r="A621" s="809"/>
      <c r="B621" s="797"/>
      <c r="C621" s="80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1" customHeight="1">
      <c r="A622" s="809"/>
      <c r="B622" s="797"/>
      <c r="C622" s="80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1" customHeight="1">
      <c r="A623" s="809"/>
      <c r="B623" s="797"/>
      <c r="C623" s="80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1" customHeight="1">
      <c r="A624" s="809"/>
      <c r="B624" s="797"/>
      <c r="C624" s="80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1" customHeight="1">
      <c r="A625" s="809"/>
      <c r="B625" s="797"/>
      <c r="C625" s="80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1" customHeight="1">
      <c r="A626" s="809"/>
      <c r="B626" s="797"/>
      <c r="C626" s="80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1" customHeight="1">
      <c r="A627" s="809"/>
      <c r="B627" s="797"/>
      <c r="C627" s="80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1" customHeight="1">
      <c r="A628" s="809"/>
      <c r="B628" s="797"/>
      <c r="C628" s="80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1" customHeight="1">
      <c r="A629" s="809"/>
      <c r="B629" s="797"/>
      <c r="C629" s="80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1" customHeight="1">
      <c r="A630" s="809"/>
      <c r="B630" s="797"/>
      <c r="C630" s="80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1" customHeight="1">
      <c r="A631" s="809"/>
      <c r="B631" s="797"/>
      <c r="C631" s="80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1" customHeight="1">
      <c r="A632" s="809"/>
      <c r="B632" s="797"/>
      <c r="C632" s="80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1" customHeight="1">
      <c r="A633" s="809"/>
      <c r="B633" s="797"/>
      <c r="C633" s="80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1" customHeight="1">
      <c r="A634" s="809"/>
      <c r="B634" s="797"/>
      <c r="C634" s="80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1" customHeight="1">
      <c r="A635" s="809"/>
      <c r="B635" s="797"/>
      <c r="C635" s="80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1" customHeight="1">
      <c r="A636" s="809"/>
      <c r="B636" s="797"/>
      <c r="C636" s="80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1" customHeight="1">
      <c r="A637" s="809"/>
      <c r="B637" s="797"/>
      <c r="C637" s="80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1" customHeight="1">
      <c r="A638" s="809"/>
      <c r="B638" s="797"/>
      <c r="C638" s="80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1" customHeight="1">
      <c r="A639" s="809"/>
      <c r="B639" s="797"/>
      <c r="C639" s="80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1" customHeight="1">
      <c r="A640" s="809"/>
      <c r="B640" s="797"/>
      <c r="C640" s="80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1" customHeight="1">
      <c r="A641" s="809"/>
      <c r="B641" s="797"/>
      <c r="C641" s="80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1" customHeight="1">
      <c r="A642" s="809"/>
      <c r="B642" s="797"/>
      <c r="C642" s="80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1" customHeight="1">
      <c r="A643" s="809"/>
      <c r="B643" s="797"/>
      <c r="C643" s="80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1" customHeight="1">
      <c r="A644" s="809"/>
      <c r="B644" s="797"/>
      <c r="C644" s="80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1" customHeight="1">
      <c r="A645" s="809"/>
      <c r="B645" s="797"/>
      <c r="C645" s="80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1" customHeight="1">
      <c r="A646" s="809"/>
      <c r="B646" s="797"/>
      <c r="C646" s="80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1" customHeight="1">
      <c r="A647" s="809"/>
      <c r="B647" s="797"/>
      <c r="C647" s="80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1" customHeight="1">
      <c r="A648" s="809"/>
      <c r="B648" s="797"/>
      <c r="C648" s="80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1" customHeight="1">
      <c r="A649" s="809"/>
      <c r="B649" s="797"/>
      <c r="C649" s="80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1" customHeight="1">
      <c r="A650" s="809"/>
      <c r="B650" s="797"/>
      <c r="C650" s="80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1" customHeight="1">
      <c r="A651" s="809"/>
      <c r="B651" s="797"/>
      <c r="C651" s="80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1" customHeight="1">
      <c r="A652" s="809"/>
      <c r="B652" s="797"/>
      <c r="C652" s="80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1" customHeight="1">
      <c r="A653" s="809"/>
      <c r="B653" s="797"/>
      <c r="C653" s="80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1" customHeight="1">
      <c r="A654" s="809"/>
      <c r="B654" s="797"/>
      <c r="C654" s="80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1" customHeight="1">
      <c r="A655" s="809"/>
      <c r="B655" s="797"/>
      <c r="C655" s="80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1" customHeight="1">
      <c r="A656" s="809"/>
      <c r="B656" s="797"/>
      <c r="C656" s="80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1" customHeight="1">
      <c r="A657" s="809"/>
      <c r="B657" s="797"/>
      <c r="C657" s="80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1" customHeight="1">
      <c r="A658" s="809"/>
      <c r="B658" s="797"/>
      <c r="C658" s="80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1" customHeight="1">
      <c r="A659" s="809"/>
      <c r="B659" s="797"/>
      <c r="C659" s="80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1" customHeight="1">
      <c r="A660" s="809"/>
      <c r="B660" s="797"/>
      <c r="C660" s="80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1" customHeight="1">
      <c r="A661" s="809"/>
      <c r="B661" s="797"/>
      <c r="C661" s="80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1" customHeight="1">
      <c r="A662" s="809"/>
      <c r="B662" s="797"/>
      <c r="C662" s="80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1" customHeight="1">
      <c r="A663" s="809"/>
      <c r="B663" s="797"/>
      <c r="C663" s="80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1" customHeight="1">
      <c r="A664" s="809"/>
      <c r="B664" s="797"/>
      <c r="C664" s="80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1" customHeight="1">
      <c r="A665" s="809"/>
      <c r="B665" s="797"/>
      <c r="C665" s="80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1" customHeight="1">
      <c r="A666" s="809"/>
      <c r="B666" s="797"/>
      <c r="C666" s="80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1" customHeight="1">
      <c r="A667" s="809"/>
      <c r="B667" s="797"/>
      <c r="C667" s="80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1" customHeight="1">
      <c r="A668" s="809"/>
      <c r="B668" s="797"/>
      <c r="C668" s="80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1" customHeight="1">
      <c r="A669" s="809"/>
      <c r="B669" s="797"/>
      <c r="C669" s="80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1" customHeight="1">
      <c r="A670" s="809"/>
      <c r="B670" s="797"/>
      <c r="C670" s="80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1" customHeight="1">
      <c r="A671" s="809"/>
      <c r="B671" s="797"/>
      <c r="C671" s="80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1" customHeight="1">
      <c r="A672" s="809"/>
      <c r="B672" s="797"/>
      <c r="C672" s="80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1" customHeight="1">
      <c r="A673" s="809"/>
      <c r="B673" s="797"/>
      <c r="C673" s="80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1" customHeight="1">
      <c r="A674" s="809"/>
      <c r="B674" s="797"/>
      <c r="C674" s="80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1" customHeight="1">
      <c r="A675" s="809"/>
      <c r="B675" s="797"/>
      <c r="C675" s="80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1" customHeight="1">
      <c r="A676" s="809"/>
      <c r="B676" s="797"/>
      <c r="C676" s="80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1" customHeight="1">
      <c r="A677" s="809"/>
      <c r="B677" s="797"/>
      <c r="C677" s="80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1" customHeight="1">
      <c r="A678" s="809"/>
      <c r="B678" s="797"/>
      <c r="C678" s="80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1" customHeight="1">
      <c r="A679" s="809"/>
      <c r="B679" s="797"/>
      <c r="C679" s="80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1" customHeight="1">
      <c r="A680" s="809"/>
      <c r="B680" s="797"/>
      <c r="C680" s="80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1" customHeight="1">
      <c r="A681" s="809"/>
      <c r="B681" s="797"/>
      <c r="C681" s="80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1" customHeight="1">
      <c r="A682" s="809"/>
      <c r="B682" s="797"/>
      <c r="C682" s="80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1" customHeight="1">
      <c r="A683" s="809"/>
      <c r="B683" s="797"/>
      <c r="C683" s="80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1" customHeight="1">
      <c r="A684" s="809"/>
      <c r="B684" s="797"/>
      <c r="C684" s="80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1" customHeight="1">
      <c r="A685" s="809"/>
      <c r="B685" s="797"/>
      <c r="C685" s="80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1" customHeight="1">
      <c r="A686" s="809"/>
      <c r="B686" s="797"/>
      <c r="C686" s="80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1" customHeight="1">
      <c r="A687" s="809"/>
      <c r="B687" s="797"/>
      <c r="C687" s="80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1" customHeight="1">
      <c r="A688" s="809"/>
      <c r="B688" s="797"/>
      <c r="C688" s="80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1" customHeight="1">
      <c r="A689" s="809"/>
      <c r="B689" s="797"/>
      <c r="C689" s="80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1" customHeight="1">
      <c r="A690" s="809"/>
      <c r="B690" s="797"/>
      <c r="C690" s="80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1" customHeight="1">
      <c r="A691" s="809"/>
      <c r="B691" s="797"/>
      <c r="C691" s="80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1" customHeight="1">
      <c r="A692" s="809"/>
      <c r="B692" s="797"/>
      <c r="C692" s="80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1" customHeight="1">
      <c r="A693" s="809"/>
      <c r="B693" s="797"/>
      <c r="C693" s="80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1" customHeight="1">
      <c r="A694" s="809"/>
      <c r="B694" s="797"/>
      <c r="C694" s="80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1" customHeight="1">
      <c r="A695" s="809"/>
      <c r="B695" s="797"/>
      <c r="C695" s="80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1" customHeight="1">
      <c r="A696" s="809"/>
      <c r="B696" s="797"/>
      <c r="C696" s="80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1" customHeight="1">
      <c r="A697" s="809"/>
      <c r="B697" s="797"/>
      <c r="C697" s="80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1" customHeight="1">
      <c r="A698" s="809"/>
      <c r="B698" s="797"/>
      <c r="C698" s="80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1" customHeight="1">
      <c r="A699" s="809"/>
      <c r="B699" s="797"/>
      <c r="C699" s="80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1" customHeight="1">
      <c r="A700" s="809"/>
      <c r="B700" s="797"/>
      <c r="C700" s="80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1" customHeight="1">
      <c r="A701" s="809"/>
      <c r="B701" s="797"/>
      <c r="C701" s="80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1" customHeight="1">
      <c r="A702" s="809"/>
      <c r="B702" s="797"/>
      <c r="C702" s="80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1" customHeight="1">
      <c r="A703" s="809"/>
      <c r="B703" s="797"/>
      <c r="C703" s="80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1" customHeight="1">
      <c r="A704" s="809"/>
      <c r="B704" s="797"/>
      <c r="C704" s="80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1" customHeight="1">
      <c r="A705" s="809"/>
      <c r="B705" s="797"/>
      <c r="C705" s="80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1" customHeight="1">
      <c r="A706" s="809"/>
      <c r="B706" s="797"/>
      <c r="C706" s="80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1" customHeight="1">
      <c r="A707" s="809"/>
      <c r="B707" s="797"/>
      <c r="C707" s="80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1" customHeight="1">
      <c r="A708" s="809"/>
      <c r="B708" s="797"/>
      <c r="C708" s="80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1" customHeight="1">
      <c r="A709" s="809"/>
      <c r="B709" s="797"/>
      <c r="C709" s="80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1" customHeight="1">
      <c r="A710" s="809"/>
      <c r="B710" s="797"/>
      <c r="C710" s="80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1" customHeight="1">
      <c r="A711" s="809"/>
      <c r="B711" s="797"/>
      <c r="C711" s="80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1" customHeight="1">
      <c r="A712" s="809"/>
      <c r="B712" s="797"/>
      <c r="C712" s="80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1" customHeight="1">
      <c r="A713" s="809"/>
      <c r="B713" s="797"/>
      <c r="C713" s="80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1" customHeight="1">
      <c r="A714" s="809"/>
      <c r="B714" s="797"/>
      <c r="C714" s="80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1" customHeight="1">
      <c r="A715" s="809"/>
      <c r="B715" s="797"/>
      <c r="C715" s="80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1" customHeight="1">
      <c r="A716" s="809"/>
      <c r="B716" s="797"/>
      <c r="C716" s="80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1" customHeight="1">
      <c r="A717" s="809"/>
      <c r="B717" s="797"/>
      <c r="C717" s="80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1" customHeight="1">
      <c r="A718" s="809"/>
      <c r="B718" s="797"/>
      <c r="C718" s="80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1" customHeight="1">
      <c r="A719" s="809"/>
      <c r="B719" s="797"/>
      <c r="C719" s="80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1" customHeight="1">
      <c r="A720" s="809"/>
      <c r="B720" s="797"/>
      <c r="C720" s="80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1" customHeight="1">
      <c r="A721" s="809"/>
      <c r="B721" s="797"/>
      <c r="C721" s="80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1" customHeight="1">
      <c r="A722" s="809"/>
      <c r="B722" s="797"/>
      <c r="C722" s="80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1" customHeight="1">
      <c r="A723" s="809"/>
      <c r="B723" s="797"/>
      <c r="C723" s="80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1" customHeight="1">
      <c r="A724" s="809"/>
      <c r="B724" s="797"/>
      <c r="C724" s="80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1" customHeight="1">
      <c r="A725" s="809"/>
      <c r="B725" s="797"/>
      <c r="C725" s="80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1" customHeight="1">
      <c r="A726" s="809"/>
      <c r="B726" s="797"/>
      <c r="C726" s="80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1" customHeight="1">
      <c r="A727" s="809"/>
      <c r="B727" s="797"/>
      <c r="C727" s="80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1" customHeight="1">
      <c r="A728" s="809"/>
      <c r="B728" s="797"/>
      <c r="C728" s="80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1" customHeight="1">
      <c r="A729" s="809"/>
      <c r="B729" s="797"/>
      <c r="C729" s="80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1" customHeight="1">
      <c r="A730" s="809"/>
      <c r="B730" s="797"/>
      <c r="C730" s="80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1" customHeight="1">
      <c r="A731" s="809"/>
      <c r="B731" s="797"/>
      <c r="C731" s="80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1" customHeight="1">
      <c r="A732" s="809"/>
      <c r="B732" s="797"/>
      <c r="C732" s="80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1" customHeight="1">
      <c r="A733" s="809"/>
      <c r="B733" s="797"/>
      <c r="C733" s="80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1" customHeight="1">
      <c r="A734" s="809"/>
      <c r="B734" s="797"/>
      <c r="C734" s="80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1" customHeight="1">
      <c r="A735" s="809"/>
      <c r="B735" s="797"/>
      <c r="C735" s="80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1" customHeight="1">
      <c r="A736" s="809"/>
      <c r="B736" s="797"/>
      <c r="C736" s="80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1" customHeight="1">
      <c r="A737" s="809"/>
      <c r="B737" s="797"/>
      <c r="C737" s="80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1" customHeight="1">
      <c r="A738" s="809"/>
      <c r="B738" s="797"/>
      <c r="C738" s="80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1" customHeight="1">
      <c r="A739" s="809"/>
      <c r="B739" s="797"/>
      <c r="C739" s="80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1" customHeight="1">
      <c r="A740" s="809"/>
      <c r="B740" s="797"/>
      <c r="C740" s="80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1" customHeight="1">
      <c r="A741" s="809"/>
      <c r="B741" s="797"/>
      <c r="C741" s="80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1" customHeight="1">
      <c r="A742" s="809"/>
      <c r="B742" s="797"/>
      <c r="C742" s="80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1" customHeight="1">
      <c r="A743" s="809"/>
      <c r="B743" s="797"/>
      <c r="C743" s="80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1" customHeight="1">
      <c r="A744" s="809"/>
      <c r="B744" s="797"/>
      <c r="C744" s="80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1" customHeight="1">
      <c r="A745" s="809"/>
      <c r="B745" s="797"/>
      <c r="C745" s="80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1" customHeight="1">
      <c r="A746" s="809"/>
      <c r="B746" s="797"/>
      <c r="C746" s="80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1" customHeight="1">
      <c r="A747" s="809"/>
      <c r="B747" s="797"/>
      <c r="C747" s="80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/>
    <row r="749" spans="1:26" ht="15.75" customHeight="1"/>
    <row r="750" spans="1:26" ht="15.75" customHeight="1"/>
    <row r="751" spans="1:26" ht="15.75" customHeight="1"/>
    <row r="752" spans="1:26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autoFilter ref="A1:C549" xr:uid="{00000000-0001-0000-0000-000000000000}">
    <filterColumn colId="1">
      <filters>
        <filter val="ALCA PREF CORD ACO-ZN 6,40MM 5X2.18MM 460MM AMR"/>
        <filter val="ALCA PREF CORD ACO-ZN 9,50MM 6X2.54MM 965MM LRJ"/>
        <filter val="ALCA PREF DIS CA/CAA 2/0AWG 10,4-11,69MM"/>
        <filter val="ALCA PREF DIS CA/CAA 6AWG 4,62-5,15MM"/>
        <filter val="ALCA PREF DISTR ACO-ALUM 9,27-10,40MM 660MM AMR"/>
        <filter val="ALCA PREF DISTR ACO-ZINC 13,10-14,65MM 865MM VRM"/>
        <filter val="ALCA PREF DISTR ACO-ZINC 16,20-18,15MM 980MM VRD"/>
        <filter val="ALCA PREF DISTR ACO-ZINC 9,15-10,25MM 670MM AMR"/>
        <filter val="ALCA PREF ESTAI 6,4MM HS/SM"/>
        <filter val="ALCA PREF SERV ACO-ZINC 3,90-4,30MM 345MM MRM"/>
        <filter val="ALCA PREF SERV ACO-ZINC 6,00-6,70MM 330MM LRJ"/>
        <filter val="ALCA PREFORMADA DISTRIBUICAO 2AWG 610,0MM"/>
        <filter val="ALCA PREFORMADA SERVICO 8AWG 355,0MM"/>
      </filters>
    </filterColumn>
    <sortState xmlns:xlrd2="http://schemas.microsoft.com/office/spreadsheetml/2017/richdata2" ref="A2:C549">
      <sortCondition ref="B1:B549"/>
    </sortState>
  </autoFilter>
  <sortState xmlns:xlrd2="http://schemas.microsoft.com/office/spreadsheetml/2017/richdata2" ref="A2:C1069">
    <sortCondition ref="B2:B1069"/>
  </sortState>
  <pageMargins left="0.511811023622047" right="0.511811023622047" top="0" bottom="0" header="0" footer="0"/>
  <pageSetup orientation="portrait" r:id="rId1"/>
  <rowBreaks count="1" manualBreakCount="1">
    <brk id="45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9"/>
  <sheetViews>
    <sheetView topLeftCell="A156" workbookViewId="0">
      <selection activeCell="B199" sqref="B199"/>
    </sheetView>
  </sheetViews>
  <sheetFormatPr defaultColWidth="9.109375" defaultRowHeight="14.4"/>
  <cols>
    <col min="1" max="1" width="12.5546875" style="155" bestFit="1" customWidth="1"/>
    <col min="2" max="2" width="66.33203125" style="155" bestFit="1" customWidth="1"/>
    <col min="3" max="3" width="12.109375" style="155" bestFit="1" customWidth="1"/>
    <col min="4" max="4" width="12" style="155" bestFit="1" customWidth="1"/>
    <col min="5" max="5" width="17.88671875" style="155" bestFit="1" customWidth="1"/>
    <col min="6" max="6" width="14.33203125" style="155" bestFit="1" customWidth="1"/>
    <col min="7" max="7" width="8.44140625" style="155" bestFit="1" customWidth="1"/>
    <col min="8" max="8" width="10.6640625" style="155" bestFit="1" customWidth="1"/>
    <col min="9" max="9" width="8.88671875" style="155" bestFit="1" customWidth="1"/>
    <col min="10" max="10" width="11.109375" style="155" bestFit="1" customWidth="1"/>
    <col min="11" max="11" width="14.6640625" style="155" bestFit="1" customWidth="1"/>
    <col min="12" max="16384" width="9.109375" style="155"/>
  </cols>
  <sheetData>
    <row r="1" spans="1:11">
      <c r="A1" s="156" t="s">
        <v>580</v>
      </c>
      <c r="B1" s="156" t="s">
        <v>570</v>
      </c>
      <c r="C1" s="156" t="s">
        <v>581</v>
      </c>
      <c r="D1" s="156" t="s">
        <v>582</v>
      </c>
      <c r="E1" s="156" t="s">
        <v>583</v>
      </c>
      <c r="F1" s="156" t="s">
        <v>584</v>
      </c>
      <c r="G1" s="156" t="s">
        <v>585</v>
      </c>
      <c r="H1" s="156" t="s">
        <v>586</v>
      </c>
      <c r="I1" s="156" t="s">
        <v>587</v>
      </c>
      <c r="J1" s="156" t="s">
        <v>588</v>
      </c>
      <c r="K1" s="156" t="s">
        <v>589</v>
      </c>
    </row>
    <row r="2" spans="1:11">
      <c r="A2" s="157">
        <v>90399</v>
      </c>
      <c r="B2" s="157" t="s">
        <v>687</v>
      </c>
      <c r="C2" s="157" t="s">
        <v>13</v>
      </c>
      <c r="D2" s="157">
        <v>12</v>
      </c>
      <c r="E2" s="157" t="s">
        <v>590</v>
      </c>
      <c r="F2" s="157">
        <v>2</v>
      </c>
      <c r="G2" s="157">
        <v>2</v>
      </c>
      <c r="H2" s="157">
        <v>0</v>
      </c>
      <c r="I2" s="157">
        <v>0</v>
      </c>
      <c r="J2" s="158"/>
      <c r="K2" s="157">
        <v>2</v>
      </c>
    </row>
    <row r="3" spans="1:11">
      <c r="A3" s="157">
        <v>90013</v>
      </c>
      <c r="B3" s="157" t="s">
        <v>605</v>
      </c>
      <c r="C3" s="157" t="s">
        <v>13</v>
      </c>
      <c r="D3" s="157">
        <v>6.76</v>
      </c>
      <c r="E3" s="157" t="s">
        <v>590</v>
      </c>
      <c r="F3" s="157">
        <v>10</v>
      </c>
      <c r="G3" s="157">
        <v>6</v>
      </c>
      <c r="H3" s="157">
        <v>0</v>
      </c>
      <c r="I3" s="157">
        <v>0</v>
      </c>
      <c r="J3" s="158"/>
      <c r="K3" s="157">
        <v>4</v>
      </c>
    </row>
    <row r="4" spans="1:11">
      <c r="A4" s="157">
        <v>90315</v>
      </c>
      <c r="B4" s="157" t="s">
        <v>666</v>
      </c>
      <c r="C4" s="157" t="s">
        <v>13</v>
      </c>
      <c r="D4" s="157">
        <v>4.3499999999999996</v>
      </c>
      <c r="E4" s="157" t="s">
        <v>590</v>
      </c>
      <c r="F4" s="157">
        <v>32</v>
      </c>
      <c r="G4" s="157">
        <v>14</v>
      </c>
      <c r="H4" s="157">
        <v>0</v>
      </c>
      <c r="I4" s="157">
        <v>0</v>
      </c>
      <c r="J4" s="158"/>
      <c r="K4" s="157">
        <v>0</v>
      </c>
    </row>
    <row r="5" spans="1:11">
      <c r="A5" s="157">
        <v>90308</v>
      </c>
      <c r="B5" s="157" t="s">
        <v>665</v>
      </c>
      <c r="C5" s="157" t="s">
        <v>13</v>
      </c>
      <c r="D5" s="157">
        <v>8.08</v>
      </c>
      <c r="E5" s="157" t="s">
        <v>590</v>
      </c>
      <c r="F5" s="157">
        <v>48</v>
      </c>
      <c r="G5" s="157">
        <v>36</v>
      </c>
      <c r="H5" s="157">
        <v>0</v>
      </c>
      <c r="I5" s="157">
        <v>0</v>
      </c>
      <c r="J5" s="158"/>
      <c r="K5" s="157">
        <v>0</v>
      </c>
    </row>
    <row r="6" spans="1:11">
      <c r="A6" s="157">
        <v>121</v>
      </c>
      <c r="B6" s="157" t="s">
        <v>12</v>
      </c>
      <c r="C6" s="157" t="s">
        <v>10</v>
      </c>
      <c r="D6" s="157">
        <v>3.03</v>
      </c>
      <c r="E6" s="157" t="s">
        <v>590</v>
      </c>
      <c r="F6" s="157">
        <v>26</v>
      </c>
      <c r="G6" s="157">
        <v>13</v>
      </c>
      <c r="H6" s="157">
        <v>0</v>
      </c>
      <c r="I6" s="157">
        <v>0</v>
      </c>
      <c r="J6" s="158"/>
      <c r="K6" s="157">
        <v>0</v>
      </c>
    </row>
    <row r="7" spans="1:11">
      <c r="A7" s="157">
        <v>90305</v>
      </c>
      <c r="B7" s="157" t="s">
        <v>664</v>
      </c>
      <c r="C7" s="157" t="s">
        <v>13</v>
      </c>
      <c r="D7" s="157">
        <v>1.05</v>
      </c>
      <c r="E7" s="157" t="s">
        <v>590</v>
      </c>
      <c r="F7" s="157">
        <v>5</v>
      </c>
      <c r="G7" s="157">
        <v>0</v>
      </c>
      <c r="H7" s="157">
        <v>0</v>
      </c>
      <c r="I7" s="157">
        <v>0</v>
      </c>
      <c r="J7" s="158"/>
      <c r="K7" s="157">
        <v>0</v>
      </c>
    </row>
    <row r="8" spans="1:11">
      <c r="A8" s="157">
        <v>2815</v>
      </c>
      <c r="B8" s="157" t="s">
        <v>14</v>
      </c>
      <c r="C8" s="157" t="s">
        <v>10</v>
      </c>
      <c r="D8" s="157">
        <v>3.53</v>
      </c>
      <c r="E8" s="157" t="s">
        <v>590</v>
      </c>
      <c r="F8" s="157">
        <v>97</v>
      </c>
      <c r="G8" s="157">
        <v>19</v>
      </c>
      <c r="H8" s="157">
        <v>0</v>
      </c>
      <c r="I8" s="157">
        <v>0</v>
      </c>
      <c r="J8" s="158"/>
      <c r="K8" s="157">
        <v>0</v>
      </c>
    </row>
    <row r="9" spans="1:11">
      <c r="A9" s="157">
        <v>2878</v>
      </c>
      <c r="B9" s="157" t="s">
        <v>592</v>
      </c>
      <c r="C9" s="157" t="s">
        <v>10</v>
      </c>
      <c r="D9" s="157">
        <v>0.57999999999999996</v>
      </c>
      <c r="E9" s="157" t="s">
        <v>590</v>
      </c>
      <c r="F9" s="157">
        <v>0</v>
      </c>
      <c r="G9" s="157">
        <v>2</v>
      </c>
      <c r="H9" s="157">
        <v>0</v>
      </c>
      <c r="I9" s="157">
        <v>0</v>
      </c>
      <c r="J9" s="158"/>
      <c r="K9" s="157">
        <v>0</v>
      </c>
    </row>
    <row r="10" spans="1:11">
      <c r="A10" s="157">
        <v>90538</v>
      </c>
      <c r="B10" s="157" t="s">
        <v>712</v>
      </c>
      <c r="C10" s="157" t="s">
        <v>13</v>
      </c>
      <c r="D10" s="157">
        <v>2.2599999999999998</v>
      </c>
      <c r="E10" s="157" t="s">
        <v>590</v>
      </c>
      <c r="F10" s="157">
        <v>9</v>
      </c>
      <c r="G10" s="157">
        <v>3</v>
      </c>
      <c r="H10" s="157">
        <v>0</v>
      </c>
      <c r="I10" s="157">
        <v>0</v>
      </c>
      <c r="J10" s="158"/>
      <c r="K10" s="157">
        <v>0</v>
      </c>
    </row>
    <row r="11" spans="1:11">
      <c r="A11" s="157">
        <v>90300</v>
      </c>
      <c r="B11" s="157" t="s">
        <v>663</v>
      </c>
      <c r="C11" s="157" t="s">
        <v>8</v>
      </c>
      <c r="D11" s="157">
        <v>21.32</v>
      </c>
      <c r="E11" s="157" t="s">
        <v>590</v>
      </c>
      <c r="F11" s="157">
        <v>1</v>
      </c>
      <c r="G11" s="157">
        <v>0</v>
      </c>
      <c r="H11" s="157">
        <v>0</v>
      </c>
      <c r="I11" s="157">
        <v>0</v>
      </c>
      <c r="J11" s="158"/>
      <c r="K11" s="157">
        <v>0</v>
      </c>
    </row>
    <row r="12" spans="1:11">
      <c r="A12" s="157">
        <v>2966</v>
      </c>
      <c r="B12" s="157" t="s">
        <v>15</v>
      </c>
      <c r="C12" s="157" t="s">
        <v>10</v>
      </c>
      <c r="D12" s="157">
        <v>14.92</v>
      </c>
      <c r="E12" s="157" t="s">
        <v>590</v>
      </c>
      <c r="F12" s="157">
        <v>18</v>
      </c>
      <c r="G12" s="157">
        <v>4</v>
      </c>
      <c r="H12" s="157">
        <v>0</v>
      </c>
      <c r="I12" s="157">
        <v>0</v>
      </c>
      <c r="J12" s="158"/>
      <c r="K12" s="157">
        <v>0</v>
      </c>
    </row>
    <row r="13" spans="1:11">
      <c r="A13" s="157">
        <v>90393</v>
      </c>
      <c r="B13" s="157" t="s">
        <v>686</v>
      </c>
      <c r="C13" s="157" t="s">
        <v>13</v>
      </c>
      <c r="D13" s="157">
        <v>7.87</v>
      </c>
      <c r="E13" s="157" t="s">
        <v>590</v>
      </c>
      <c r="F13" s="157">
        <v>8</v>
      </c>
      <c r="G13" s="157">
        <v>1</v>
      </c>
      <c r="H13" s="157">
        <v>0</v>
      </c>
      <c r="I13" s="157">
        <v>0</v>
      </c>
      <c r="J13" s="158"/>
      <c r="K13" s="157">
        <v>0</v>
      </c>
    </row>
    <row r="14" spans="1:11">
      <c r="A14" s="157">
        <v>90893</v>
      </c>
      <c r="B14" s="157" t="s">
        <v>16</v>
      </c>
      <c r="C14" s="157" t="s">
        <v>10</v>
      </c>
      <c r="D14" s="157">
        <v>14.5</v>
      </c>
      <c r="E14" s="157" t="s">
        <v>591</v>
      </c>
      <c r="F14" s="157">
        <v>11</v>
      </c>
      <c r="G14" s="157">
        <v>8</v>
      </c>
      <c r="H14" s="157">
        <v>0</v>
      </c>
      <c r="I14" s="157">
        <v>0</v>
      </c>
      <c r="J14" s="158"/>
      <c r="K14" s="157">
        <v>8</v>
      </c>
    </row>
    <row r="15" spans="1:11">
      <c r="A15" s="157">
        <v>90389</v>
      </c>
      <c r="B15" s="157" t="s">
        <v>685</v>
      </c>
      <c r="C15" s="157" t="s">
        <v>13</v>
      </c>
      <c r="D15" s="157">
        <v>0.36</v>
      </c>
      <c r="E15" s="157" t="s">
        <v>590</v>
      </c>
      <c r="F15" s="157">
        <v>224</v>
      </c>
      <c r="G15" s="157">
        <v>70</v>
      </c>
      <c r="H15" s="157">
        <v>0</v>
      </c>
      <c r="I15" s="157">
        <v>0</v>
      </c>
      <c r="J15" s="157">
        <v>0</v>
      </c>
      <c r="K15" s="157">
        <v>2</v>
      </c>
    </row>
    <row r="16" spans="1:11">
      <c r="A16" s="157">
        <v>90540</v>
      </c>
      <c r="B16" s="157" t="s">
        <v>713</v>
      </c>
      <c r="C16" s="157" t="s">
        <v>13</v>
      </c>
      <c r="D16" s="157">
        <v>12.7</v>
      </c>
      <c r="E16" s="157" t="s">
        <v>590</v>
      </c>
      <c r="F16" s="157">
        <v>2</v>
      </c>
      <c r="G16" s="157">
        <v>2</v>
      </c>
      <c r="H16" s="157">
        <v>0</v>
      </c>
      <c r="I16" s="157">
        <v>0</v>
      </c>
      <c r="J16" s="158"/>
      <c r="K16" s="157">
        <v>2</v>
      </c>
    </row>
    <row r="17" spans="1:11">
      <c r="A17" s="157">
        <v>90542</v>
      </c>
      <c r="B17" s="157" t="s">
        <v>17</v>
      </c>
      <c r="C17" s="157" t="s">
        <v>13</v>
      </c>
      <c r="D17" s="157">
        <v>52.56</v>
      </c>
      <c r="E17" s="157" t="s">
        <v>590</v>
      </c>
      <c r="F17" s="157">
        <v>3</v>
      </c>
      <c r="G17" s="157">
        <v>1</v>
      </c>
      <c r="H17" s="157">
        <v>0</v>
      </c>
      <c r="I17" s="157">
        <v>0</v>
      </c>
      <c r="J17" s="158"/>
      <c r="K17" s="157">
        <v>0</v>
      </c>
    </row>
    <row r="18" spans="1:11">
      <c r="A18" s="157">
        <v>90544</v>
      </c>
      <c r="B18" s="157" t="s">
        <v>18</v>
      </c>
      <c r="C18" s="157" t="s">
        <v>13</v>
      </c>
      <c r="D18" s="157">
        <v>44.78</v>
      </c>
      <c r="E18" s="157" t="s">
        <v>590</v>
      </c>
      <c r="F18" s="157">
        <v>2</v>
      </c>
      <c r="G18" s="157">
        <v>2</v>
      </c>
      <c r="H18" s="157">
        <v>0</v>
      </c>
      <c r="I18" s="157">
        <v>0</v>
      </c>
      <c r="J18" s="158"/>
      <c r="K18" s="157">
        <v>2</v>
      </c>
    </row>
    <row r="19" spans="1:11">
      <c r="A19" s="157">
        <v>90274</v>
      </c>
      <c r="B19" s="157" t="s">
        <v>654</v>
      </c>
      <c r="C19" s="157" t="s">
        <v>7</v>
      </c>
      <c r="D19" s="157">
        <v>3.8065000000000002</v>
      </c>
      <c r="E19" s="157" t="s">
        <v>590</v>
      </c>
      <c r="F19" s="157">
        <v>0</v>
      </c>
      <c r="G19" s="157">
        <v>5</v>
      </c>
      <c r="H19" s="157">
        <v>0</v>
      </c>
      <c r="I19" s="157">
        <v>0</v>
      </c>
      <c r="J19" s="158"/>
      <c r="K19" s="157">
        <v>0</v>
      </c>
    </row>
    <row r="20" spans="1:11">
      <c r="A20" s="157">
        <v>90290</v>
      </c>
      <c r="B20" s="157" t="s">
        <v>660</v>
      </c>
      <c r="C20" s="157" t="s">
        <v>7</v>
      </c>
      <c r="D20" s="157">
        <v>43.24</v>
      </c>
      <c r="E20" s="157" t="s">
        <v>590</v>
      </c>
      <c r="F20" s="157">
        <v>960</v>
      </c>
      <c r="G20" s="157">
        <v>180</v>
      </c>
      <c r="H20" s="157">
        <v>0</v>
      </c>
      <c r="I20" s="157">
        <v>0</v>
      </c>
      <c r="J20" s="158"/>
      <c r="K20" s="157">
        <v>0</v>
      </c>
    </row>
    <row r="21" spans="1:11">
      <c r="A21" s="157">
        <v>90288</v>
      </c>
      <c r="B21" s="157" t="s">
        <v>658</v>
      </c>
      <c r="C21" s="157" t="s">
        <v>7</v>
      </c>
      <c r="D21" s="157">
        <v>12.06</v>
      </c>
      <c r="E21" s="157" t="s">
        <v>590</v>
      </c>
      <c r="F21" s="157">
        <v>60.3</v>
      </c>
      <c r="G21" s="157">
        <v>60</v>
      </c>
      <c r="H21" s="157">
        <v>0</v>
      </c>
      <c r="I21" s="157">
        <v>0</v>
      </c>
      <c r="J21" s="158"/>
      <c r="K21" s="157">
        <v>0</v>
      </c>
    </row>
    <row r="22" spans="1:11">
      <c r="A22" s="157">
        <v>90289</v>
      </c>
      <c r="B22" s="157" t="s">
        <v>659</v>
      </c>
      <c r="C22" s="157" t="s">
        <v>7</v>
      </c>
      <c r="D22" s="157">
        <v>17.260000000000002</v>
      </c>
      <c r="E22" s="157" t="s">
        <v>590</v>
      </c>
      <c r="F22" s="157">
        <v>80</v>
      </c>
      <c r="G22" s="157">
        <v>0</v>
      </c>
      <c r="H22" s="157">
        <v>0</v>
      </c>
      <c r="I22" s="157">
        <v>0</v>
      </c>
      <c r="J22" s="157">
        <v>0</v>
      </c>
      <c r="K22" s="157">
        <v>0</v>
      </c>
    </row>
    <row r="23" spans="1:11">
      <c r="A23" s="157">
        <v>90259</v>
      </c>
      <c r="B23" s="157" t="s">
        <v>649</v>
      </c>
      <c r="C23" s="157" t="s">
        <v>8</v>
      </c>
      <c r="D23" s="157">
        <v>14.33</v>
      </c>
      <c r="E23" s="157" t="s">
        <v>590</v>
      </c>
      <c r="F23" s="157">
        <v>331.56</v>
      </c>
      <c r="G23" s="157">
        <v>0</v>
      </c>
      <c r="H23" s="157">
        <v>0</v>
      </c>
      <c r="I23" s="157">
        <v>0</v>
      </c>
      <c r="J23" s="157">
        <v>0</v>
      </c>
      <c r="K23" s="157">
        <v>0</v>
      </c>
    </row>
    <row r="24" spans="1:11">
      <c r="A24" s="157">
        <v>90258</v>
      </c>
      <c r="B24" s="157" t="s">
        <v>648</v>
      </c>
      <c r="C24" s="157" t="s">
        <v>8</v>
      </c>
      <c r="D24" s="157">
        <v>43.48</v>
      </c>
      <c r="E24" s="157" t="s">
        <v>590</v>
      </c>
      <c r="F24" s="157">
        <v>317.47000000000003</v>
      </c>
      <c r="G24" s="157">
        <v>74</v>
      </c>
      <c r="H24" s="157">
        <v>0</v>
      </c>
      <c r="I24" s="157">
        <v>0</v>
      </c>
      <c r="J24" s="157">
        <v>0</v>
      </c>
      <c r="K24" s="157">
        <v>0</v>
      </c>
    </row>
    <row r="25" spans="1:11">
      <c r="A25" s="157">
        <v>690327</v>
      </c>
      <c r="B25" s="157" t="s">
        <v>736</v>
      </c>
      <c r="C25" s="157" t="s">
        <v>8</v>
      </c>
      <c r="D25" s="157">
        <v>36.505400000000002</v>
      </c>
      <c r="E25" s="157" t="s">
        <v>590</v>
      </c>
      <c r="F25" s="157">
        <v>1935</v>
      </c>
      <c r="G25" s="157">
        <v>0</v>
      </c>
      <c r="H25" s="157">
        <v>0</v>
      </c>
      <c r="I25" s="157">
        <v>1935</v>
      </c>
      <c r="J25" s="157">
        <v>0</v>
      </c>
      <c r="K25" s="157">
        <v>0</v>
      </c>
    </row>
    <row r="26" spans="1:11">
      <c r="A26" s="157">
        <v>90263</v>
      </c>
      <c r="B26" s="157" t="s">
        <v>651</v>
      </c>
      <c r="C26" s="157" t="s">
        <v>8</v>
      </c>
      <c r="D26" s="157">
        <v>36.04</v>
      </c>
      <c r="E26" s="157" t="s">
        <v>590</v>
      </c>
      <c r="F26" s="157">
        <v>0.65</v>
      </c>
      <c r="G26" s="157">
        <v>0.65</v>
      </c>
      <c r="H26" s="157">
        <v>0</v>
      </c>
      <c r="I26" s="157">
        <v>0</v>
      </c>
      <c r="J26" s="158"/>
      <c r="K26" s="157">
        <v>0.65</v>
      </c>
    </row>
    <row r="27" spans="1:11">
      <c r="A27" s="157">
        <v>90262</v>
      </c>
      <c r="B27" s="157" t="s">
        <v>650</v>
      </c>
      <c r="C27" s="157" t="s">
        <v>8</v>
      </c>
      <c r="D27" s="157">
        <v>25.97</v>
      </c>
      <c r="E27" s="157" t="s">
        <v>590</v>
      </c>
      <c r="F27" s="157">
        <v>225.76</v>
      </c>
      <c r="G27" s="157">
        <v>0</v>
      </c>
      <c r="H27" s="157">
        <v>0</v>
      </c>
      <c r="I27" s="157">
        <v>0</v>
      </c>
      <c r="J27" s="158"/>
      <c r="K27" s="157">
        <v>0</v>
      </c>
    </row>
    <row r="28" spans="1:11">
      <c r="A28" s="157">
        <v>90560</v>
      </c>
      <c r="B28" s="157" t="s">
        <v>719</v>
      </c>
      <c r="C28" s="157" t="s">
        <v>8</v>
      </c>
      <c r="D28" s="157">
        <v>14.64</v>
      </c>
      <c r="E28" s="157" t="s">
        <v>590</v>
      </c>
      <c r="F28" s="157">
        <v>108.36</v>
      </c>
      <c r="G28" s="157">
        <v>0</v>
      </c>
      <c r="H28" s="157">
        <v>0</v>
      </c>
      <c r="I28" s="157">
        <v>0</v>
      </c>
      <c r="J28" s="157">
        <v>0</v>
      </c>
      <c r="K28" s="157">
        <v>0</v>
      </c>
    </row>
    <row r="29" spans="1:11">
      <c r="A29" s="157">
        <v>90267</v>
      </c>
      <c r="B29" s="157" t="s">
        <v>652</v>
      </c>
      <c r="C29" s="157" t="s">
        <v>7</v>
      </c>
      <c r="D29" s="157">
        <v>14.52</v>
      </c>
      <c r="E29" s="157" t="s">
        <v>590</v>
      </c>
      <c r="F29" s="157">
        <v>60</v>
      </c>
      <c r="G29" s="157">
        <v>0</v>
      </c>
      <c r="H29" s="157">
        <v>0</v>
      </c>
      <c r="I29" s="157">
        <v>0</v>
      </c>
      <c r="J29" s="157">
        <v>0</v>
      </c>
      <c r="K29" s="157">
        <v>0</v>
      </c>
    </row>
    <row r="30" spans="1:11">
      <c r="A30" s="157">
        <v>90266</v>
      </c>
      <c r="B30" s="157" t="s">
        <v>652</v>
      </c>
      <c r="C30" s="157" t="s">
        <v>7</v>
      </c>
      <c r="D30" s="157">
        <v>14.52</v>
      </c>
      <c r="E30" s="157"/>
      <c r="F30" s="157"/>
      <c r="G30" s="157"/>
      <c r="H30" s="157"/>
      <c r="I30" s="157"/>
      <c r="J30" s="157"/>
      <c r="K30" s="157"/>
    </row>
    <row r="31" spans="1:11">
      <c r="A31" s="157">
        <v>90268</v>
      </c>
      <c r="B31" s="157" t="s">
        <v>653</v>
      </c>
      <c r="C31" s="157" t="s">
        <v>7</v>
      </c>
      <c r="D31" s="157">
        <v>21.09</v>
      </c>
      <c r="E31" s="157" t="s">
        <v>590</v>
      </c>
      <c r="F31" s="157">
        <v>705</v>
      </c>
      <c r="G31" s="157">
        <v>505</v>
      </c>
      <c r="H31" s="157">
        <v>0</v>
      </c>
      <c r="I31" s="157">
        <v>30</v>
      </c>
      <c r="J31" s="158"/>
      <c r="K31" s="157">
        <v>355</v>
      </c>
    </row>
    <row r="32" spans="1:11">
      <c r="A32" s="157">
        <v>91462</v>
      </c>
      <c r="B32" s="157" t="s">
        <v>733</v>
      </c>
      <c r="C32" s="157" t="s">
        <v>7</v>
      </c>
      <c r="D32" s="157">
        <v>87.4</v>
      </c>
      <c r="E32" s="157" t="s">
        <v>590</v>
      </c>
      <c r="F32" s="157">
        <v>66</v>
      </c>
      <c r="G32" s="157">
        <v>24</v>
      </c>
      <c r="H32" s="157">
        <v>0</v>
      </c>
      <c r="I32" s="157">
        <v>0</v>
      </c>
      <c r="J32" s="158"/>
      <c r="K32" s="157">
        <v>0</v>
      </c>
    </row>
    <row r="33" spans="1:11">
      <c r="A33" s="157">
        <v>623984</v>
      </c>
      <c r="B33" s="157" t="s">
        <v>734</v>
      </c>
      <c r="C33" s="157" t="s">
        <v>7</v>
      </c>
      <c r="D33" s="157">
        <v>5.58</v>
      </c>
      <c r="E33" s="157" t="s">
        <v>590</v>
      </c>
      <c r="F33" s="157">
        <v>10</v>
      </c>
      <c r="G33" s="157">
        <v>0</v>
      </c>
      <c r="H33" s="157">
        <v>0</v>
      </c>
      <c r="I33" s="157">
        <v>0</v>
      </c>
      <c r="J33" s="158"/>
      <c r="K33" s="157">
        <v>0</v>
      </c>
    </row>
    <row r="34" spans="1:11">
      <c r="A34" s="157">
        <v>3098</v>
      </c>
      <c r="B34" s="157" t="s">
        <v>21</v>
      </c>
      <c r="C34" s="157" t="s">
        <v>7</v>
      </c>
      <c r="D34" s="157">
        <v>7.64</v>
      </c>
      <c r="E34" s="157" t="s">
        <v>590</v>
      </c>
      <c r="F34" s="157">
        <v>64</v>
      </c>
      <c r="G34" s="157">
        <v>20</v>
      </c>
      <c r="H34" s="157">
        <v>0</v>
      </c>
      <c r="I34" s="157">
        <v>10</v>
      </c>
      <c r="J34" s="157">
        <v>0</v>
      </c>
      <c r="K34" s="157">
        <v>0</v>
      </c>
    </row>
    <row r="35" spans="1:11">
      <c r="A35" s="157">
        <v>90294</v>
      </c>
      <c r="B35" s="157" t="s">
        <v>661</v>
      </c>
      <c r="C35" s="157" t="s">
        <v>7</v>
      </c>
      <c r="D35" s="157">
        <v>16.670000000000002</v>
      </c>
      <c r="E35" s="157" t="s">
        <v>590</v>
      </c>
      <c r="F35" s="157">
        <v>143</v>
      </c>
      <c r="G35" s="157">
        <v>30</v>
      </c>
      <c r="H35" s="157">
        <v>0</v>
      </c>
      <c r="I35" s="157">
        <v>4</v>
      </c>
      <c r="J35" s="157">
        <v>0</v>
      </c>
      <c r="K35" s="157">
        <v>0</v>
      </c>
    </row>
    <row r="36" spans="1:11">
      <c r="A36" s="157">
        <v>4475</v>
      </c>
      <c r="B36" s="157" t="s">
        <v>77</v>
      </c>
      <c r="C36" s="157" t="s">
        <v>10</v>
      </c>
      <c r="D36" s="157">
        <v>5</v>
      </c>
      <c r="E36" s="157" t="s">
        <v>591</v>
      </c>
      <c r="F36" s="157">
        <v>6</v>
      </c>
      <c r="G36" s="157">
        <v>3</v>
      </c>
      <c r="H36" s="157">
        <v>0</v>
      </c>
      <c r="I36" s="157">
        <v>0</v>
      </c>
      <c r="J36" s="158"/>
      <c r="K36" s="157">
        <v>0</v>
      </c>
    </row>
    <row r="37" spans="1:11">
      <c r="A37" s="157">
        <v>90968</v>
      </c>
      <c r="B37" s="157" t="s">
        <v>732</v>
      </c>
      <c r="C37" s="157" t="s">
        <v>13</v>
      </c>
      <c r="D37" s="157">
        <v>24.42</v>
      </c>
      <c r="E37" s="157" t="s">
        <v>590</v>
      </c>
      <c r="F37" s="157">
        <v>69</v>
      </c>
      <c r="G37" s="157">
        <v>24</v>
      </c>
      <c r="H37" s="157">
        <v>0</v>
      </c>
      <c r="I37" s="157">
        <v>0</v>
      </c>
      <c r="J37" s="158"/>
      <c r="K37" s="157">
        <v>0</v>
      </c>
    </row>
    <row r="38" spans="1:11">
      <c r="A38" s="157">
        <v>90586</v>
      </c>
      <c r="B38" s="157" t="s">
        <v>722</v>
      </c>
      <c r="C38" s="780" t="s">
        <v>13</v>
      </c>
      <c r="D38" s="157">
        <v>7.54</v>
      </c>
      <c r="E38" s="157" t="s">
        <v>590</v>
      </c>
      <c r="F38" s="157">
        <v>64</v>
      </c>
      <c r="G38" s="157">
        <v>38</v>
      </c>
      <c r="H38" s="157">
        <v>0</v>
      </c>
      <c r="I38" s="157">
        <v>12</v>
      </c>
      <c r="J38" s="157">
        <v>0</v>
      </c>
      <c r="K38" s="157">
        <v>0</v>
      </c>
    </row>
    <row r="39" spans="1:11">
      <c r="A39" s="157">
        <v>90486</v>
      </c>
      <c r="B39" s="157" t="s">
        <v>22</v>
      </c>
      <c r="C39" s="157" t="s">
        <v>13</v>
      </c>
      <c r="D39" s="157">
        <v>0.7</v>
      </c>
      <c r="E39" s="157" t="s">
        <v>590</v>
      </c>
      <c r="F39" s="157">
        <v>1</v>
      </c>
      <c r="G39" s="157">
        <v>0</v>
      </c>
      <c r="H39" s="157">
        <v>0</v>
      </c>
      <c r="I39" s="157">
        <v>0</v>
      </c>
      <c r="J39" s="158"/>
      <c r="K39" s="157">
        <v>0</v>
      </c>
    </row>
    <row r="40" spans="1:11">
      <c r="A40" s="157">
        <v>90487</v>
      </c>
      <c r="B40" s="157" t="s">
        <v>23</v>
      </c>
      <c r="C40" s="157" t="s">
        <v>13</v>
      </c>
      <c r="D40" s="157">
        <v>0.47</v>
      </c>
      <c r="E40" s="157" t="s">
        <v>590</v>
      </c>
      <c r="F40" s="157">
        <v>455</v>
      </c>
      <c r="G40" s="157">
        <v>210</v>
      </c>
      <c r="H40" s="157">
        <v>0</v>
      </c>
      <c r="I40" s="157">
        <v>30</v>
      </c>
      <c r="J40" s="157">
        <v>0</v>
      </c>
      <c r="K40" s="157">
        <v>33</v>
      </c>
    </row>
    <row r="41" spans="1:11">
      <c r="A41" s="157">
        <v>2900</v>
      </c>
      <c r="B41" s="157" t="s">
        <v>593</v>
      </c>
      <c r="C41" s="157" t="s">
        <v>10</v>
      </c>
      <c r="D41" s="157">
        <v>2.33</v>
      </c>
      <c r="E41" s="157" t="s">
        <v>591</v>
      </c>
      <c r="F41" s="157">
        <v>40</v>
      </c>
      <c r="G41" s="157">
        <v>0</v>
      </c>
      <c r="H41" s="157">
        <v>0</v>
      </c>
      <c r="I41" s="157">
        <v>0</v>
      </c>
      <c r="J41" s="158"/>
      <c r="K41" s="157">
        <v>0</v>
      </c>
    </row>
    <row r="42" spans="1:11">
      <c r="A42" s="157">
        <v>90488</v>
      </c>
      <c r="B42" s="157" t="s">
        <v>24</v>
      </c>
      <c r="C42" s="157" t="s">
        <v>13</v>
      </c>
      <c r="D42" s="157">
        <v>2.12</v>
      </c>
      <c r="E42" s="157" t="s">
        <v>590</v>
      </c>
      <c r="F42" s="157">
        <v>76</v>
      </c>
      <c r="G42" s="157">
        <v>36</v>
      </c>
      <c r="H42" s="157">
        <v>0</v>
      </c>
      <c r="I42" s="157">
        <v>3</v>
      </c>
      <c r="J42" s="158"/>
      <c r="K42" s="157">
        <v>0</v>
      </c>
    </row>
    <row r="43" spans="1:11">
      <c r="A43" s="157">
        <v>90547</v>
      </c>
      <c r="B43" s="157" t="s">
        <v>714</v>
      </c>
      <c r="C43" s="157" t="s">
        <v>10</v>
      </c>
      <c r="D43" s="157">
        <v>261.07</v>
      </c>
      <c r="E43" s="157" t="s">
        <v>590</v>
      </c>
      <c r="F43" s="157">
        <v>14</v>
      </c>
      <c r="G43" s="157">
        <v>1</v>
      </c>
      <c r="H43" s="157">
        <v>0</v>
      </c>
      <c r="I43" s="157">
        <v>0</v>
      </c>
      <c r="J43" s="157">
        <v>0</v>
      </c>
      <c r="K43" s="157">
        <v>0</v>
      </c>
    </row>
    <row r="44" spans="1:11">
      <c r="A44" s="157">
        <v>90548</v>
      </c>
      <c r="B44" s="157" t="s">
        <v>715</v>
      </c>
      <c r="C44" s="157" t="s">
        <v>10</v>
      </c>
      <c r="D44" s="157">
        <v>187.24</v>
      </c>
      <c r="E44" s="157" t="s">
        <v>590</v>
      </c>
      <c r="F44" s="157">
        <v>2</v>
      </c>
      <c r="G44" s="157">
        <v>2</v>
      </c>
      <c r="H44" s="157">
        <v>0</v>
      </c>
      <c r="I44" s="157">
        <v>1</v>
      </c>
      <c r="J44" s="158"/>
      <c r="K44" s="157">
        <v>0</v>
      </c>
    </row>
    <row r="45" spans="1:11">
      <c r="A45" s="157">
        <v>90550</v>
      </c>
      <c r="B45" s="157" t="s">
        <v>716</v>
      </c>
      <c r="C45" s="157" t="s">
        <v>10</v>
      </c>
      <c r="D45" s="157">
        <v>897.52</v>
      </c>
      <c r="E45" s="157" t="s">
        <v>590</v>
      </c>
      <c r="F45" s="157">
        <v>7</v>
      </c>
      <c r="G45" s="157">
        <v>0</v>
      </c>
      <c r="H45" s="157">
        <v>0</v>
      </c>
      <c r="I45" s="157">
        <v>0</v>
      </c>
      <c r="J45" s="157">
        <v>0</v>
      </c>
      <c r="K45" s="157">
        <v>0</v>
      </c>
    </row>
    <row r="46" spans="1:11">
      <c r="A46" s="157">
        <v>90554</v>
      </c>
      <c r="B46" s="157" t="s">
        <v>718</v>
      </c>
      <c r="C46" s="157" t="s">
        <v>10</v>
      </c>
      <c r="D46" s="157">
        <v>517.66</v>
      </c>
      <c r="E46" s="157" t="s">
        <v>590</v>
      </c>
      <c r="F46" s="157">
        <v>30</v>
      </c>
      <c r="G46" s="157">
        <v>15</v>
      </c>
      <c r="H46" s="157">
        <v>0</v>
      </c>
      <c r="I46" s="157">
        <v>0</v>
      </c>
      <c r="J46" s="157">
        <v>0</v>
      </c>
      <c r="K46" s="157">
        <v>6</v>
      </c>
    </row>
    <row r="47" spans="1:11">
      <c r="A47" s="157">
        <v>90553</v>
      </c>
      <c r="B47" s="157" t="s">
        <v>717</v>
      </c>
      <c r="C47" s="157" t="s">
        <v>10</v>
      </c>
      <c r="D47" s="157">
        <v>615.70000000000005</v>
      </c>
      <c r="E47" s="157" t="s">
        <v>590</v>
      </c>
      <c r="F47" s="157">
        <v>40</v>
      </c>
      <c r="G47" s="157">
        <v>3</v>
      </c>
      <c r="H47" s="157">
        <v>0</v>
      </c>
      <c r="I47" s="157">
        <v>0</v>
      </c>
      <c r="J47" s="157">
        <v>0</v>
      </c>
      <c r="K47" s="157">
        <v>0</v>
      </c>
    </row>
    <row r="48" spans="1:11">
      <c r="A48" s="157">
        <v>90215</v>
      </c>
      <c r="B48" s="157" t="s">
        <v>625</v>
      </c>
      <c r="C48" s="157" t="s">
        <v>13</v>
      </c>
      <c r="D48" s="157">
        <v>19.38</v>
      </c>
      <c r="E48" s="157" t="s">
        <v>590</v>
      </c>
      <c r="F48" s="157">
        <v>2</v>
      </c>
      <c r="G48" s="157">
        <v>0</v>
      </c>
      <c r="H48" s="157">
        <v>0</v>
      </c>
      <c r="I48" s="157">
        <v>0</v>
      </c>
      <c r="J48" s="158"/>
      <c r="K48" s="157">
        <v>0</v>
      </c>
    </row>
    <row r="49" spans="1:11">
      <c r="A49" s="157">
        <v>90216</v>
      </c>
      <c r="B49" s="157" t="s">
        <v>626</v>
      </c>
      <c r="C49" s="157" t="s">
        <v>13</v>
      </c>
      <c r="D49" s="157">
        <v>14.33</v>
      </c>
      <c r="E49" s="157" t="s">
        <v>590</v>
      </c>
      <c r="F49" s="157">
        <v>11</v>
      </c>
      <c r="G49" s="157">
        <v>0</v>
      </c>
      <c r="H49" s="157">
        <v>0</v>
      </c>
      <c r="I49" s="157">
        <v>0</v>
      </c>
      <c r="J49" s="158"/>
      <c r="K49" s="157">
        <v>0</v>
      </c>
    </row>
    <row r="50" spans="1:11">
      <c r="A50" s="157">
        <v>90217</v>
      </c>
      <c r="B50" s="157" t="s">
        <v>627</v>
      </c>
      <c r="C50" s="157" t="s">
        <v>13</v>
      </c>
      <c r="D50" s="157">
        <v>20.58</v>
      </c>
      <c r="E50" s="157" t="s">
        <v>590</v>
      </c>
      <c r="F50" s="157">
        <v>11</v>
      </c>
      <c r="G50" s="157">
        <v>0</v>
      </c>
      <c r="H50" s="157">
        <v>0</v>
      </c>
      <c r="I50" s="157">
        <v>0</v>
      </c>
      <c r="J50" s="158"/>
      <c r="K50" s="157">
        <v>0</v>
      </c>
    </row>
    <row r="51" spans="1:11">
      <c r="A51" s="157">
        <v>90218</v>
      </c>
      <c r="B51" s="157" t="s">
        <v>628</v>
      </c>
      <c r="C51" s="157" t="s">
        <v>13</v>
      </c>
      <c r="D51" s="157">
        <v>15.07</v>
      </c>
      <c r="E51" s="157" t="s">
        <v>590</v>
      </c>
      <c r="F51" s="157">
        <v>16</v>
      </c>
      <c r="G51" s="157">
        <v>3</v>
      </c>
      <c r="H51" s="157">
        <v>0</v>
      </c>
      <c r="I51" s="157">
        <v>2</v>
      </c>
      <c r="J51" s="157">
        <v>0</v>
      </c>
      <c r="K51" s="157">
        <v>0</v>
      </c>
    </row>
    <row r="52" spans="1:11">
      <c r="A52" s="157">
        <v>90219</v>
      </c>
      <c r="B52" s="157" t="s">
        <v>629</v>
      </c>
      <c r="C52" s="157" t="s">
        <v>13</v>
      </c>
      <c r="D52" s="157">
        <v>14.82</v>
      </c>
      <c r="E52" s="157" t="s">
        <v>590</v>
      </c>
      <c r="F52" s="157">
        <v>13</v>
      </c>
      <c r="G52" s="157">
        <v>6</v>
      </c>
      <c r="H52" s="157">
        <v>0</v>
      </c>
      <c r="I52" s="157">
        <v>2</v>
      </c>
      <c r="J52" s="157">
        <v>0</v>
      </c>
      <c r="K52" s="157">
        <v>0</v>
      </c>
    </row>
    <row r="53" spans="1:11">
      <c r="A53" s="157">
        <v>90231</v>
      </c>
      <c r="B53" s="157" t="s">
        <v>638</v>
      </c>
      <c r="C53" s="157" t="s">
        <v>13</v>
      </c>
      <c r="D53" s="157">
        <v>15.24</v>
      </c>
      <c r="E53" s="157" t="s">
        <v>590</v>
      </c>
      <c r="F53" s="157">
        <v>4</v>
      </c>
      <c r="G53" s="157">
        <v>3</v>
      </c>
      <c r="H53" s="157">
        <v>0</v>
      </c>
      <c r="I53" s="157">
        <v>0</v>
      </c>
      <c r="J53" s="158"/>
      <c r="K53" s="157">
        <v>1</v>
      </c>
    </row>
    <row r="54" spans="1:11">
      <c r="A54" s="157">
        <v>90220</v>
      </c>
      <c r="B54" s="157" t="s">
        <v>630</v>
      </c>
      <c r="C54" s="157" t="s">
        <v>13</v>
      </c>
      <c r="D54" s="157">
        <v>15.67</v>
      </c>
      <c r="E54" s="157" t="s">
        <v>590</v>
      </c>
      <c r="F54" s="157">
        <v>3</v>
      </c>
      <c r="G54" s="157">
        <v>3</v>
      </c>
      <c r="H54" s="157">
        <v>0</v>
      </c>
      <c r="I54" s="157">
        <v>0</v>
      </c>
      <c r="J54" s="158"/>
      <c r="K54" s="157">
        <v>2</v>
      </c>
    </row>
    <row r="55" spans="1:11">
      <c r="A55" s="157">
        <v>90221</v>
      </c>
      <c r="B55" s="157" t="s">
        <v>631</v>
      </c>
      <c r="C55" s="157" t="s">
        <v>13</v>
      </c>
      <c r="D55" s="157">
        <v>15.63</v>
      </c>
      <c r="E55" s="157" t="s">
        <v>590</v>
      </c>
      <c r="F55" s="157">
        <v>5</v>
      </c>
      <c r="G55" s="157">
        <v>5</v>
      </c>
      <c r="H55" s="157">
        <v>0</v>
      </c>
      <c r="I55" s="157">
        <v>0</v>
      </c>
      <c r="J55" s="158"/>
      <c r="K55" s="157">
        <v>3</v>
      </c>
    </row>
    <row r="56" spans="1:11">
      <c r="A56" s="157">
        <v>90222</v>
      </c>
      <c r="B56" s="157" t="s">
        <v>632</v>
      </c>
      <c r="C56" s="157" t="s">
        <v>13</v>
      </c>
      <c r="D56" s="157">
        <v>16.7</v>
      </c>
      <c r="E56" s="157" t="s">
        <v>590</v>
      </c>
      <c r="F56" s="157">
        <v>6</v>
      </c>
      <c r="G56" s="157">
        <v>6</v>
      </c>
      <c r="H56" s="157">
        <v>0</v>
      </c>
      <c r="I56" s="157">
        <v>0</v>
      </c>
      <c r="J56" s="158"/>
      <c r="K56" s="157">
        <v>4</v>
      </c>
    </row>
    <row r="57" spans="1:11">
      <c r="A57" s="157">
        <v>90223</v>
      </c>
      <c r="B57" s="157" t="s">
        <v>633</v>
      </c>
      <c r="C57" s="157" t="s">
        <v>13</v>
      </c>
      <c r="D57" s="157">
        <v>17.95</v>
      </c>
      <c r="E57" s="157" t="s">
        <v>590</v>
      </c>
      <c r="F57" s="157">
        <v>5</v>
      </c>
      <c r="G57" s="157">
        <v>5</v>
      </c>
      <c r="H57" s="157">
        <v>0</v>
      </c>
      <c r="I57" s="157">
        <v>0</v>
      </c>
      <c r="J57" s="158"/>
      <c r="K57" s="157">
        <v>3</v>
      </c>
    </row>
    <row r="58" spans="1:11">
      <c r="A58" s="157">
        <v>90232</v>
      </c>
      <c r="B58" s="157" t="s">
        <v>639</v>
      </c>
      <c r="C58" s="157" t="s">
        <v>13</v>
      </c>
      <c r="D58" s="157">
        <v>226.38</v>
      </c>
      <c r="E58" s="157" t="s">
        <v>590</v>
      </c>
      <c r="F58" s="157">
        <v>3</v>
      </c>
      <c r="G58" s="157">
        <v>4</v>
      </c>
      <c r="H58" s="157">
        <v>0</v>
      </c>
      <c r="I58" s="157">
        <v>0</v>
      </c>
      <c r="J58" s="158"/>
      <c r="K58" s="157">
        <v>2</v>
      </c>
    </row>
    <row r="59" spans="1:11">
      <c r="A59" s="157">
        <v>90224</v>
      </c>
      <c r="B59" s="157" t="s">
        <v>634</v>
      </c>
      <c r="C59" s="157" t="s">
        <v>13</v>
      </c>
      <c r="D59" s="157">
        <v>20.04</v>
      </c>
      <c r="E59" s="157" t="s">
        <v>590</v>
      </c>
      <c r="F59" s="157">
        <v>3</v>
      </c>
      <c r="G59" s="157">
        <v>4</v>
      </c>
      <c r="H59" s="157">
        <v>0</v>
      </c>
      <c r="I59" s="157">
        <v>0</v>
      </c>
      <c r="J59" s="158"/>
      <c r="K59" s="157">
        <v>2</v>
      </c>
    </row>
    <row r="60" spans="1:11">
      <c r="A60" s="157">
        <v>90225</v>
      </c>
      <c r="B60" s="157" t="s">
        <v>635</v>
      </c>
      <c r="C60" s="157" t="s">
        <v>13</v>
      </c>
      <c r="D60" s="157">
        <v>14.24</v>
      </c>
      <c r="E60" s="157" t="s">
        <v>590</v>
      </c>
      <c r="F60" s="157">
        <v>4</v>
      </c>
      <c r="G60" s="157">
        <v>5</v>
      </c>
      <c r="H60" s="157">
        <v>0</v>
      </c>
      <c r="I60" s="157">
        <v>0</v>
      </c>
      <c r="J60" s="158"/>
      <c r="K60" s="157">
        <v>2</v>
      </c>
    </row>
    <row r="61" spans="1:11">
      <c r="A61" s="157">
        <v>90233</v>
      </c>
      <c r="B61" s="157" t="s">
        <v>640</v>
      </c>
      <c r="C61" s="157" t="s">
        <v>13</v>
      </c>
      <c r="D61" s="157">
        <v>19.079999999999998</v>
      </c>
      <c r="E61" s="157" t="s">
        <v>590</v>
      </c>
      <c r="F61" s="157">
        <v>4</v>
      </c>
      <c r="G61" s="157">
        <v>3</v>
      </c>
      <c r="H61" s="157">
        <v>0</v>
      </c>
      <c r="I61" s="157">
        <v>0</v>
      </c>
      <c r="J61" s="158"/>
      <c r="K61" s="157">
        <v>2</v>
      </c>
    </row>
    <row r="62" spans="1:11">
      <c r="A62" s="157">
        <v>90226</v>
      </c>
      <c r="B62" s="157" t="s">
        <v>636</v>
      </c>
      <c r="C62" s="157" t="s">
        <v>13</v>
      </c>
      <c r="D62" s="157">
        <v>22.79</v>
      </c>
      <c r="E62" s="157" t="s">
        <v>590</v>
      </c>
      <c r="F62" s="157">
        <v>2</v>
      </c>
      <c r="G62" s="157">
        <v>1</v>
      </c>
      <c r="H62" s="157">
        <v>0</v>
      </c>
      <c r="I62" s="157">
        <v>1</v>
      </c>
      <c r="J62" s="158"/>
      <c r="K62" s="157">
        <v>0</v>
      </c>
    </row>
    <row r="63" spans="1:11">
      <c r="A63" s="157">
        <v>90227</v>
      </c>
      <c r="B63" s="157" t="s">
        <v>637</v>
      </c>
      <c r="C63" s="157" t="s">
        <v>13</v>
      </c>
      <c r="D63" s="157">
        <v>21.34</v>
      </c>
      <c r="E63" s="157" t="s">
        <v>590</v>
      </c>
      <c r="F63" s="157">
        <v>1</v>
      </c>
      <c r="G63" s="157">
        <v>0</v>
      </c>
      <c r="H63" s="157">
        <v>0</v>
      </c>
      <c r="I63" s="157">
        <v>0</v>
      </c>
      <c r="J63" s="158"/>
      <c r="K63" s="157">
        <v>0</v>
      </c>
    </row>
    <row r="64" spans="1:11">
      <c r="A64" s="157">
        <v>90235</v>
      </c>
      <c r="B64" s="157" t="s">
        <v>641</v>
      </c>
      <c r="C64" s="157" t="s">
        <v>13</v>
      </c>
      <c r="D64" s="157">
        <v>22.56</v>
      </c>
      <c r="E64" s="157" t="s">
        <v>590</v>
      </c>
      <c r="F64" s="157">
        <v>0</v>
      </c>
      <c r="G64" s="157">
        <v>2</v>
      </c>
      <c r="H64" s="157">
        <v>0</v>
      </c>
      <c r="I64" s="157">
        <v>0</v>
      </c>
      <c r="J64" s="158"/>
      <c r="K64" s="157">
        <v>0</v>
      </c>
    </row>
    <row r="65" spans="1:11">
      <c r="A65" s="157">
        <v>4145</v>
      </c>
      <c r="B65" s="157" t="s">
        <v>25</v>
      </c>
      <c r="C65" s="157" t="s">
        <v>10</v>
      </c>
      <c r="D65" s="157">
        <v>27.51</v>
      </c>
      <c r="E65" s="157" t="s">
        <v>591</v>
      </c>
      <c r="F65" s="157">
        <v>1</v>
      </c>
      <c r="G65" s="157">
        <v>0</v>
      </c>
      <c r="H65" s="157">
        <v>0</v>
      </c>
      <c r="I65" s="157">
        <v>0</v>
      </c>
      <c r="J65" s="158"/>
      <c r="K65" s="157">
        <v>0</v>
      </c>
    </row>
    <row r="66" spans="1:11">
      <c r="A66" s="157">
        <v>624307</v>
      </c>
      <c r="B66" s="157" t="s">
        <v>26</v>
      </c>
      <c r="C66" s="157" t="s">
        <v>27</v>
      </c>
      <c r="D66" s="157">
        <v>22</v>
      </c>
      <c r="E66" s="157" t="s">
        <v>590</v>
      </c>
      <c r="F66" s="157">
        <v>40</v>
      </c>
      <c r="G66" s="157">
        <v>0</v>
      </c>
      <c r="H66" s="157">
        <v>0</v>
      </c>
      <c r="I66" s="157">
        <v>0</v>
      </c>
      <c r="J66" s="158"/>
      <c r="K66" s="157">
        <v>0</v>
      </c>
    </row>
    <row r="67" spans="1:11">
      <c r="A67" s="157">
        <v>174</v>
      </c>
      <c r="B67" s="157" t="s">
        <v>28</v>
      </c>
      <c r="C67" s="157" t="s">
        <v>10</v>
      </c>
      <c r="D67" s="157">
        <v>2.25</v>
      </c>
      <c r="E67" s="157" t="s">
        <v>591</v>
      </c>
      <c r="F67" s="157">
        <v>6</v>
      </c>
      <c r="G67" s="157">
        <v>6</v>
      </c>
      <c r="H67" s="157">
        <v>0</v>
      </c>
      <c r="I67" s="157">
        <v>3</v>
      </c>
      <c r="J67" s="158"/>
      <c r="K67" s="157">
        <v>0</v>
      </c>
    </row>
    <row r="68" spans="1:11">
      <c r="A68" s="157">
        <v>178</v>
      </c>
      <c r="B68" s="157" t="s">
        <v>29</v>
      </c>
      <c r="C68" s="157" t="s">
        <v>10</v>
      </c>
      <c r="D68" s="157">
        <v>5.39</v>
      </c>
      <c r="E68" s="157" t="s">
        <v>591</v>
      </c>
      <c r="F68" s="157">
        <v>21</v>
      </c>
      <c r="G68" s="157">
        <v>6</v>
      </c>
      <c r="H68" s="157">
        <v>0</v>
      </c>
      <c r="I68" s="157">
        <v>0</v>
      </c>
      <c r="J68" s="158"/>
      <c r="K68" s="157">
        <v>0</v>
      </c>
    </row>
    <row r="69" spans="1:11">
      <c r="A69" s="157">
        <v>159</v>
      </c>
      <c r="B69" s="157" t="s">
        <v>30</v>
      </c>
      <c r="C69" s="157" t="s">
        <v>10</v>
      </c>
      <c r="D69" s="157">
        <v>4.3600000000000003</v>
      </c>
      <c r="E69" s="157" t="s">
        <v>591</v>
      </c>
      <c r="F69" s="157">
        <v>202</v>
      </c>
      <c r="G69" s="157">
        <v>39</v>
      </c>
      <c r="H69" s="157">
        <v>0</v>
      </c>
      <c r="I69" s="157">
        <v>0</v>
      </c>
      <c r="J69" s="158"/>
      <c r="K69" s="157">
        <v>36</v>
      </c>
    </row>
    <row r="70" spans="1:11">
      <c r="A70" s="157">
        <v>90471</v>
      </c>
      <c r="B70" s="157" t="s">
        <v>703</v>
      </c>
      <c r="C70" s="157" t="s">
        <v>13</v>
      </c>
      <c r="D70" s="157">
        <v>1.65</v>
      </c>
      <c r="E70" s="157" t="s">
        <v>590</v>
      </c>
      <c r="F70" s="157">
        <v>2</v>
      </c>
      <c r="G70" s="157">
        <v>0</v>
      </c>
      <c r="H70" s="157">
        <v>0</v>
      </c>
      <c r="I70" s="157">
        <v>0</v>
      </c>
      <c r="J70" s="158"/>
      <c r="K70" s="157">
        <v>0</v>
      </c>
    </row>
    <row r="71" spans="1:11">
      <c r="A71" s="157">
        <v>90472</v>
      </c>
      <c r="B71" s="157" t="s">
        <v>704</v>
      </c>
      <c r="C71" s="157" t="s">
        <v>13</v>
      </c>
      <c r="D71" s="157">
        <v>1.06</v>
      </c>
      <c r="E71" s="157" t="s">
        <v>590</v>
      </c>
      <c r="F71" s="157">
        <v>4</v>
      </c>
      <c r="G71" s="157">
        <v>0</v>
      </c>
      <c r="H71" s="157">
        <v>0</v>
      </c>
      <c r="I71" s="157">
        <v>0</v>
      </c>
      <c r="J71" s="158"/>
      <c r="K71" s="157">
        <v>0</v>
      </c>
    </row>
    <row r="72" spans="1:11">
      <c r="A72" s="157">
        <v>90490</v>
      </c>
      <c r="B72" s="157" t="s">
        <v>78</v>
      </c>
      <c r="C72" s="157" t="s">
        <v>13</v>
      </c>
      <c r="D72" s="157">
        <v>8.4700000000000006</v>
      </c>
      <c r="E72" s="157" t="s">
        <v>590</v>
      </c>
      <c r="F72" s="157">
        <v>34</v>
      </c>
      <c r="G72" s="157">
        <v>40</v>
      </c>
      <c r="H72" s="157">
        <v>0</v>
      </c>
      <c r="I72" s="157">
        <v>0</v>
      </c>
      <c r="J72" s="157">
        <v>0</v>
      </c>
      <c r="K72" s="157">
        <v>0</v>
      </c>
    </row>
    <row r="73" spans="1:11">
      <c r="A73" s="157">
        <v>90113</v>
      </c>
      <c r="B73" s="157" t="s">
        <v>610</v>
      </c>
      <c r="C73" s="157" t="s">
        <v>10</v>
      </c>
      <c r="D73" s="157">
        <v>6.14</v>
      </c>
      <c r="E73" s="157" t="s">
        <v>590</v>
      </c>
      <c r="F73" s="157">
        <v>8</v>
      </c>
      <c r="G73" s="157">
        <v>0</v>
      </c>
      <c r="H73" s="157">
        <v>0</v>
      </c>
      <c r="I73" s="157">
        <v>0</v>
      </c>
      <c r="J73" s="158"/>
      <c r="K73" s="157">
        <v>0</v>
      </c>
    </row>
    <row r="74" spans="1:11">
      <c r="A74" s="157">
        <v>90799</v>
      </c>
      <c r="B74" s="157" t="s">
        <v>729</v>
      </c>
      <c r="C74" s="157" t="s">
        <v>13</v>
      </c>
      <c r="D74" s="157">
        <v>10.31</v>
      </c>
      <c r="E74" s="157" t="s">
        <v>590</v>
      </c>
      <c r="F74" s="157">
        <v>68</v>
      </c>
      <c r="G74" s="157">
        <v>62</v>
      </c>
      <c r="H74" s="157">
        <v>0</v>
      </c>
      <c r="I74" s="157">
        <v>0</v>
      </c>
      <c r="J74" s="158"/>
      <c r="K74" s="157">
        <v>0</v>
      </c>
    </row>
    <row r="75" spans="1:11">
      <c r="A75" s="157">
        <v>90790</v>
      </c>
      <c r="B75" s="157" t="s">
        <v>726</v>
      </c>
      <c r="C75" s="157" t="s">
        <v>13</v>
      </c>
      <c r="D75" s="157">
        <v>15.15</v>
      </c>
      <c r="E75" s="157" t="s">
        <v>590</v>
      </c>
      <c r="F75" s="157">
        <v>49</v>
      </c>
      <c r="G75" s="157">
        <v>25</v>
      </c>
      <c r="H75" s="157">
        <v>0</v>
      </c>
      <c r="I75" s="157">
        <v>0</v>
      </c>
      <c r="J75" s="157">
        <v>0</v>
      </c>
      <c r="K75" s="157">
        <v>0</v>
      </c>
    </row>
    <row r="76" spans="1:11">
      <c r="A76" s="157">
        <v>90791</v>
      </c>
      <c r="B76" s="157" t="s">
        <v>727</v>
      </c>
      <c r="C76" s="157" t="s">
        <v>13</v>
      </c>
      <c r="D76" s="157">
        <v>8.86</v>
      </c>
      <c r="E76" s="157" t="s">
        <v>590</v>
      </c>
      <c r="F76" s="157">
        <v>19</v>
      </c>
      <c r="G76" s="157">
        <v>1</v>
      </c>
      <c r="H76" s="157">
        <v>0</v>
      </c>
      <c r="I76" s="157">
        <v>0</v>
      </c>
      <c r="J76" s="157">
        <v>0</v>
      </c>
      <c r="K76" s="157">
        <v>0</v>
      </c>
    </row>
    <row r="77" spans="1:11">
      <c r="A77" s="157">
        <v>90795</v>
      </c>
      <c r="B77" s="157" t="s">
        <v>728</v>
      </c>
      <c r="C77" s="157" t="s">
        <v>13</v>
      </c>
      <c r="D77" s="157">
        <v>6.44</v>
      </c>
      <c r="E77" s="157" t="s">
        <v>590</v>
      </c>
      <c r="F77" s="157">
        <v>6</v>
      </c>
      <c r="G77" s="157">
        <v>0</v>
      </c>
      <c r="H77" s="157">
        <v>0</v>
      </c>
      <c r="I77" s="157">
        <v>0</v>
      </c>
      <c r="J77" s="158"/>
      <c r="K77" s="157">
        <v>0</v>
      </c>
    </row>
    <row r="78" spans="1:11">
      <c r="A78" s="157">
        <v>90800</v>
      </c>
      <c r="B78" s="157" t="s">
        <v>730</v>
      </c>
      <c r="C78" s="157" t="s">
        <v>13</v>
      </c>
      <c r="D78" s="157">
        <v>14.86</v>
      </c>
      <c r="E78" s="157" t="s">
        <v>590</v>
      </c>
      <c r="F78" s="157">
        <v>6</v>
      </c>
      <c r="G78" s="157">
        <v>0</v>
      </c>
      <c r="H78" s="157">
        <v>0</v>
      </c>
      <c r="I78" s="157">
        <v>0</v>
      </c>
      <c r="J78" s="158"/>
      <c r="K78" s="157">
        <v>0</v>
      </c>
    </row>
    <row r="79" spans="1:11">
      <c r="A79" s="157">
        <v>3057</v>
      </c>
      <c r="B79" s="157" t="s">
        <v>598</v>
      </c>
      <c r="C79" s="157" t="s">
        <v>10</v>
      </c>
      <c r="D79" s="157">
        <v>14.58</v>
      </c>
      <c r="E79" s="157" t="s">
        <v>591</v>
      </c>
      <c r="F79" s="157">
        <v>1</v>
      </c>
      <c r="G79" s="157">
        <v>0</v>
      </c>
      <c r="H79" s="157">
        <v>0</v>
      </c>
      <c r="I79" s="157">
        <v>0</v>
      </c>
      <c r="J79" s="158"/>
      <c r="K79" s="157">
        <v>0</v>
      </c>
    </row>
    <row r="80" spans="1:11">
      <c r="A80" s="157">
        <v>2914</v>
      </c>
      <c r="B80" s="157" t="s">
        <v>31</v>
      </c>
      <c r="C80" s="157" t="s">
        <v>10</v>
      </c>
      <c r="D80" s="157">
        <v>2.25</v>
      </c>
      <c r="E80" s="157" t="s">
        <v>591</v>
      </c>
      <c r="F80" s="157">
        <v>20</v>
      </c>
      <c r="G80" s="157">
        <v>3</v>
      </c>
      <c r="H80" s="157">
        <v>0</v>
      </c>
      <c r="I80" s="157">
        <v>0</v>
      </c>
      <c r="J80" s="158"/>
      <c r="K80" s="157">
        <v>3</v>
      </c>
    </row>
    <row r="81" spans="1:11">
      <c r="A81" s="157">
        <v>2915</v>
      </c>
      <c r="B81" s="157" t="s">
        <v>32</v>
      </c>
      <c r="C81" s="157" t="s">
        <v>10</v>
      </c>
      <c r="D81" s="157">
        <v>5.39</v>
      </c>
      <c r="E81" s="157" t="s">
        <v>591</v>
      </c>
      <c r="F81" s="157">
        <v>2</v>
      </c>
      <c r="G81" s="157">
        <v>12</v>
      </c>
      <c r="H81" s="157">
        <v>0</v>
      </c>
      <c r="I81" s="157">
        <v>6</v>
      </c>
      <c r="J81" s="157">
        <v>0</v>
      </c>
      <c r="K81" s="157">
        <v>6</v>
      </c>
    </row>
    <row r="82" spans="1:11">
      <c r="A82" s="157">
        <v>2916</v>
      </c>
      <c r="B82" s="157" t="s">
        <v>33</v>
      </c>
      <c r="C82" s="157" t="s">
        <v>10</v>
      </c>
      <c r="D82" s="157">
        <v>8.98</v>
      </c>
      <c r="E82" s="157" t="s">
        <v>591</v>
      </c>
      <c r="F82" s="157">
        <v>68</v>
      </c>
      <c r="G82" s="157">
        <v>12</v>
      </c>
      <c r="H82" s="157">
        <v>0</v>
      </c>
      <c r="I82" s="157">
        <v>0</v>
      </c>
      <c r="J82" s="158"/>
      <c r="K82" s="157">
        <v>12</v>
      </c>
    </row>
    <row r="83" spans="1:11">
      <c r="A83" s="157">
        <v>2917</v>
      </c>
      <c r="B83" s="157" t="s">
        <v>34</v>
      </c>
      <c r="C83" s="157" t="s">
        <v>10</v>
      </c>
      <c r="D83" s="157">
        <v>4.7699999999999996</v>
      </c>
      <c r="E83" s="157" t="s">
        <v>591</v>
      </c>
      <c r="F83" s="157">
        <v>32</v>
      </c>
      <c r="G83" s="157">
        <v>30</v>
      </c>
      <c r="H83" s="157">
        <v>0</v>
      </c>
      <c r="I83" s="157">
        <v>6</v>
      </c>
      <c r="J83" s="158"/>
      <c r="K83" s="157">
        <v>18</v>
      </c>
    </row>
    <row r="84" spans="1:11">
      <c r="A84" s="157">
        <v>3058</v>
      </c>
      <c r="B84" s="157" t="s">
        <v>35</v>
      </c>
      <c r="C84" s="157" t="s">
        <v>10</v>
      </c>
      <c r="D84" s="157">
        <v>29.5</v>
      </c>
      <c r="E84" s="157" t="s">
        <v>591</v>
      </c>
      <c r="F84" s="157">
        <v>1</v>
      </c>
      <c r="G84" s="157">
        <v>1</v>
      </c>
      <c r="H84" s="157">
        <v>0</v>
      </c>
      <c r="I84" s="157">
        <v>0</v>
      </c>
      <c r="J84" s="158"/>
      <c r="K84" s="157">
        <v>0</v>
      </c>
    </row>
    <row r="85" spans="1:11">
      <c r="A85" s="157">
        <v>3913</v>
      </c>
      <c r="B85" s="157" t="s">
        <v>602</v>
      </c>
      <c r="C85" s="157" t="s">
        <v>10</v>
      </c>
      <c r="D85" s="157">
        <v>10.76</v>
      </c>
      <c r="E85" s="157" t="s">
        <v>591</v>
      </c>
      <c r="F85" s="157">
        <v>3</v>
      </c>
      <c r="G85" s="157">
        <v>0</v>
      </c>
      <c r="H85" s="157">
        <v>0</v>
      </c>
      <c r="I85" s="157">
        <v>0</v>
      </c>
      <c r="J85" s="158"/>
      <c r="K85" s="157">
        <v>0</v>
      </c>
    </row>
    <row r="86" spans="1:11">
      <c r="A86" s="157">
        <v>2913</v>
      </c>
      <c r="B86" s="157" t="s">
        <v>594</v>
      </c>
      <c r="C86" s="157" t="s">
        <v>10</v>
      </c>
      <c r="D86" s="157">
        <v>5.39</v>
      </c>
      <c r="E86" s="157" t="s">
        <v>591</v>
      </c>
      <c r="F86" s="157">
        <v>3</v>
      </c>
      <c r="G86" s="157">
        <v>0</v>
      </c>
      <c r="H86" s="157">
        <v>0</v>
      </c>
      <c r="I86" s="157">
        <v>0</v>
      </c>
      <c r="J86" s="158"/>
      <c r="K86" s="157">
        <v>0</v>
      </c>
    </row>
    <row r="87" spans="1:11">
      <c r="A87" s="157">
        <v>90348</v>
      </c>
      <c r="B87" s="157" t="s">
        <v>670</v>
      </c>
      <c r="C87" s="157" t="s">
        <v>13</v>
      </c>
      <c r="D87" s="157">
        <v>25.34</v>
      </c>
      <c r="E87" s="157" t="s">
        <v>590</v>
      </c>
      <c r="F87" s="157">
        <v>1</v>
      </c>
      <c r="G87" s="157">
        <v>0</v>
      </c>
      <c r="H87" s="157">
        <v>0</v>
      </c>
      <c r="I87" s="157">
        <v>0</v>
      </c>
      <c r="J87" s="158"/>
      <c r="K87" s="157">
        <v>0</v>
      </c>
    </row>
    <row r="88" spans="1:11">
      <c r="A88" s="157">
        <v>90345</v>
      </c>
      <c r="B88" s="157" t="s">
        <v>669</v>
      </c>
      <c r="C88" s="157" t="s">
        <v>13</v>
      </c>
      <c r="D88" s="157">
        <v>17.71</v>
      </c>
      <c r="E88" s="157" t="s">
        <v>590</v>
      </c>
      <c r="F88" s="157">
        <v>16</v>
      </c>
      <c r="G88" s="157">
        <v>2</v>
      </c>
      <c r="H88" s="157">
        <v>0</v>
      </c>
      <c r="I88" s="157">
        <v>0</v>
      </c>
      <c r="J88" s="158"/>
      <c r="K88" s="157">
        <v>0</v>
      </c>
    </row>
    <row r="89" spans="1:11">
      <c r="A89" s="157">
        <v>2902</v>
      </c>
      <c r="B89" s="157" t="s">
        <v>36</v>
      </c>
      <c r="C89" s="157" t="s">
        <v>10</v>
      </c>
      <c r="D89" s="157">
        <v>4.6399999999999997</v>
      </c>
      <c r="E89" s="157" t="s">
        <v>591</v>
      </c>
      <c r="F89" s="157">
        <v>100</v>
      </c>
      <c r="G89" s="157">
        <v>18</v>
      </c>
      <c r="H89" s="157">
        <v>0</v>
      </c>
      <c r="I89" s="157">
        <v>0</v>
      </c>
      <c r="J89" s="158"/>
      <c r="K89" s="157">
        <v>18</v>
      </c>
    </row>
    <row r="90" spans="1:11">
      <c r="A90" s="157">
        <v>2919</v>
      </c>
      <c r="B90" s="157" t="s">
        <v>37</v>
      </c>
      <c r="C90" s="157" t="s">
        <v>10</v>
      </c>
      <c r="D90" s="157">
        <v>1.21</v>
      </c>
      <c r="E90" s="157" t="s">
        <v>591</v>
      </c>
      <c r="F90" s="157">
        <v>9</v>
      </c>
      <c r="G90" s="157">
        <v>4</v>
      </c>
      <c r="H90" s="157">
        <v>0</v>
      </c>
      <c r="I90" s="157">
        <v>0</v>
      </c>
      <c r="J90" s="158"/>
      <c r="K90" s="157">
        <v>4</v>
      </c>
    </row>
    <row r="91" spans="1:11">
      <c r="A91" s="157">
        <v>90353</v>
      </c>
      <c r="B91" s="157" t="s">
        <v>671</v>
      </c>
      <c r="C91" s="157" t="s">
        <v>13</v>
      </c>
      <c r="D91" s="157">
        <v>8.6</v>
      </c>
      <c r="E91" s="157" t="s">
        <v>590</v>
      </c>
      <c r="F91" s="157">
        <v>41</v>
      </c>
      <c r="G91" s="157">
        <v>12</v>
      </c>
      <c r="H91" s="157">
        <v>0</v>
      </c>
      <c r="I91" s="157">
        <v>0</v>
      </c>
      <c r="J91" s="158"/>
      <c r="K91" s="157">
        <v>0</v>
      </c>
    </row>
    <row r="92" spans="1:11">
      <c r="A92" s="157">
        <v>90357</v>
      </c>
      <c r="B92" s="157" t="s">
        <v>672</v>
      </c>
      <c r="C92" s="157" t="s">
        <v>13</v>
      </c>
      <c r="D92" s="157">
        <v>6.6</v>
      </c>
      <c r="E92" s="157" t="s">
        <v>590</v>
      </c>
      <c r="F92" s="157">
        <v>88</v>
      </c>
      <c r="G92" s="157">
        <v>24</v>
      </c>
      <c r="H92" s="157">
        <v>0</v>
      </c>
      <c r="I92" s="157">
        <v>0</v>
      </c>
      <c r="J92" s="158"/>
      <c r="K92" s="157">
        <v>0</v>
      </c>
    </row>
    <row r="93" spans="1:11">
      <c r="A93" s="157">
        <v>90461</v>
      </c>
      <c r="B93" s="157" t="s">
        <v>701</v>
      </c>
      <c r="C93" s="157" t="s">
        <v>13</v>
      </c>
      <c r="D93" s="157">
        <v>72.290000000000006</v>
      </c>
      <c r="E93" s="157" t="s">
        <v>590</v>
      </c>
      <c r="F93" s="157">
        <v>1</v>
      </c>
      <c r="G93" s="157">
        <v>0</v>
      </c>
      <c r="H93" s="157">
        <v>0</v>
      </c>
      <c r="I93" s="157">
        <v>0</v>
      </c>
      <c r="J93" s="158"/>
      <c r="K93" s="157">
        <v>0</v>
      </c>
    </row>
    <row r="94" spans="1:11">
      <c r="A94" s="157">
        <v>90460</v>
      </c>
      <c r="B94" s="157" t="s">
        <v>700</v>
      </c>
      <c r="C94" s="157" t="s">
        <v>13</v>
      </c>
      <c r="D94" s="157">
        <v>66.459999999999994</v>
      </c>
      <c r="E94" s="157" t="s">
        <v>590</v>
      </c>
      <c r="F94" s="157">
        <v>5</v>
      </c>
      <c r="G94" s="157">
        <v>5</v>
      </c>
      <c r="H94" s="157">
        <v>0</v>
      </c>
      <c r="I94" s="157">
        <v>0</v>
      </c>
      <c r="J94" s="158"/>
      <c r="K94" s="157">
        <v>0</v>
      </c>
    </row>
    <row r="95" spans="1:11">
      <c r="A95" s="157">
        <v>90255</v>
      </c>
      <c r="B95" s="157" t="s">
        <v>646</v>
      </c>
      <c r="C95" s="157" t="s">
        <v>7</v>
      </c>
      <c r="D95" s="157">
        <v>3.28</v>
      </c>
      <c r="E95" s="157" t="s">
        <v>590</v>
      </c>
      <c r="F95" s="157">
        <v>502</v>
      </c>
      <c r="G95" s="157">
        <v>482</v>
      </c>
      <c r="H95" s="157">
        <v>0</v>
      </c>
      <c r="I95" s="157">
        <v>24</v>
      </c>
      <c r="J95" s="157">
        <v>0</v>
      </c>
      <c r="K95" s="157">
        <v>72</v>
      </c>
    </row>
    <row r="96" spans="1:11">
      <c r="A96" s="157">
        <v>90256</v>
      </c>
      <c r="B96" s="157" t="s">
        <v>647</v>
      </c>
      <c r="C96" s="157" t="s">
        <v>7</v>
      </c>
      <c r="D96" s="157">
        <v>6.79</v>
      </c>
      <c r="E96" s="157" t="s">
        <v>590</v>
      </c>
      <c r="F96" s="157">
        <v>140</v>
      </c>
      <c r="G96" s="157">
        <v>140</v>
      </c>
      <c r="H96" s="157">
        <v>0</v>
      </c>
      <c r="I96" s="157">
        <v>0</v>
      </c>
      <c r="J96" s="158"/>
      <c r="K96" s="157">
        <v>140</v>
      </c>
    </row>
    <row r="97" spans="1:11">
      <c r="A97" s="157">
        <v>90404</v>
      </c>
      <c r="B97" s="157" t="s">
        <v>688</v>
      </c>
      <c r="C97" s="157" t="s">
        <v>13</v>
      </c>
      <c r="D97" s="157">
        <v>177.42</v>
      </c>
      <c r="E97" s="157" t="s">
        <v>590</v>
      </c>
      <c r="F97" s="157">
        <v>93</v>
      </c>
      <c r="G97" s="157">
        <v>29</v>
      </c>
      <c r="H97" s="157">
        <v>0</v>
      </c>
      <c r="I97" s="157">
        <v>2</v>
      </c>
      <c r="J97" s="157">
        <v>0</v>
      </c>
      <c r="K97" s="157">
        <v>10</v>
      </c>
    </row>
    <row r="98" spans="1:11">
      <c r="A98" s="157">
        <v>2988</v>
      </c>
      <c r="B98" s="157" t="s">
        <v>597</v>
      </c>
      <c r="C98" s="157" t="s">
        <v>10</v>
      </c>
      <c r="D98" s="157">
        <v>78.260000000000005</v>
      </c>
      <c r="E98" s="157" t="s">
        <v>591</v>
      </c>
      <c r="F98" s="157">
        <v>17</v>
      </c>
      <c r="G98" s="157">
        <v>0</v>
      </c>
      <c r="H98" s="157">
        <v>0</v>
      </c>
      <c r="I98" s="157">
        <v>0</v>
      </c>
      <c r="J98" s="157">
        <v>0</v>
      </c>
      <c r="K98" s="157">
        <v>0</v>
      </c>
    </row>
    <row r="99" spans="1:11">
      <c r="A99" s="157">
        <v>35797</v>
      </c>
      <c r="B99" s="157" t="s">
        <v>38</v>
      </c>
      <c r="C99" s="157" t="s">
        <v>10</v>
      </c>
      <c r="D99" s="157">
        <v>6.8635999999999999</v>
      </c>
      <c r="E99" s="157" t="s">
        <v>590</v>
      </c>
      <c r="F99" s="157">
        <v>2</v>
      </c>
      <c r="G99" s="157">
        <v>2</v>
      </c>
      <c r="H99" s="157">
        <v>0</v>
      </c>
      <c r="I99" s="157">
        <v>0</v>
      </c>
      <c r="J99" s="158"/>
      <c r="K99" s="157">
        <v>1</v>
      </c>
    </row>
    <row r="100" spans="1:11">
      <c r="A100" s="157">
        <v>3062</v>
      </c>
      <c r="B100" s="157" t="s">
        <v>39</v>
      </c>
      <c r="C100" s="157" t="s">
        <v>10</v>
      </c>
      <c r="D100" s="157">
        <v>3.4</v>
      </c>
      <c r="E100" s="157" t="s">
        <v>591</v>
      </c>
      <c r="F100" s="157">
        <v>1</v>
      </c>
      <c r="G100" s="157">
        <v>0</v>
      </c>
      <c r="H100" s="157">
        <v>0</v>
      </c>
      <c r="I100" s="157">
        <v>0</v>
      </c>
      <c r="J100" s="158"/>
      <c r="K100" s="157">
        <v>0</v>
      </c>
    </row>
    <row r="101" spans="1:11">
      <c r="A101" s="157">
        <v>90498</v>
      </c>
      <c r="B101" s="157" t="s">
        <v>705</v>
      </c>
      <c r="C101" s="157" t="s">
        <v>13</v>
      </c>
      <c r="D101" s="157">
        <v>4.6666999999999996</v>
      </c>
      <c r="E101" s="157" t="s">
        <v>590</v>
      </c>
      <c r="F101" s="157">
        <v>1</v>
      </c>
      <c r="G101" s="157">
        <v>0</v>
      </c>
      <c r="H101" s="157">
        <v>0</v>
      </c>
      <c r="I101" s="157">
        <v>0</v>
      </c>
      <c r="J101" s="158"/>
      <c r="K101" s="157">
        <v>0</v>
      </c>
    </row>
    <row r="102" spans="1:11">
      <c r="A102" s="157">
        <v>90501</v>
      </c>
      <c r="B102" s="157" t="s">
        <v>706</v>
      </c>
      <c r="C102" s="157" t="s">
        <v>13</v>
      </c>
      <c r="D102" s="157">
        <v>4.6666999999999996</v>
      </c>
      <c r="E102" s="157" t="s">
        <v>590</v>
      </c>
      <c r="F102" s="157">
        <v>27</v>
      </c>
      <c r="G102" s="157">
        <v>6</v>
      </c>
      <c r="H102" s="157">
        <v>0</v>
      </c>
      <c r="I102" s="157">
        <v>0</v>
      </c>
      <c r="J102" s="158"/>
      <c r="K102" s="157">
        <v>0</v>
      </c>
    </row>
    <row r="103" spans="1:11">
      <c r="A103" s="157">
        <v>90508</v>
      </c>
      <c r="B103" s="157" t="s">
        <v>707</v>
      </c>
      <c r="C103" s="157" t="s">
        <v>13</v>
      </c>
      <c r="D103" s="157">
        <v>4.2699999999999996</v>
      </c>
      <c r="E103" s="157" t="s">
        <v>591</v>
      </c>
      <c r="F103" s="157">
        <v>3</v>
      </c>
      <c r="G103" s="157">
        <v>0</v>
      </c>
      <c r="H103" s="157">
        <v>0</v>
      </c>
      <c r="I103" s="157">
        <v>0</v>
      </c>
      <c r="J103" s="158"/>
      <c r="K103" s="157">
        <v>0</v>
      </c>
    </row>
    <row r="104" spans="1:11">
      <c r="A104" s="157">
        <v>90639</v>
      </c>
      <c r="B104" s="157" t="s">
        <v>725</v>
      </c>
      <c r="C104" s="157" t="s">
        <v>13</v>
      </c>
      <c r="D104" s="157">
        <v>5.2473000000000001</v>
      </c>
      <c r="E104" s="157" t="s">
        <v>590</v>
      </c>
      <c r="F104" s="157">
        <v>12</v>
      </c>
      <c r="G104" s="157">
        <v>6</v>
      </c>
      <c r="H104" s="157">
        <v>0</v>
      </c>
      <c r="I104" s="157">
        <v>0</v>
      </c>
      <c r="J104" s="157">
        <v>0</v>
      </c>
      <c r="K104" s="157">
        <v>0</v>
      </c>
    </row>
    <row r="105" spans="1:11">
      <c r="A105" s="157">
        <v>90124</v>
      </c>
      <c r="B105" s="157" t="s">
        <v>611</v>
      </c>
      <c r="C105" s="157" t="s">
        <v>10</v>
      </c>
      <c r="D105" s="157">
        <v>109.99</v>
      </c>
      <c r="E105" s="157" t="s">
        <v>590</v>
      </c>
      <c r="F105" s="157">
        <v>6</v>
      </c>
      <c r="G105" s="157">
        <v>0</v>
      </c>
      <c r="H105" s="157">
        <v>0</v>
      </c>
      <c r="I105" s="157">
        <v>0</v>
      </c>
      <c r="J105" s="157">
        <v>0</v>
      </c>
      <c r="K105" s="157">
        <v>0</v>
      </c>
    </row>
    <row r="106" spans="1:11">
      <c r="A106" s="157">
        <v>90406</v>
      </c>
      <c r="B106" s="157" t="s">
        <v>689</v>
      </c>
      <c r="C106" s="157" t="s">
        <v>13</v>
      </c>
      <c r="D106" s="157">
        <v>14.01</v>
      </c>
      <c r="E106" s="157" t="s">
        <v>590</v>
      </c>
      <c r="F106" s="157">
        <v>2</v>
      </c>
      <c r="G106" s="157">
        <v>2</v>
      </c>
      <c r="H106" s="157">
        <v>0</v>
      </c>
      <c r="I106" s="157">
        <v>0</v>
      </c>
      <c r="J106" s="158"/>
      <c r="K106" s="157">
        <v>0</v>
      </c>
    </row>
    <row r="107" spans="1:11">
      <c r="A107" s="157">
        <v>90567</v>
      </c>
      <c r="B107" s="157" t="s">
        <v>720</v>
      </c>
      <c r="C107" s="157" t="s">
        <v>10</v>
      </c>
      <c r="D107" s="157">
        <v>17.920000000000002</v>
      </c>
      <c r="E107" s="157" t="s">
        <v>590</v>
      </c>
      <c r="F107" s="157">
        <v>2</v>
      </c>
      <c r="G107" s="157">
        <v>2</v>
      </c>
      <c r="H107" s="157">
        <v>0</v>
      </c>
      <c r="I107" s="157">
        <v>0</v>
      </c>
      <c r="J107" s="158"/>
      <c r="K107" s="157">
        <v>2</v>
      </c>
    </row>
    <row r="108" spans="1:11">
      <c r="A108" s="157">
        <v>90391</v>
      </c>
      <c r="B108" s="157" t="s">
        <v>41</v>
      </c>
      <c r="C108" s="157" t="s">
        <v>8</v>
      </c>
      <c r="D108" s="157">
        <v>35.65</v>
      </c>
      <c r="E108" s="157" t="s">
        <v>590</v>
      </c>
      <c r="F108" s="157">
        <v>65.239999999999995</v>
      </c>
      <c r="G108" s="157">
        <v>28.27</v>
      </c>
      <c r="H108" s="157">
        <v>0</v>
      </c>
      <c r="I108" s="157">
        <v>0</v>
      </c>
      <c r="J108" s="158"/>
      <c r="K108" s="157">
        <v>0.71</v>
      </c>
    </row>
    <row r="109" spans="1:11">
      <c r="A109" s="157">
        <v>2934</v>
      </c>
      <c r="B109" s="157" t="s">
        <v>595</v>
      </c>
      <c r="C109" s="157" t="s">
        <v>8</v>
      </c>
      <c r="D109" s="157">
        <v>6.88</v>
      </c>
      <c r="E109" s="157" t="s">
        <v>591</v>
      </c>
      <c r="F109" s="157">
        <v>4</v>
      </c>
      <c r="G109" s="157">
        <v>0</v>
      </c>
      <c r="H109" s="157">
        <v>0</v>
      </c>
      <c r="I109" s="157">
        <v>0</v>
      </c>
      <c r="J109" s="157">
        <v>0</v>
      </c>
      <c r="K109" s="157">
        <v>0</v>
      </c>
    </row>
    <row r="110" spans="1:11">
      <c r="A110" s="157">
        <v>90392</v>
      </c>
      <c r="B110" s="157" t="s">
        <v>42</v>
      </c>
      <c r="C110" s="157" t="s">
        <v>8</v>
      </c>
      <c r="D110" s="157">
        <v>39.68</v>
      </c>
      <c r="E110" s="157" t="s">
        <v>590</v>
      </c>
      <c r="F110" s="157">
        <v>0.64</v>
      </c>
      <c r="G110" s="157">
        <v>0.13</v>
      </c>
      <c r="H110" s="157">
        <v>0</v>
      </c>
      <c r="I110" s="157">
        <v>0</v>
      </c>
      <c r="J110" s="158"/>
      <c r="K110" s="157">
        <v>0</v>
      </c>
    </row>
    <row r="111" spans="1:11">
      <c r="A111" s="157">
        <v>375</v>
      </c>
      <c r="B111" s="157" t="s">
        <v>43</v>
      </c>
      <c r="C111" s="157" t="s">
        <v>10</v>
      </c>
      <c r="D111" s="157">
        <v>8.06</v>
      </c>
      <c r="E111" s="157" t="s">
        <v>590</v>
      </c>
      <c r="F111" s="157">
        <v>1</v>
      </c>
      <c r="G111" s="157">
        <v>1</v>
      </c>
      <c r="H111" s="157">
        <v>0</v>
      </c>
      <c r="I111" s="157">
        <v>0</v>
      </c>
      <c r="J111" s="158"/>
      <c r="K111" s="157">
        <v>0</v>
      </c>
    </row>
    <row r="112" spans="1:11">
      <c r="A112" s="157">
        <v>90515</v>
      </c>
      <c r="B112" s="157" t="s">
        <v>708</v>
      </c>
      <c r="C112" s="157" t="s">
        <v>13</v>
      </c>
      <c r="D112" s="157">
        <v>19.47</v>
      </c>
      <c r="E112" s="157" t="s">
        <v>590</v>
      </c>
      <c r="F112" s="157">
        <v>2</v>
      </c>
      <c r="G112" s="157">
        <v>2</v>
      </c>
      <c r="H112" s="157">
        <v>0</v>
      </c>
      <c r="I112" s="157">
        <v>0</v>
      </c>
      <c r="J112" s="158"/>
      <c r="K112" s="157">
        <v>2</v>
      </c>
    </row>
    <row r="113" spans="1:11">
      <c r="A113" s="157">
        <v>90448</v>
      </c>
      <c r="B113" s="157" t="s">
        <v>698</v>
      </c>
      <c r="C113" s="157" t="s">
        <v>13</v>
      </c>
      <c r="D113" s="157">
        <v>5.66</v>
      </c>
      <c r="E113" s="157" t="s">
        <v>590</v>
      </c>
      <c r="F113" s="157">
        <v>113</v>
      </c>
      <c r="G113" s="157">
        <v>66</v>
      </c>
      <c r="H113" s="157">
        <v>0</v>
      </c>
      <c r="I113" s="157">
        <v>0</v>
      </c>
      <c r="J113" s="157">
        <v>0</v>
      </c>
      <c r="K113" s="157">
        <v>15</v>
      </c>
    </row>
    <row r="114" spans="1:11">
      <c r="A114" s="157">
        <v>90451</v>
      </c>
      <c r="B114" s="157" t="s">
        <v>699</v>
      </c>
      <c r="C114" s="157" t="s">
        <v>13</v>
      </c>
      <c r="D114" s="157">
        <v>23.97</v>
      </c>
      <c r="E114" s="157" t="s">
        <v>590</v>
      </c>
      <c r="F114" s="157">
        <v>30</v>
      </c>
      <c r="G114" s="157">
        <v>18</v>
      </c>
      <c r="H114" s="157">
        <v>0</v>
      </c>
      <c r="I114" s="157">
        <v>0</v>
      </c>
      <c r="J114" s="158"/>
      <c r="K114" s="157">
        <v>12</v>
      </c>
    </row>
    <row r="115" spans="1:11">
      <c r="A115" s="157">
        <v>2940</v>
      </c>
      <c r="B115" s="157" t="s">
        <v>44</v>
      </c>
      <c r="C115" s="157" t="s">
        <v>10</v>
      </c>
      <c r="D115" s="157">
        <v>19.579999999999998</v>
      </c>
      <c r="E115" s="157" t="s">
        <v>591</v>
      </c>
      <c r="F115" s="157">
        <v>11</v>
      </c>
      <c r="G115" s="157">
        <v>3</v>
      </c>
      <c r="H115" s="157">
        <v>0</v>
      </c>
      <c r="I115" s="157">
        <v>0</v>
      </c>
      <c r="J115" s="158"/>
      <c r="K115" s="157">
        <v>0</v>
      </c>
    </row>
    <row r="116" spans="1:11">
      <c r="A116" s="157">
        <v>2941</v>
      </c>
      <c r="B116" s="157" t="s">
        <v>45</v>
      </c>
      <c r="C116" s="157" t="s">
        <v>10</v>
      </c>
      <c r="D116" s="157">
        <v>19.600000000000001</v>
      </c>
      <c r="E116" s="157" t="s">
        <v>591</v>
      </c>
      <c r="F116" s="157">
        <v>24</v>
      </c>
      <c r="G116" s="157">
        <v>24</v>
      </c>
      <c r="H116" s="157">
        <v>0</v>
      </c>
      <c r="I116" s="157">
        <v>0</v>
      </c>
      <c r="J116" s="158"/>
      <c r="K116" s="157">
        <v>0</v>
      </c>
    </row>
    <row r="117" spans="1:11">
      <c r="A117" s="157">
        <v>90638</v>
      </c>
      <c r="B117" s="157" t="s">
        <v>724</v>
      </c>
      <c r="C117" s="157" t="s">
        <v>13</v>
      </c>
      <c r="D117" s="157">
        <v>114.36</v>
      </c>
      <c r="E117" s="157" t="s">
        <v>590</v>
      </c>
      <c r="F117" s="157">
        <v>49</v>
      </c>
      <c r="G117" s="157">
        <v>0</v>
      </c>
      <c r="H117" s="157">
        <v>0</v>
      </c>
      <c r="I117" s="157">
        <v>0</v>
      </c>
      <c r="J117" s="157">
        <v>0</v>
      </c>
      <c r="K117" s="157">
        <v>0</v>
      </c>
    </row>
    <row r="118" spans="1:11">
      <c r="A118" s="157">
        <v>90462</v>
      </c>
      <c r="B118" s="157" t="s">
        <v>702</v>
      </c>
      <c r="C118" s="157" t="s">
        <v>13</v>
      </c>
      <c r="D118" s="157">
        <v>111.25</v>
      </c>
      <c r="E118" s="157" t="s">
        <v>590</v>
      </c>
      <c r="F118" s="157">
        <v>70</v>
      </c>
      <c r="G118" s="157">
        <v>105</v>
      </c>
      <c r="H118" s="157">
        <v>0</v>
      </c>
      <c r="I118" s="157">
        <v>0</v>
      </c>
      <c r="J118" s="158"/>
      <c r="K118" s="157">
        <v>0</v>
      </c>
    </row>
    <row r="119" spans="1:11">
      <c r="A119" s="157">
        <v>3097</v>
      </c>
      <c r="B119" s="157" t="s">
        <v>600</v>
      </c>
      <c r="C119" s="157" t="s">
        <v>10</v>
      </c>
      <c r="D119" s="157">
        <v>40</v>
      </c>
      <c r="E119" s="157" t="s">
        <v>591</v>
      </c>
      <c r="F119" s="157">
        <v>0</v>
      </c>
      <c r="G119" s="157">
        <v>18</v>
      </c>
      <c r="H119" s="157">
        <v>0</v>
      </c>
      <c r="I119" s="157">
        <v>0</v>
      </c>
      <c r="J119" s="158"/>
      <c r="K119" s="157">
        <v>18</v>
      </c>
    </row>
    <row r="120" spans="1:11">
      <c r="A120" s="157">
        <v>90253</v>
      </c>
      <c r="B120" s="157" t="s">
        <v>645</v>
      </c>
      <c r="C120" s="157" t="s">
        <v>13</v>
      </c>
      <c r="D120" s="157">
        <v>54.13</v>
      </c>
      <c r="E120" s="157" t="s">
        <v>590</v>
      </c>
      <c r="F120" s="157">
        <v>84</v>
      </c>
      <c r="G120" s="157">
        <v>24</v>
      </c>
      <c r="H120" s="157">
        <v>0</v>
      </c>
      <c r="I120" s="157">
        <v>3</v>
      </c>
      <c r="J120" s="157">
        <v>0</v>
      </c>
      <c r="K120" s="157">
        <v>12</v>
      </c>
    </row>
    <row r="121" spans="1:11">
      <c r="A121" s="157">
        <v>90580</v>
      </c>
      <c r="B121" s="157" t="s">
        <v>721</v>
      </c>
      <c r="C121" s="157" t="s">
        <v>13</v>
      </c>
      <c r="D121" s="157">
        <v>106.77</v>
      </c>
      <c r="E121" s="157" t="s">
        <v>590</v>
      </c>
      <c r="F121" s="157">
        <v>25</v>
      </c>
      <c r="G121" s="157">
        <v>21</v>
      </c>
      <c r="H121" s="157">
        <v>0</v>
      </c>
      <c r="I121" s="157">
        <v>0</v>
      </c>
      <c r="J121" s="158"/>
      <c r="K121" s="157">
        <v>3</v>
      </c>
    </row>
    <row r="122" spans="1:11">
      <c r="A122" s="157">
        <v>2943</v>
      </c>
      <c r="B122" s="157" t="s">
        <v>596</v>
      </c>
      <c r="C122" s="157" t="s">
        <v>10</v>
      </c>
      <c r="D122" s="157">
        <v>30.64</v>
      </c>
      <c r="E122" s="157" t="s">
        <v>591</v>
      </c>
      <c r="F122" s="157">
        <v>3</v>
      </c>
      <c r="G122" s="157">
        <v>0</v>
      </c>
      <c r="H122" s="157">
        <v>0</v>
      </c>
      <c r="I122" s="157">
        <v>0</v>
      </c>
      <c r="J122" s="158"/>
      <c r="K122" s="157">
        <v>0</v>
      </c>
    </row>
    <row r="123" spans="1:11">
      <c r="A123" s="157">
        <v>90275</v>
      </c>
      <c r="B123" s="157" t="s">
        <v>655</v>
      </c>
      <c r="C123" s="157" t="s">
        <v>13</v>
      </c>
      <c r="D123" s="157">
        <v>21.21</v>
      </c>
      <c r="E123" s="157" t="s">
        <v>590</v>
      </c>
      <c r="F123" s="157">
        <v>9</v>
      </c>
      <c r="G123" s="157">
        <v>3</v>
      </c>
      <c r="H123" s="157">
        <v>0</v>
      </c>
      <c r="I123" s="157">
        <v>0</v>
      </c>
      <c r="J123" s="158"/>
      <c r="K123" s="157">
        <v>0</v>
      </c>
    </row>
    <row r="124" spans="1:11">
      <c r="A124" s="157">
        <v>208</v>
      </c>
      <c r="B124" s="157" t="s">
        <v>46</v>
      </c>
      <c r="C124" s="157" t="s">
        <v>10</v>
      </c>
      <c r="D124" s="157">
        <v>5.59</v>
      </c>
      <c r="E124" s="157" t="s">
        <v>591</v>
      </c>
      <c r="F124" s="157">
        <v>12</v>
      </c>
      <c r="G124" s="157">
        <v>0</v>
      </c>
      <c r="H124" s="157">
        <v>0</v>
      </c>
      <c r="I124" s="157">
        <v>0</v>
      </c>
      <c r="J124" s="157">
        <v>0</v>
      </c>
      <c r="K124" s="157">
        <v>0</v>
      </c>
    </row>
    <row r="125" spans="1:11">
      <c r="A125" s="157">
        <v>3999</v>
      </c>
      <c r="B125" s="157" t="s">
        <v>47</v>
      </c>
      <c r="C125" s="157" t="s">
        <v>10</v>
      </c>
      <c r="D125" s="157">
        <v>62.55</v>
      </c>
      <c r="E125" s="157" t="s">
        <v>591</v>
      </c>
      <c r="F125" s="157">
        <v>6</v>
      </c>
      <c r="G125" s="157">
        <v>0</v>
      </c>
      <c r="H125" s="157">
        <v>0</v>
      </c>
      <c r="I125" s="157">
        <v>0</v>
      </c>
      <c r="J125" s="158"/>
      <c r="K125" s="157">
        <v>0</v>
      </c>
    </row>
    <row r="126" spans="1:11">
      <c r="A126" s="157">
        <v>90295</v>
      </c>
      <c r="B126" s="157" t="s">
        <v>662</v>
      </c>
      <c r="C126" s="157" t="s">
        <v>13</v>
      </c>
      <c r="D126" s="157">
        <v>1.86</v>
      </c>
      <c r="E126" s="157" t="s">
        <v>590</v>
      </c>
      <c r="F126" s="157">
        <v>8</v>
      </c>
      <c r="G126" s="157">
        <v>9</v>
      </c>
      <c r="H126" s="157">
        <v>0</v>
      </c>
      <c r="I126" s="157">
        <v>0</v>
      </c>
      <c r="J126" s="158"/>
      <c r="K126" s="157">
        <v>0</v>
      </c>
    </row>
    <row r="127" spans="1:11">
      <c r="A127" s="157">
        <v>90277</v>
      </c>
      <c r="B127" s="157" t="s">
        <v>656</v>
      </c>
      <c r="C127" s="157" t="s">
        <v>13</v>
      </c>
      <c r="D127" s="157">
        <v>74.948099999999997</v>
      </c>
      <c r="E127" s="157" t="s">
        <v>590</v>
      </c>
      <c r="F127" s="157">
        <v>61</v>
      </c>
      <c r="G127" s="157">
        <v>30</v>
      </c>
      <c r="H127" s="157">
        <v>0</v>
      </c>
      <c r="I127" s="157">
        <v>0</v>
      </c>
      <c r="J127" s="158"/>
      <c r="K127" s="157">
        <v>15</v>
      </c>
    </row>
    <row r="128" spans="1:11">
      <c r="A128" s="157">
        <v>90279</v>
      </c>
      <c r="B128" s="157" t="s">
        <v>657</v>
      </c>
      <c r="C128" s="157" t="s">
        <v>13</v>
      </c>
      <c r="D128" s="157">
        <v>82.580600000000004</v>
      </c>
      <c r="E128" s="157" t="s">
        <v>590</v>
      </c>
      <c r="F128" s="157">
        <v>50</v>
      </c>
      <c r="G128" s="157">
        <v>36</v>
      </c>
      <c r="H128" s="157">
        <v>0</v>
      </c>
      <c r="I128" s="157">
        <v>0</v>
      </c>
      <c r="J128" s="158"/>
      <c r="K128" s="157">
        <v>0</v>
      </c>
    </row>
    <row r="129" spans="1:11">
      <c r="A129" s="157">
        <v>90320</v>
      </c>
      <c r="B129" s="157" t="s">
        <v>668</v>
      </c>
      <c r="C129" s="157" t="s">
        <v>13</v>
      </c>
      <c r="D129" s="157">
        <v>3.28</v>
      </c>
      <c r="E129" s="157" t="s">
        <v>590</v>
      </c>
      <c r="F129" s="157">
        <v>18</v>
      </c>
      <c r="G129" s="157">
        <v>18</v>
      </c>
      <c r="H129" s="157">
        <v>0</v>
      </c>
      <c r="I129" s="157">
        <v>0</v>
      </c>
      <c r="J129" s="158"/>
      <c r="K129" s="157">
        <v>0</v>
      </c>
    </row>
    <row r="130" spans="1:11">
      <c r="A130" s="157">
        <v>90318</v>
      </c>
      <c r="B130" s="157" t="s">
        <v>667</v>
      </c>
      <c r="C130" s="157" t="s">
        <v>13</v>
      </c>
      <c r="D130" s="157">
        <v>2.16</v>
      </c>
      <c r="E130" s="157" t="s">
        <v>590</v>
      </c>
      <c r="F130" s="157">
        <v>33</v>
      </c>
      <c r="G130" s="157">
        <v>0</v>
      </c>
      <c r="H130" s="157">
        <v>0</v>
      </c>
      <c r="I130" s="157">
        <v>0</v>
      </c>
      <c r="J130" s="158"/>
      <c r="K130" s="157">
        <v>0</v>
      </c>
    </row>
    <row r="131" spans="1:11">
      <c r="A131" s="157">
        <v>2952</v>
      </c>
      <c r="B131" s="157" t="s">
        <v>48</v>
      </c>
      <c r="C131" s="157" t="s">
        <v>10</v>
      </c>
      <c r="D131" s="157">
        <v>2.84</v>
      </c>
      <c r="E131" s="157" t="s">
        <v>591</v>
      </c>
      <c r="F131" s="157">
        <v>6</v>
      </c>
      <c r="G131" s="157">
        <v>0</v>
      </c>
      <c r="H131" s="157">
        <v>0</v>
      </c>
      <c r="I131" s="157">
        <v>0</v>
      </c>
      <c r="J131" s="158"/>
      <c r="K131" s="157">
        <v>0</v>
      </c>
    </row>
    <row r="132" spans="1:11">
      <c r="A132" s="157">
        <v>3080</v>
      </c>
      <c r="B132" s="157" t="s">
        <v>599</v>
      </c>
      <c r="C132" s="157" t="s">
        <v>10</v>
      </c>
      <c r="D132" s="157">
        <v>5.89</v>
      </c>
      <c r="E132" s="157" t="s">
        <v>591</v>
      </c>
      <c r="F132" s="157">
        <v>15</v>
      </c>
      <c r="G132" s="157">
        <v>0</v>
      </c>
      <c r="H132" s="157">
        <v>0</v>
      </c>
      <c r="I132" s="157">
        <v>0</v>
      </c>
      <c r="J132" s="158"/>
      <c r="K132" s="157">
        <v>0</v>
      </c>
    </row>
    <row r="133" spans="1:11">
      <c r="A133" s="157">
        <v>90440</v>
      </c>
      <c r="B133" s="157" t="s">
        <v>691</v>
      </c>
      <c r="C133" s="157" t="s">
        <v>13</v>
      </c>
      <c r="D133" s="157">
        <v>11.87</v>
      </c>
      <c r="E133" s="157" t="s">
        <v>590</v>
      </c>
      <c r="F133" s="157">
        <v>98</v>
      </c>
      <c r="G133" s="157">
        <v>61</v>
      </c>
      <c r="H133" s="157">
        <v>0</v>
      </c>
      <c r="I133" s="157">
        <v>0</v>
      </c>
      <c r="J133" s="157">
        <v>0</v>
      </c>
      <c r="K133" s="157">
        <v>15</v>
      </c>
    </row>
    <row r="134" spans="1:11">
      <c r="A134" s="157">
        <v>90441</v>
      </c>
      <c r="B134" s="157" t="s">
        <v>692</v>
      </c>
      <c r="C134" s="157" t="s">
        <v>13</v>
      </c>
      <c r="D134" s="157">
        <v>38.380000000000003</v>
      </c>
      <c r="E134" s="157" t="s">
        <v>590</v>
      </c>
      <c r="F134" s="157">
        <v>10</v>
      </c>
      <c r="G134" s="157">
        <v>0</v>
      </c>
      <c r="H134" s="157">
        <v>0</v>
      </c>
      <c r="I134" s="157">
        <v>0</v>
      </c>
      <c r="J134" s="158"/>
      <c r="K134" s="157">
        <v>0</v>
      </c>
    </row>
    <row r="135" spans="1:11">
      <c r="A135" s="157">
        <v>90442</v>
      </c>
      <c r="B135" s="157" t="s">
        <v>693</v>
      </c>
      <c r="C135" s="157" t="s">
        <v>13</v>
      </c>
      <c r="D135" s="157">
        <v>57.95</v>
      </c>
      <c r="E135" s="157" t="s">
        <v>590</v>
      </c>
      <c r="F135" s="157">
        <v>1</v>
      </c>
      <c r="G135" s="157">
        <v>1</v>
      </c>
      <c r="H135" s="157">
        <v>0</v>
      </c>
      <c r="I135" s="157">
        <v>0</v>
      </c>
      <c r="J135" s="158"/>
      <c r="K135" s="157">
        <v>0</v>
      </c>
    </row>
    <row r="136" spans="1:11">
      <c r="A136" s="157">
        <v>90445</v>
      </c>
      <c r="B136" s="157" t="s">
        <v>696</v>
      </c>
      <c r="C136" s="157" t="s">
        <v>13</v>
      </c>
      <c r="D136" s="157">
        <v>23.540299999999998</v>
      </c>
      <c r="E136" s="157" t="s">
        <v>590</v>
      </c>
      <c r="F136" s="157">
        <v>18</v>
      </c>
      <c r="G136" s="157">
        <v>0</v>
      </c>
      <c r="H136" s="157">
        <v>0</v>
      </c>
      <c r="I136" s="157">
        <v>0</v>
      </c>
      <c r="J136" s="157">
        <v>0</v>
      </c>
      <c r="K136" s="157">
        <v>0</v>
      </c>
    </row>
    <row r="137" spans="1:11">
      <c r="A137" s="157">
        <v>90443</v>
      </c>
      <c r="B137" s="157" t="s">
        <v>694</v>
      </c>
      <c r="C137" s="157" t="s">
        <v>13</v>
      </c>
      <c r="D137" s="157">
        <v>7.2</v>
      </c>
      <c r="E137" s="157" t="s">
        <v>590</v>
      </c>
      <c r="F137" s="157">
        <v>22</v>
      </c>
      <c r="G137" s="157">
        <v>20</v>
      </c>
      <c r="H137" s="157">
        <v>0</v>
      </c>
      <c r="I137" s="157">
        <v>0</v>
      </c>
      <c r="J137" s="158"/>
      <c r="K137" s="157">
        <v>16</v>
      </c>
    </row>
    <row r="138" spans="1:11">
      <c r="A138" s="157">
        <v>90444</v>
      </c>
      <c r="B138" s="157" t="s">
        <v>695</v>
      </c>
      <c r="C138" s="157" t="s">
        <v>10</v>
      </c>
      <c r="D138" s="157">
        <v>14.05</v>
      </c>
      <c r="E138" s="157" t="s">
        <v>590</v>
      </c>
      <c r="F138" s="157">
        <v>77</v>
      </c>
      <c r="G138" s="157">
        <v>1</v>
      </c>
      <c r="H138" s="157">
        <v>0</v>
      </c>
      <c r="I138" s="157">
        <v>4</v>
      </c>
      <c r="J138" s="157">
        <v>0</v>
      </c>
      <c r="K138" s="157">
        <v>0</v>
      </c>
    </row>
    <row r="139" spans="1:11">
      <c r="A139" s="157">
        <v>3403</v>
      </c>
      <c r="B139" s="157" t="s">
        <v>76</v>
      </c>
      <c r="C139" s="157" t="s">
        <v>10</v>
      </c>
      <c r="D139" s="157">
        <v>6.46</v>
      </c>
      <c r="E139" s="157" t="s">
        <v>591</v>
      </c>
      <c r="F139" s="157">
        <v>21</v>
      </c>
      <c r="G139" s="157">
        <v>0</v>
      </c>
      <c r="H139" s="157">
        <v>0</v>
      </c>
      <c r="I139" s="157">
        <v>0</v>
      </c>
      <c r="J139" s="157">
        <v>0</v>
      </c>
      <c r="K139" s="157">
        <v>0</v>
      </c>
    </row>
    <row r="140" spans="1:11">
      <c r="A140" s="157">
        <v>90446</v>
      </c>
      <c r="B140" s="157" t="s">
        <v>6</v>
      </c>
      <c r="C140" s="157" t="s">
        <v>13</v>
      </c>
      <c r="D140" s="157">
        <v>17.899999999999999</v>
      </c>
      <c r="E140" s="157" t="s">
        <v>590</v>
      </c>
      <c r="F140" s="157">
        <v>53</v>
      </c>
      <c r="G140" s="157">
        <v>18</v>
      </c>
      <c r="H140" s="157">
        <v>0</v>
      </c>
      <c r="I140" s="157">
        <v>0</v>
      </c>
      <c r="J140" s="158"/>
      <c r="K140" s="157">
        <v>0</v>
      </c>
    </row>
    <row r="141" spans="1:11">
      <c r="A141" s="157">
        <v>2955</v>
      </c>
      <c r="B141" s="157" t="s">
        <v>49</v>
      </c>
      <c r="C141" s="157" t="s">
        <v>10</v>
      </c>
      <c r="D141" s="157">
        <v>7.33</v>
      </c>
      <c r="E141" s="157" t="s">
        <v>591</v>
      </c>
      <c r="F141" s="157">
        <v>103</v>
      </c>
      <c r="G141" s="157">
        <v>23</v>
      </c>
      <c r="H141" s="157">
        <v>0</v>
      </c>
      <c r="I141" s="157">
        <v>0</v>
      </c>
      <c r="J141" s="157">
        <v>0</v>
      </c>
      <c r="K141" s="157">
        <v>12</v>
      </c>
    </row>
    <row r="142" spans="1:11">
      <c r="A142" s="157">
        <v>3082</v>
      </c>
      <c r="B142" s="157" t="s">
        <v>50</v>
      </c>
      <c r="C142" s="157" t="s">
        <v>10</v>
      </c>
      <c r="D142" s="157">
        <v>5.6</v>
      </c>
      <c r="E142" s="157" t="s">
        <v>590</v>
      </c>
      <c r="F142" s="157">
        <v>2</v>
      </c>
      <c r="G142" s="157">
        <v>2</v>
      </c>
      <c r="H142" s="157">
        <v>0</v>
      </c>
      <c r="I142" s="157">
        <v>0</v>
      </c>
      <c r="J142" s="158"/>
      <c r="K142" s="157">
        <v>2</v>
      </c>
    </row>
    <row r="143" spans="1:11">
      <c r="A143" s="157">
        <v>3081</v>
      </c>
      <c r="B143" s="157" t="s">
        <v>51</v>
      </c>
      <c r="C143" s="157" t="s">
        <v>10</v>
      </c>
      <c r="D143" s="157">
        <v>1.66</v>
      </c>
      <c r="E143" s="157" t="s">
        <v>590</v>
      </c>
      <c r="F143" s="157">
        <v>69</v>
      </c>
      <c r="G143" s="157">
        <v>35</v>
      </c>
      <c r="H143" s="157">
        <v>0</v>
      </c>
      <c r="I143" s="157">
        <v>0</v>
      </c>
      <c r="J143" s="157">
        <v>0</v>
      </c>
      <c r="K143" s="157">
        <v>19</v>
      </c>
    </row>
    <row r="144" spans="1:11">
      <c r="A144" s="157">
        <v>90374</v>
      </c>
      <c r="B144" s="157" t="s">
        <v>682</v>
      </c>
      <c r="C144" s="157" t="s">
        <v>13</v>
      </c>
      <c r="D144" s="157">
        <v>3.81</v>
      </c>
      <c r="E144" s="157" t="s">
        <v>590</v>
      </c>
      <c r="F144" s="157">
        <v>37</v>
      </c>
      <c r="G144" s="157">
        <v>14</v>
      </c>
      <c r="H144" s="157">
        <v>0</v>
      </c>
      <c r="I144" s="157">
        <v>0</v>
      </c>
      <c r="J144" s="158"/>
      <c r="K144" s="157">
        <v>7</v>
      </c>
    </row>
    <row r="145" spans="1:11">
      <c r="A145" s="157">
        <v>90373</v>
      </c>
      <c r="B145" s="157" t="s">
        <v>681</v>
      </c>
      <c r="C145" s="157" t="s">
        <v>13</v>
      </c>
      <c r="D145" s="157">
        <v>1.73</v>
      </c>
      <c r="E145" s="157" t="s">
        <v>590</v>
      </c>
      <c r="F145" s="157">
        <v>36</v>
      </c>
      <c r="G145" s="157">
        <v>30</v>
      </c>
      <c r="H145" s="157">
        <v>0</v>
      </c>
      <c r="I145" s="157">
        <v>0</v>
      </c>
      <c r="J145" s="158"/>
      <c r="K145" s="157">
        <v>12</v>
      </c>
    </row>
    <row r="146" spans="1:11">
      <c r="A146" s="157">
        <v>90359</v>
      </c>
      <c r="B146" s="157" t="s">
        <v>673</v>
      </c>
      <c r="C146" s="157" t="s">
        <v>13</v>
      </c>
      <c r="D146" s="157">
        <v>3.24</v>
      </c>
      <c r="E146" s="157" t="s">
        <v>590</v>
      </c>
      <c r="F146" s="157">
        <v>2</v>
      </c>
      <c r="G146" s="157">
        <v>2</v>
      </c>
      <c r="H146" s="157">
        <v>0</v>
      </c>
      <c r="I146" s="157">
        <v>0</v>
      </c>
      <c r="J146" s="158"/>
      <c r="K146" s="157">
        <v>2</v>
      </c>
    </row>
    <row r="147" spans="1:11">
      <c r="A147" s="157">
        <v>90360</v>
      </c>
      <c r="B147" s="157" t="s">
        <v>674</v>
      </c>
      <c r="C147" s="157" t="s">
        <v>13</v>
      </c>
      <c r="D147" s="157">
        <v>2.83</v>
      </c>
      <c r="E147" s="157" t="s">
        <v>590</v>
      </c>
      <c r="F147" s="157">
        <v>106</v>
      </c>
      <c r="G147" s="157">
        <v>36</v>
      </c>
      <c r="H147" s="157">
        <v>0</v>
      </c>
      <c r="I147" s="157">
        <v>4</v>
      </c>
      <c r="J147" s="157">
        <v>0</v>
      </c>
      <c r="K147" s="157">
        <v>14</v>
      </c>
    </row>
    <row r="148" spans="1:11">
      <c r="A148" s="157">
        <v>90361</v>
      </c>
      <c r="B148" s="157" t="s">
        <v>675</v>
      </c>
      <c r="C148" s="157" t="s">
        <v>13</v>
      </c>
      <c r="D148" s="157">
        <v>2.98</v>
      </c>
      <c r="E148" s="157" t="s">
        <v>590</v>
      </c>
      <c r="F148" s="157">
        <v>10</v>
      </c>
      <c r="G148" s="157">
        <v>10</v>
      </c>
      <c r="H148" s="157">
        <v>0</v>
      </c>
      <c r="I148" s="157">
        <v>0</v>
      </c>
      <c r="J148" s="158"/>
      <c r="K148" s="157">
        <v>0</v>
      </c>
    </row>
    <row r="149" spans="1:11">
      <c r="A149" s="157">
        <v>90362</v>
      </c>
      <c r="B149" s="157" t="s">
        <v>676</v>
      </c>
      <c r="C149" s="157" t="s">
        <v>13</v>
      </c>
      <c r="D149" s="157">
        <v>3.23</v>
      </c>
      <c r="E149" s="157" t="s">
        <v>590</v>
      </c>
      <c r="F149" s="157">
        <v>60</v>
      </c>
      <c r="G149" s="157">
        <v>55</v>
      </c>
      <c r="H149" s="157">
        <v>0</v>
      </c>
      <c r="I149" s="157">
        <v>0</v>
      </c>
      <c r="J149" s="157">
        <v>0</v>
      </c>
      <c r="K149" s="157">
        <v>0</v>
      </c>
    </row>
    <row r="150" spans="1:11">
      <c r="A150" s="157">
        <v>90363</v>
      </c>
      <c r="B150" s="157" t="s">
        <v>677</v>
      </c>
      <c r="C150" s="157" t="s">
        <v>13</v>
      </c>
      <c r="D150" s="157">
        <v>4.0199999999999996</v>
      </c>
      <c r="E150" s="157" t="s">
        <v>590</v>
      </c>
      <c r="F150" s="157">
        <v>10</v>
      </c>
      <c r="G150" s="157">
        <v>4</v>
      </c>
      <c r="H150" s="157">
        <v>0</v>
      </c>
      <c r="I150" s="157">
        <v>0</v>
      </c>
      <c r="J150" s="157">
        <v>0</v>
      </c>
      <c r="K150" s="157">
        <v>0</v>
      </c>
    </row>
    <row r="151" spans="1:11">
      <c r="A151" s="157">
        <v>90364</v>
      </c>
      <c r="B151" s="157" t="s">
        <v>678</v>
      </c>
      <c r="C151" s="157" t="s">
        <v>13</v>
      </c>
      <c r="D151" s="157">
        <v>4.5599999999999996</v>
      </c>
      <c r="E151" s="157" t="s">
        <v>590</v>
      </c>
      <c r="F151" s="157">
        <v>2</v>
      </c>
      <c r="G151" s="157">
        <v>1</v>
      </c>
      <c r="H151" s="157">
        <v>0</v>
      </c>
      <c r="I151" s="157">
        <v>0</v>
      </c>
      <c r="J151" s="158"/>
      <c r="K151" s="157">
        <v>0</v>
      </c>
    </row>
    <row r="152" spans="1:11">
      <c r="A152" s="157">
        <v>90366</v>
      </c>
      <c r="B152" s="157" t="s">
        <v>679</v>
      </c>
      <c r="C152" s="157" t="s">
        <v>13</v>
      </c>
      <c r="D152" s="157">
        <v>6.52</v>
      </c>
      <c r="E152" s="157" t="s">
        <v>590</v>
      </c>
      <c r="F152" s="157">
        <v>9</v>
      </c>
      <c r="G152" s="157">
        <v>0</v>
      </c>
      <c r="H152" s="157">
        <v>0</v>
      </c>
      <c r="I152" s="157">
        <v>0</v>
      </c>
      <c r="J152" s="158"/>
      <c r="K152" s="157">
        <v>0</v>
      </c>
    </row>
    <row r="153" spans="1:11">
      <c r="A153" s="157">
        <v>90367</v>
      </c>
      <c r="B153" s="157" t="s">
        <v>680</v>
      </c>
      <c r="C153" s="157" t="s">
        <v>13</v>
      </c>
      <c r="D153" s="157">
        <v>14.643000000000001</v>
      </c>
      <c r="E153" s="157" t="s">
        <v>590</v>
      </c>
      <c r="F153" s="157">
        <v>3</v>
      </c>
      <c r="G153" s="157">
        <v>3</v>
      </c>
      <c r="H153" s="157">
        <v>0</v>
      </c>
      <c r="I153" s="157">
        <v>0</v>
      </c>
      <c r="J153" s="158"/>
      <c r="K153" s="157">
        <v>3</v>
      </c>
    </row>
    <row r="154" spans="1:11">
      <c r="A154" s="157">
        <v>3013</v>
      </c>
      <c r="B154" s="157" t="s">
        <v>52</v>
      </c>
      <c r="C154" s="157" t="s">
        <v>10</v>
      </c>
      <c r="D154" s="157">
        <v>7.69</v>
      </c>
      <c r="E154" s="157" t="s">
        <v>590</v>
      </c>
      <c r="F154" s="157">
        <v>21</v>
      </c>
      <c r="G154" s="157">
        <v>9</v>
      </c>
      <c r="H154" s="157">
        <v>0</v>
      </c>
      <c r="I154" s="157">
        <v>0</v>
      </c>
      <c r="J154" s="158"/>
      <c r="K154" s="157">
        <v>0</v>
      </c>
    </row>
    <row r="155" spans="1:11">
      <c r="A155" s="157">
        <v>3014</v>
      </c>
      <c r="B155" s="157" t="s">
        <v>53</v>
      </c>
      <c r="C155" s="157" t="s">
        <v>10</v>
      </c>
      <c r="D155" s="157">
        <v>7.04</v>
      </c>
      <c r="E155" s="157" t="s">
        <v>590</v>
      </c>
      <c r="F155" s="157">
        <v>19</v>
      </c>
      <c r="G155" s="157">
        <v>15</v>
      </c>
      <c r="H155" s="157">
        <v>0</v>
      </c>
      <c r="I155" s="157">
        <v>0</v>
      </c>
      <c r="J155" s="158"/>
      <c r="K155" s="157">
        <v>2</v>
      </c>
    </row>
    <row r="156" spans="1:11">
      <c r="A156" s="157">
        <v>3015</v>
      </c>
      <c r="B156" s="157" t="s">
        <v>54</v>
      </c>
      <c r="C156" s="157" t="s">
        <v>10</v>
      </c>
      <c r="D156" s="157">
        <v>8.3699999999999992</v>
      </c>
      <c r="E156" s="157" t="s">
        <v>590</v>
      </c>
      <c r="F156" s="157">
        <v>3</v>
      </c>
      <c r="G156" s="157">
        <v>3</v>
      </c>
      <c r="H156" s="157">
        <v>0</v>
      </c>
      <c r="I156" s="157">
        <v>0</v>
      </c>
      <c r="J156" s="158"/>
      <c r="K156" s="157">
        <v>3</v>
      </c>
    </row>
    <row r="157" spans="1:11">
      <c r="A157" s="157">
        <v>3017</v>
      </c>
      <c r="B157" s="157" t="s">
        <v>55</v>
      </c>
      <c r="C157" s="157" t="s">
        <v>10</v>
      </c>
      <c r="D157" s="157">
        <v>107.36</v>
      </c>
      <c r="E157" s="157" t="s">
        <v>590</v>
      </c>
      <c r="F157" s="157">
        <v>2</v>
      </c>
      <c r="G157" s="157">
        <v>2</v>
      </c>
      <c r="H157" s="157">
        <v>0</v>
      </c>
      <c r="I157" s="157">
        <v>0</v>
      </c>
      <c r="J157" s="158"/>
      <c r="K157" s="157">
        <v>0</v>
      </c>
    </row>
    <row r="158" spans="1:11">
      <c r="A158" s="157">
        <v>90380</v>
      </c>
      <c r="B158" s="157" t="s">
        <v>683</v>
      </c>
      <c r="C158" s="157" t="s">
        <v>13</v>
      </c>
      <c r="D158" s="157">
        <v>13.791399999999999</v>
      </c>
      <c r="E158" s="157" t="s">
        <v>590</v>
      </c>
      <c r="F158" s="157">
        <v>2</v>
      </c>
      <c r="G158" s="157">
        <v>0</v>
      </c>
      <c r="H158" s="157">
        <v>0</v>
      </c>
      <c r="I158" s="157">
        <v>0</v>
      </c>
      <c r="J158" s="157">
        <v>0</v>
      </c>
      <c r="K158" s="157">
        <v>0</v>
      </c>
    </row>
    <row r="159" spans="1:11">
      <c r="A159" s="157">
        <v>90382</v>
      </c>
      <c r="B159" s="157" t="s">
        <v>684</v>
      </c>
      <c r="C159" s="157" t="s">
        <v>13</v>
      </c>
      <c r="D159" s="157">
        <v>6.49</v>
      </c>
      <c r="E159" s="157" t="s">
        <v>590</v>
      </c>
      <c r="F159" s="157">
        <v>6</v>
      </c>
      <c r="G159" s="157">
        <v>0</v>
      </c>
      <c r="H159" s="157">
        <v>0</v>
      </c>
      <c r="I159" s="157">
        <v>0</v>
      </c>
      <c r="J159" s="157">
        <v>0</v>
      </c>
      <c r="K159" s="157">
        <v>0</v>
      </c>
    </row>
    <row r="160" spans="1:11">
      <c r="A160" s="157">
        <v>250</v>
      </c>
      <c r="B160" s="157" t="s">
        <v>56</v>
      </c>
      <c r="C160" s="157" t="s">
        <v>10</v>
      </c>
      <c r="D160" s="157">
        <v>116.6</v>
      </c>
      <c r="E160" s="157" t="s">
        <v>590</v>
      </c>
      <c r="F160" s="157">
        <v>2</v>
      </c>
      <c r="G160" s="157">
        <v>2</v>
      </c>
      <c r="H160" s="157">
        <v>0</v>
      </c>
      <c r="I160" s="157">
        <v>0</v>
      </c>
      <c r="J160" s="158"/>
      <c r="K160" s="157">
        <v>0</v>
      </c>
    </row>
    <row r="161" spans="1:11">
      <c r="A161" s="157">
        <v>4318</v>
      </c>
      <c r="B161" s="157" t="s">
        <v>604</v>
      </c>
      <c r="C161" s="157" t="s">
        <v>10</v>
      </c>
      <c r="D161" s="157">
        <v>8.86</v>
      </c>
      <c r="E161" s="157" t="s">
        <v>590</v>
      </c>
      <c r="F161" s="157">
        <v>24</v>
      </c>
      <c r="G161" s="157">
        <v>0</v>
      </c>
      <c r="H161" s="157">
        <v>0</v>
      </c>
      <c r="I161" s="157">
        <v>0</v>
      </c>
      <c r="J161" s="157">
        <v>0</v>
      </c>
      <c r="K161" s="157">
        <v>0</v>
      </c>
    </row>
    <row r="162" spans="1:11">
      <c r="A162" s="157">
        <v>90207</v>
      </c>
      <c r="B162" s="157" t="s">
        <v>622</v>
      </c>
      <c r="C162" s="157" t="s">
        <v>13</v>
      </c>
      <c r="D162" s="157">
        <v>70.95</v>
      </c>
      <c r="E162" s="157" t="s">
        <v>590</v>
      </c>
      <c r="F162" s="157">
        <v>37</v>
      </c>
      <c r="G162" s="157">
        <v>16</v>
      </c>
      <c r="H162" s="157">
        <v>0</v>
      </c>
      <c r="I162" s="157">
        <v>0</v>
      </c>
      <c r="J162" s="158"/>
      <c r="K162" s="157">
        <v>0</v>
      </c>
    </row>
    <row r="163" spans="1:11">
      <c r="A163" s="157">
        <v>90210</v>
      </c>
      <c r="B163" s="157" t="s">
        <v>623</v>
      </c>
      <c r="C163" s="157" t="s">
        <v>13</v>
      </c>
      <c r="D163" s="157">
        <v>117.18</v>
      </c>
      <c r="E163" s="157" t="s">
        <v>590</v>
      </c>
      <c r="F163" s="157">
        <v>29</v>
      </c>
      <c r="G163" s="157">
        <v>13</v>
      </c>
      <c r="H163" s="157">
        <v>0</v>
      </c>
      <c r="I163" s="157">
        <v>0</v>
      </c>
      <c r="J163" s="157">
        <v>0</v>
      </c>
      <c r="K163" s="157">
        <v>0</v>
      </c>
    </row>
    <row r="164" spans="1:11">
      <c r="A164" s="157">
        <v>90212</v>
      </c>
      <c r="B164" s="157" t="s">
        <v>624</v>
      </c>
      <c r="C164" s="157" t="s">
        <v>13</v>
      </c>
      <c r="D164" s="157">
        <v>211.81</v>
      </c>
      <c r="E164" s="157" t="s">
        <v>590</v>
      </c>
      <c r="F164" s="157">
        <v>12</v>
      </c>
      <c r="G164" s="157">
        <v>12</v>
      </c>
      <c r="H164" s="157">
        <v>0</v>
      </c>
      <c r="I164" s="157">
        <v>6</v>
      </c>
      <c r="J164" s="158"/>
      <c r="K164" s="157">
        <v>0</v>
      </c>
    </row>
    <row r="165" spans="1:11">
      <c r="A165" s="157">
        <v>90447</v>
      </c>
      <c r="B165" s="157" t="s">
        <v>697</v>
      </c>
      <c r="C165" s="157" t="s">
        <v>13</v>
      </c>
      <c r="D165" s="157">
        <v>55.64</v>
      </c>
      <c r="E165" s="157" t="s">
        <v>590</v>
      </c>
      <c r="F165" s="157">
        <v>2</v>
      </c>
      <c r="G165" s="157">
        <v>2</v>
      </c>
      <c r="H165" s="157">
        <v>0</v>
      </c>
      <c r="I165" s="157">
        <v>0</v>
      </c>
      <c r="J165" s="158"/>
      <c r="K165" s="157">
        <v>2</v>
      </c>
    </row>
    <row r="166" spans="1:11">
      <c r="A166" s="157">
        <v>90251</v>
      </c>
      <c r="B166" s="157" t="s">
        <v>643</v>
      </c>
      <c r="C166" s="157" t="s">
        <v>13</v>
      </c>
      <c r="D166" s="157">
        <v>5.77</v>
      </c>
      <c r="E166" s="157" t="s">
        <v>590</v>
      </c>
      <c r="F166" s="157">
        <v>80</v>
      </c>
      <c r="G166" s="157">
        <v>24</v>
      </c>
      <c r="H166" s="157">
        <v>0</v>
      </c>
      <c r="I166" s="157">
        <v>3</v>
      </c>
      <c r="J166" s="157">
        <v>0</v>
      </c>
      <c r="K166" s="157">
        <v>15</v>
      </c>
    </row>
    <row r="167" spans="1:11">
      <c r="A167" s="157">
        <v>90621</v>
      </c>
      <c r="B167" s="157" t="s">
        <v>723</v>
      </c>
      <c r="C167" s="157" t="s">
        <v>13</v>
      </c>
      <c r="D167" s="157">
        <v>8.93</v>
      </c>
      <c r="E167" s="157" t="s">
        <v>590</v>
      </c>
      <c r="F167" s="157">
        <v>12</v>
      </c>
      <c r="G167" s="157">
        <v>6</v>
      </c>
      <c r="H167" s="157">
        <v>0</v>
      </c>
      <c r="I167" s="157">
        <v>0</v>
      </c>
      <c r="J167" s="158"/>
      <c r="K167" s="157">
        <v>0</v>
      </c>
    </row>
    <row r="168" spans="1:11">
      <c r="A168" s="157">
        <v>90252</v>
      </c>
      <c r="B168" s="157" t="s">
        <v>644</v>
      </c>
      <c r="C168" s="157" t="s">
        <v>13</v>
      </c>
      <c r="D168" s="157">
        <v>3.93</v>
      </c>
      <c r="E168" s="157" t="s">
        <v>590</v>
      </c>
      <c r="F168" s="157">
        <v>27</v>
      </c>
      <c r="G168" s="157">
        <v>21</v>
      </c>
      <c r="H168" s="157">
        <v>0</v>
      </c>
      <c r="I168" s="157">
        <v>0</v>
      </c>
      <c r="J168" s="158"/>
      <c r="K168" s="157">
        <v>0</v>
      </c>
    </row>
    <row r="169" spans="1:11">
      <c r="A169" s="157">
        <v>90249</v>
      </c>
      <c r="B169" s="157" t="s">
        <v>642</v>
      </c>
      <c r="C169" s="157" t="s">
        <v>13</v>
      </c>
      <c r="D169" s="157">
        <v>9.4700000000000006</v>
      </c>
      <c r="E169" s="157" t="s">
        <v>590</v>
      </c>
      <c r="F169" s="157">
        <v>3</v>
      </c>
      <c r="G169" s="157">
        <v>0</v>
      </c>
      <c r="H169" s="157">
        <v>0</v>
      </c>
      <c r="I169" s="157">
        <v>0</v>
      </c>
      <c r="J169" s="157">
        <v>0</v>
      </c>
      <c r="K169" s="157">
        <v>0</v>
      </c>
    </row>
    <row r="170" spans="1:11">
      <c r="A170" s="157">
        <v>2958</v>
      </c>
      <c r="B170" s="157" t="s">
        <v>57</v>
      </c>
      <c r="C170" s="157" t="s">
        <v>10</v>
      </c>
      <c r="D170" s="157">
        <v>9.67</v>
      </c>
      <c r="E170" s="157" t="s">
        <v>590</v>
      </c>
      <c r="F170" s="157">
        <v>9</v>
      </c>
      <c r="G170" s="157">
        <v>3</v>
      </c>
      <c r="H170" s="157">
        <v>0</v>
      </c>
      <c r="I170" s="157">
        <v>0</v>
      </c>
      <c r="J170" s="158"/>
      <c r="K170" s="157">
        <v>0</v>
      </c>
    </row>
    <row r="171" spans="1:11">
      <c r="A171" s="157">
        <v>3018</v>
      </c>
      <c r="B171" s="157" t="s">
        <v>58</v>
      </c>
      <c r="C171" s="157" t="s">
        <v>10</v>
      </c>
      <c r="D171" s="157">
        <v>107.07</v>
      </c>
      <c r="E171" s="157" t="s">
        <v>591</v>
      </c>
      <c r="F171" s="157">
        <v>58</v>
      </c>
      <c r="G171" s="157">
        <v>20</v>
      </c>
      <c r="H171" s="157">
        <v>0</v>
      </c>
      <c r="I171" s="157">
        <v>0</v>
      </c>
      <c r="J171" s="158"/>
      <c r="K171" s="157">
        <v>0</v>
      </c>
    </row>
    <row r="172" spans="1:11">
      <c r="A172" s="157">
        <v>228</v>
      </c>
      <c r="B172" s="157" t="s">
        <v>59</v>
      </c>
      <c r="C172" s="157" t="s">
        <v>10</v>
      </c>
      <c r="D172" s="157">
        <v>904.97</v>
      </c>
      <c r="E172" s="157" t="s">
        <v>591</v>
      </c>
      <c r="F172" s="157">
        <v>1</v>
      </c>
      <c r="G172" s="157">
        <v>0</v>
      </c>
      <c r="H172" s="157">
        <v>0</v>
      </c>
      <c r="I172" s="157">
        <v>1</v>
      </c>
      <c r="J172" s="157">
        <v>0</v>
      </c>
      <c r="K172" s="157">
        <v>0</v>
      </c>
    </row>
    <row r="173" spans="1:11">
      <c r="A173" s="157">
        <v>2989</v>
      </c>
      <c r="B173" s="157" t="s">
        <v>60</v>
      </c>
      <c r="C173" s="157" t="s">
        <v>10</v>
      </c>
      <c r="D173" s="157">
        <v>1020.17</v>
      </c>
      <c r="E173" s="157" t="s">
        <v>591</v>
      </c>
      <c r="F173" s="157">
        <v>3</v>
      </c>
      <c r="G173" s="157">
        <v>0</v>
      </c>
      <c r="H173" s="157">
        <v>0</v>
      </c>
      <c r="I173" s="157">
        <v>3</v>
      </c>
      <c r="J173" s="157">
        <v>0</v>
      </c>
      <c r="K173" s="157">
        <v>0</v>
      </c>
    </row>
    <row r="174" spans="1:11">
      <c r="A174" s="157">
        <v>2990</v>
      </c>
      <c r="B174" s="157" t="s">
        <v>61</v>
      </c>
      <c r="C174" s="157" t="s">
        <v>10</v>
      </c>
      <c r="D174" s="157">
        <v>756.94</v>
      </c>
      <c r="E174" s="157" t="s">
        <v>591</v>
      </c>
      <c r="F174" s="157">
        <v>4</v>
      </c>
      <c r="G174" s="157">
        <v>0</v>
      </c>
      <c r="H174" s="157">
        <v>0</v>
      </c>
      <c r="I174" s="157">
        <v>4</v>
      </c>
      <c r="J174" s="157">
        <v>0</v>
      </c>
      <c r="K174" s="157">
        <v>0</v>
      </c>
    </row>
    <row r="175" spans="1:11">
      <c r="A175" s="157">
        <v>2991</v>
      </c>
      <c r="B175" s="157" t="s">
        <v>62</v>
      </c>
      <c r="C175" s="157" t="s">
        <v>10</v>
      </c>
      <c r="D175" s="157">
        <v>840.5</v>
      </c>
      <c r="E175" s="157" t="s">
        <v>591</v>
      </c>
      <c r="F175" s="157">
        <v>3</v>
      </c>
      <c r="G175" s="157">
        <v>1</v>
      </c>
      <c r="H175" s="157">
        <v>0</v>
      </c>
      <c r="I175" s="157">
        <v>2</v>
      </c>
      <c r="J175" s="157">
        <v>0</v>
      </c>
      <c r="K175" s="157">
        <v>0</v>
      </c>
    </row>
    <row r="176" spans="1:11">
      <c r="A176" s="157">
        <v>4028</v>
      </c>
      <c r="B176" s="157" t="s">
        <v>603</v>
      </c>
      <c r="C176" s="157" t="s">
        <v>10</v>
      </c>
      <c r="D176" s="157">
        <v>1518.9</v>
      </c>
      <c r="E176" s="157" t="s">
        <v>591</v>
      </c>
      <c r="F176" s="157">
        <v>1</v>
      </c>
      <c r="G176" s="157">
        <v>0</v>
      </c>
      <c r="H176" s="157">
        <v>0</v>
      </c>
      <c r="I176" s="157">
        <v>1</v>
      </c>
      <c r="J176" s="157">
        <v>0</v>
      </c>
      <c r="K176" s="157">
        <v>0</v>
      </c>
    </row>
    <row r="177" spans="1:11">
      <c r="A177" s="157">
        <v>3994</v>
      </c>
      <c r="B177" s="157" t="s">
        <v>63</v>
      </c>
      <c r="C177" s="157" t="s">
        <v>10</v>
      </c>
      <c r="D177" s="157">
        <v>654</v>
      </c>
      <c r="E177" s="157" t="s">
        <v>591</v>
      </c>
      <c r="F177" s="157">
        <v>1</v>
      </c>
      <c r="G177" s="157">
        <v>0</v>
      </c>
      <c r="H177" s="157">
        <v>0</v>
      </c>
      <c r="I177" s="157">
        <v>1</v>
      </c>
      <c r="J177" s="157">
        <v>0</v>
      </c>
      <c r="K177" s="157">
        <v>0</v>
      </c>
    </row>
    <row r="178" spans="1:11">
      <c r="A178" s="157">
        <v>90183</v>
      </c>
      <c r="B178" s="157" t="s">
        <v>612</v>
      </c>
      <c r="C178" s="157" t="s">
        <v>10</v>
      </c>
      <c r="D178" s="157">
        <v>3451.8</v>
      </c>
      <c r="E178" s="157" t="s">
        <v>590</v>
      </c>
      <c r="F178" s="157">
        <v>3</v>
      </c>
      <c r="G178" s="157">
        <v>1</v>
      </c>
      <c r="H178" s="157">
        <v>0</v>
      </c>
      <c r="I178" s="157">
        <v>0</v>
      </c>
      <c r="J178" s="157">
        <v>0</v>
      </c>
      <c r="K178" s="157">
        <v>0</v>
      </c>
    </row>
    <row r="179" spans="1:11">
      <c r="A179" s="157">
        <v>90184</v>
      </c>
      <c r="B179" s="157" t="s">
        <v>613</v>
      </c>
      <c r="C179" s="157" t="s">
        <v>10</v>
      </c>
      <c r="D179" s="157">
        <v>6363.52</v>
      </c>
      <c r="E179" s="157" t="s">
        <v>590</v>
      </c>
      <c r="F179" s="157">
        <v>4</v>
      </c>
      <c r="G179" s="157">
        <v>0</v>
      </c>
      <c r="H179" s="157">
        <v>0</v>
      </c>
      <c r="I179" s="157">
        <v>4</v>
      </c>
      <c r="J179" s="157">
        <v>0</v>
      </c>
      <c r="K179" s="157">
        <v>0</v>
      </c>
    </row>
    <row r="180" spans="1:11">
      <c r="A180" s="157">
        <v>90186</v>
      </c>
      <c r="B180" s="157" t="s">
        <v>614</v>
      </c>
      <c r="C180" s="157" t="s">
        <v>10</v>
      </c>
      <c r="D180" s="157">
        <v>3903.25</v>
      </c>
      <c r="E180" s="157" t="s">
        <v>590</v>
      </c>
      <c r="F180" s="157">
        <v>4</v>
      </c>
      <c r="G180" s="157">
        <v>1</v>
      </c>
      <c r="H180" s="157">
        <v>0</v>
      </c>
      <c r="I180" s="157">
        <v>3</v>
      </c>
      <c r="J180" s="157">
        <v>0</v>
      </c>
      <c r="K180" s="157">
        <v>0</v>
      </c>
    </row>
    <row r="181" spans="1:11">
      <c r="A181" s="157">
        <v>90189</v>
      </c>
      <c r="B181" s="157" t="s">
        <v>615</v>
      </c>
      <c r="C181" s="157" t="s">
        <v>10</v>
      </c>
      <c r="D181" s="157">
        <v>4210.1400000000003</v>
      </c>
      <c r="E181" s="157" t="s">
        <v>590</v>
      </c>
      <c r="F181" s="157">
        <v>3</v>
      </c>
      <c r="G181" s="157">
        <v>0</v>
      </c>
      <c r="H181" s="157">
        <v>0</v>
      </c>
      <c r="I181" s="157">
        <v>0</v>
      </c>
      <c r="J181" s="157">
        <v>0</v>
      </c>
      <c r="K181" s="157">
        <v>0</v>
      </c>
    </row>
    <row r="182" spans="1:11">
      <c r="A182" s="157">
        <v>90193</v>
      </c>
      <c r="B182" s="157" t="s">
        <v>616</v>
      </c>
      <c r="C182" s="157" t="s">
        <v>10</v>
      </c>
      <c r="D182" s="157">
        <v>1311.51</v>
      </c>
      <c r="E182" s="157" t="s">
        <v>590</v>
      </c>
      <c r="F182" s="157">
        <v>10</v>
      </c>
      <c r="G182" s="157">
        <v>2</v>
      </c>
      <c r="H182" s="157">
        <v>0</v>
      </c>
      <c r="I182" s="157">
        <v>3</v>
      </c>
      <c r="J182" s="157">
        <v>0</v>
      </c>
      <c r="K182" s="157">
        <v>0</v>
      </c>
    </row>
    <row r="183" spans="1:11">
      <c r="A183" s="157">
        <v>90194</v>
      </c>
      <c r="B183" s="157" t="s">
        <v>617</v>
      </c>
      <c r="C183" s="157" t="s">
        <v>10</v>
      </c>
      <c r="D183" s="157">
        <v>1765.07</v>
      </c>
      <c r="E183" s="157" t="s">
        <v>590</v>
      </c>
      <c r="F183" s="157">
        <v>4</v>
      </c>
      <c r="G183" s="157">
        <v>1</v>
      </c>
      <c r="H183" s="157">
        <v>0</v>
      </c>
      <c r="I183" s="157">
        <v>2</v>
      </c>
      <c r="J183" s="157">
        <v>0</v>
      </c>
      <c r="K183" s="157">
        <v>0</v>
      </c>
    </row>
    <row r="184" spans="1:11">
      <c r="A184" s="157">
        <v>90196</v>
      </c>
      <c r="B184" s="157" t="s">
        <v>618</v>
      </c>
      <c r="C184" s="157" t="s">
        <v>10</v>
      </c>
      <c r="D184" s="157">
        <v>3934.61</v>
      </c>
      <c r="E184" s="157" t="s">
        <v>590</v>
      </c>
      <c r="F184" s="157">
        <v>3</v>
      </c>
      <c r="G184" s="157">
        <v>1</v>
      </c>
      <c r="H184" s="157">
        <v>0</v>
      </c>
      <c r="I184" s="157">
        <v>1</v>
      </c>
      <c r="J184" s="157">
        <v>0</v>
      </c>
      <c r="K184" s="157">
        <v>0</v>
      </c>
    </row>
    <row r="185" spans="1:11">
      <c r="A185" s="157">
        <v>90198</v>
      </c>
      <c r="B185" s="157" t="s">
        <v>619</v>
      </c>
      <c r="C185" s="157" t="s">
        <v>10</v>
      </c>
      <c r="D185" s="157">
        <v>2015.26</v>
      </c>
      <c r="E185" s="157" t="s">
        <v>590</v>
      </c>
      <c r="F185" s="157">
        <v>5</v>
      </c>
      <c r="G185" s="157">
        <v>0</v>
      </c>
      <c r="H185" s="157">
        <v>0</v>
      </c>
      <c r="I185" s="157">
        <v>4</v>
      </c>
      <c r="J185" s="157">
        <v>0</v>
      </c>
      <c r="K185" s="157">
        <v>0</v>
      </c>
    </row>
    <row r="186" spans="1:11">
      <c r="A186" s="157">
        <v>90199</v>
      </c>
      <c r="B186" s="157" t="s">
        <v>620</v>
      </c>
      <c r="C186" s="157" t="s">
        <v>10</v>
      </c>
      <c r="D186" s="157">
        <v>2910.66</v>
      </c>
      <c r="E186" s="157" t="s">
        <v>590</v>
      </c>
      <c r="F186" s="157">
        <v>3</v>
      </c>
      <c r="G186" s="157">
        <v>1</v>
      </c>
      <c r="H186" s="157">
        <v>0</v>
      </c>
      <c r="I186" s="157">
        <v>0</v>
      </c>
      <c r="J186" s="158"/>
      <c r="K186" s="157">
        <v>0</v>
      </c>
    </row>
    <row r="187" spans="1:11">
      <c r="A187" s="157">
        <v>90203</v>
      </c>
      <c r="B187" s="157" t="s">
        <v>621</v>
      </c>
      <c r="C187" s="157" t="s">
        <v>10</v>
      </c>
      <c r="D187" s="157">
        <v>3143.88</v>
      </c>
      <c r="E187" s="157" t="s">
        <v>590</v>
      </c>
      <c r="F187" s="157">
        <v>1</v>
      </c>
      <c r="G187" s="157">
        <v>1</v>
      </c>
      <c r="H187" s="157">
        <v>0</v>
      </c>
      <c r="I187" s="157">
        <v>0</v>
      </c>
      <c r="J187" s="158"/>
      <c r="K187" s="157">
        <v>0</v>
      </c>
    </row>
    <row r="188" spans="1:11">
      <c r="A188" s="157">
        <v>3733</v>
      </c>
      <c r="B188" s="157" t="s">
        <v>601</v>
      </c>
      <c r="C188" s="157" t="s">
        <v>10</v>
      </c>
      <c r="D188" s="157">
        <v>1382.9</v>
      </c>
      <c r="E188" s="157" t="s">
        <v>591</v>
      </c>
      <c r="F188" s="157">
        <v>1</v>
      </c>
      <c r="G188" s="157">
        <v>0</v>
      </c>
      <c r="H188" s="157">
        <v>0</v>
      </c>
      <c r="I188" s="157">
        <v>1</v>
      </c>
      <c r="J188" s="157">
        <v>0</v>
      </c>
      <c r="K188" s="157">
        <v>0</v>
      </c>
    </row>
    <row r="189" spans="1:11">
      <c r="A189" s="157">
        <v>3009</v>
      </c>
      <c r="B189" s="157" t="s">
        <v>64</v>
      </c>
      <c r="C189" s="157" t="s">
        <v>10</v>
      </c>
      <c r="D189" s="157">
        <v>549.86</v>
      </c>
      <c r="E189" s="157" t="s">
        <v>591</v>
      </c>
      <c r="F189" s="157">
        <v>3</v>
      </c>
      <c r="G189" s="157">
        <v>0</v>
      </c>
      <c r="H189" s="157">
        <v>0</v>
      </c>
      <c r="I189" s="157">
        <v>3</v>
      </c>
      <c r="J189" s="157">
        <v>0</v>
      </c>
      <c r="K189" s="157">
        <v>0</v>
      </c>
    </row>
    <row r="190" spans="1:11">
      <c r="A190" s="157">
        <v>638406</v>
      </c>
      <c r="B190" s="157" t="s">
        <v>65</v>
      </c>
      <c r="C190" s="157" t="s">
        <v>10</v>
      </c>
      <c r="D190" s="157">
        <v>24420.75</v>
      </c>
      <c r="E190" s="157" t="s">
        <v>590</v>
      </c>
      <c r="F190" s="157">
        <v>1</v>
      </c>
      <c r="G190" s="157">
        <v>0</v>
      </c>
      <c r="H190" s="157">
        <v>0</v>
      </c>
      <c r="I190" s="157">
        <v>0</v>
      </c>
      <c r="J190" s="157">
        <v>0</v>
      </c>
      <c r="K190" s="157">
        <v>0</v>
      </c>
    </row>
    <row r="191" spans="1:11">
      <c r="A191" s="157">
        <v>2964</v>
      </c>
      <c r="B191" s="157" t="s">
        <v>66</v>
      </c>
      <c r="C191" s="157" t="s">
        <v>10</v>
      </c>
      <c r="D191" s="157">
        <v>1.21</v>
      </c>
      <c r="E191" s="157" t="s">
        <v>590</v>
      </c>
      <c r="F191" s="157">
        <v>38</v>
      </c>
      <c r="G191" s="157">
        <v>34</v>
      </c>
      <c r="H191" s="157">
        <v>0</v>
      </c>
      <c r="I191" s="157">
        <v>0</v>
      </c>
      <c r="J191" s="158"/>
      <c r="K191" s="157">
        <v>6</v>
      </c>
    </row>
    <row r="192" spans="1:11">
      <c r="A192" s="157">
        <v>90410</v>
      </c>
      <c r="B192" s="157" t="s">
        <v>67</v>
      </c>
      <c r="C192" s="157" t="s">
        <v>13</v>
      </c>
      <c r="D192" s="157">
        <v>6.9</v>
      </c>
      <c r="E192" s="157" t="s">
        <v>590</v>
      </c>
      <c r="F192" s="157">
        <v>40</v>
      </c>
      <c r="G192" s="157">
        <v>16</v>
      </c>
      <c r="H192" s="157">
        <v>0</v>
      </c>
      <c r="I192" s="157">
        <v>2</v>
      </c>
      <c r="J192" s="157">
        <v>0</v>
      </c>
      <c r="K192" s="157">
        <v>7</v>
      </c>
    </row>
    <row r="193" spans="1:11">
      <c r="A193" s="157">
        <v>629220</v>
      </c>
      <c r="B193" s="157" t="s">
        <v>735</v>
      </c>
      <c r="C193" s="157" t="s">
        <v>10</v>
      </c>
      <c r="D193" s="157">
        <v>989.6</v>
      </c>
      <c r="E193" s="157" t="s">
        <v>591</v>
      </c>
      <c r="F193" s="157">
        <v>12</v>
      </c>
      <c r="G193" s="157">
        <v>0</v>
      </c>
      <c r="H193" s="157">
        <v>0</v>
      </c>
      <c r="I193" s="157">
        <v>0</v>
      </c>
      <c r="J193" s="157">
        <v>0</v>
      </c>
      <c r="K193" s="157">
        <v>0</v>
      </c>
    </row>
    <row r="194" spans="1:11">
      <c r="A194" s="157">
        <v>3021</v>
      </c>
      <c r="B194" s="157" t="s">
        <v>68</v>
      </c>
      <c r="C194" s="157" t="s">
        <v>10</v>
      </c>
      <c r="D194" s="157">
        <v>36.799999999999997</v>
      </c>
      <c r="E194" s="157" t="s">
        <v>590</v>
      </c>
      <c r="F194" s="157">
        <v>18</v>
      </c>
      <c r="G194" s="157">
        <v>18</v>
      </c>
      <c r="H194" s="157">
        <v>0</v>
      </c>
      <c r="I194" s="157">
        <v>0</v>
      </c>
      <c r="J194" s="158"/>
      <c r="K194" s="157">
        <v>0</v>
      </c>
    </row>
    <row r="195" spans="1:11">
      <c r="A195" s="157">
        <v>90519</v>
      </c>
      <c r="B195" s="157" t="s">
        <v>709</v>
      </c>
      <c r="C195" s="157" t="s">
        <v>13</v>
      </c>
      <c r="D195" s="157">
        <v>33</v>
      </c>
      <c r="E195" s="157" t="s">
        <v>590</v>
      </c>
      <c r="F195" s="157">
        <v>21</v>
      </c>
      <c r="G195" s="157">
        <v>9</v>
      </c>
      <c r="H195" s="157">
        <v>0</v>
      </c>
      <c r="I195" s="157">
        <v>0</v>
      </c>
      <c r="J195" s="157">
        <v>0</v>
      </c>
      <c r="K195" s="157">
        <v>0</v>
      </c>
    </row>
    <row r="196" spans="1:11">
      <c r="A196" s="157">
        <v>90520</v>
      </c>
      <c r="B196" s="157" t="s">
        <v>710</v>
      </c>
      <c r="C196" s="157" t="s">
        <v>13</v>
      </c>
      <c r="D196" s="157">
        <v>27.07</v>
      </c>
      <c r="E196" s="157" t="s">
        <v>590</v>
      </c>
      <c r="F196" s="157">
        <v>12</v>
      </c>
      <c r="G196" s="157">
        <v>0</v>
      </c>
      <c r="H196" s="157">
        <v>0</v>
      </c>
      <c r="I196" s="157">
        <v>0</v>
      </c>
      <c r="J196" s="157">
        <v>0</v>
      </c>
      <c r="K196" s="157">
        <v>0</v>
      </c>
    </row>
    <row r="197" spans="1:11">
      <c r="A197" s="157">
        <v>3095</v>
      </c>
      <c r="B197" s="157" t="s">
        <v>69</v>
      </c>
      <c r="C197" s="157" t="s">
        <v>10</v>
      </c>
      <c r="D197" s="157">
        <v>65.98</v>
      </c>
      <c r="E197" s="157" t="s">
        <v>590</v>
      </c>
      <c r="F197" s="157">
        <v>1</v>
      </c>
      <c r="G197" s="157">
        <v>1</v>
      </c>
      <c r="H197" s="157">
        <v>0</v>
      </c>
      <c r="I197" s="157">
        <v>0</v>
      </c>
      <c r="J197" s="158"/>
      <c r="K197" s="157">
        <v>0</v>
      </c>
    </row>
    <row r="198" spans="1:11">
      <c r="A198" s="157">
        <v>3096</v>
      </c>
      <c r="B198" s="157" t="s">
        <v>70</v>
      </c>
      <c r="C198" s="157" t="s">
        <v>10</v>
      </c>
      <c r="D198" s="157">
        <v>98.728700000000003</v>
      </c>
      <c r="E198" s="157" t="s">
        <v>590</v>
      </c>
      <c r="F198" s="157">
        <v>2</v>
      </c>
      <c r="G198" s="157">
        <v>2</v>
      </c>
      <c r="H198" s="157">
        <v>0</v>
      </c>
      <c r="I198" s="157">
        <v>1</v>
      </c>
      <c r="J198" s="158"/>
      <c r="K198" s="157">
        <v>0</v>
      </c>
    </row>
    <row r="199" spans="1:11">
      <c r="A199" s="157">
        <v>90423</v>
      </c>
      <c r="B199" s="157" t="s">
        <v>690</v>
      </c>
      <c r="C199" s="157" t="s">
        <v>13</v>
      </c>
      <c r="D199" s="157">
        <v>30.75</v>
      </c>
      <c r="E199" s="157" t="s">
        <v>590</v>
      </c>
      <c r="F199" s="157">
        <v>10</v>
      </c>
      <c r="G199" s="157">
        <v>8</v>
      </c>
      <c r="H199" s="157">
        <v>0</v>
      </c>
      <c r="I199" s="157">
        <v>4</v>
      </c>
      <c r="J199" s="158"/>
      <c r="K199" s="157">
        <v>0</v>
      </c>
    </row>
    <row r="200" spans="1:11">
      <c r="A200" s="157">
        <v>90530</v>
      </c>
      <c r="B200" s="157" t="s">
        <v>711</v>
      </c>
      <c r="C200" s="157" t="s">
        <v>13</v>
      </c>
      <c r="D200" s="157">
        <v>116.42</v>
      </c>
      <c r="E200" s="157" t="s">
        <v>590</v>
      </c>
      <c r="F200" s="157">
        <v>3</v>
      </c>
      <c r="G200" s="157">
        <v>0</v>
      </c>
      <c r="H200" s="157">
        <v>0</v>
      </c>
      <c r="I200" s="157">
        <v>0</v>
      </c>
      <c r="J200" s="158"/>
      <c r="K200" s="157">
        <v>0</v>
      </c>
    </row>
    <row r="201" spans="1:11">
      <c r="A201" s="157">
        <v>3037</v>
      </c>
      <c r="B201" s="157" t="s">
        <v>71</v>
      </c>
      <c r="C201" s="157" t="s">
        <v>10</v>
      </c>
      <c r="D201" s="157">
        <v>57.91</v>
      </c>
      <c r="E201" s="157" t="s">
        <v>590</v>
      </c>
      <c r="F201" s="157">
        <v>2</v>
      </c>
      <c r="G201" s="157">
        <v>2</v>
      </c>
      <c r="H201" s="157">
        <v>0</v>
      </c>
      <c r="I201" s="157">
        <v>0</v>
      </c>
      <c r="J201" s="158"/>
      <c r="K201" s="157">
        <v>2</v>
      </c>
    </row>
    <row r="202" spans="1:11">
      <c r="A202" s="157">
        <v>3039</v>
      </c>
      <c r="B202" s="157" t="s">
        <v>72</v>
      </c>
      <c r="C202" s="157" t="s">
        <v>10</v>
      </c>
      <c r="D202" s="157">
        <v>62.81</v>
      </c>
      <c r="E202" s="157" t="s">
        <v>590</v>
      </c>
      <c r="F202" s="157">
        <v>0</v>
      </c>
      <c r="G202" s="157">
        <v>2</v>
      </c>
      <c r="H202" s="157">
        <v>0</v>
      </c>
      <c r="I202" s="157">
        <v>0</v>
      </c>
      <c r="J202" s="158"/>
      <c r="K202" s="157">
        <v>0</v>
      </c>
    </row>
    <row r="203" spans="1:11">
      <c r="A203" s="157">
        <v>90804</v>
      </c>
      <c r="B203" s="157" t="s">
        <v>731</v>
      </c>
      <c r="C203" s="157" t="s">
        <v>13</v>
      </c>
      <c r="D203" s="157">
        <v>10.210000000000001</v>
      </c>
      <c r="E203" s="157" t="s">
        <v>590</v>
      </c>
      <c r="F203" s="157">
        <v>3</v>
      </c>
      <c r="G203" s="157">
        <v>0</v>
      </c>
      <c r="H203" s="157">
        <v>0</v>
      </c>
      <c r="I203" s="157">
        <v>0</v>
      </c>
      <c r="J203" s="158"/>
      <c r="K203" s="157">
        <v>0</v>
      </c>
    </row>
    <row r="204" spans="1:11">
      <c r="A204" s="157">
        <v>3146</v>
      </c>
      <c r="B204" s="157" t="s">
        <v>73</v>
      </c>
      <c r="C204" s="157" t="s">
        <v>10</v>
      </c>
      <c r="D204" s="157">
        <v>12.6875</v>
      </c>
      <c r="E204" s="157" t="s">
        <v>590</v>
      </c>
      <c r="F204" s="157">
        <v>139</v>
      </c>
      <c r="G204" s="157">
        <v>42</v>
      </c>
      <c r="H204" s="157">
        <v>0</v>
      </c>
      <c r="I204" s="157">
        <v>0</v>
      </c>
      <c r="J204" s="157">
        <v>0</v>
      </c>
      <c r="K204" s="157">
        <v>12</v>
      </c>
    </row>
    <row r="205" spans="1:11">
      <c r="A205" s="157">
        <v>90342</v>
      </c>
      <c r="B205" s="157" t="s">
        <v>74</v>
      </c>
      <c r="C205" s="157" t="s">
        <v>13</v>
      </c>
      <c r="D205" s="157">
        <v>49.64</v>
      </c>
      <c r="E205" s="157" t="s">
        <v>590</v>
      </c>
      <c r="F205" s="157">
        <v>47</v>
      </c>
      <c r="G205" s="157">
        <v>19</v>
      </c>
      <c r="H205" s="157">
        <v>0</v>
      </c>
      <c r="I205" s="157">
        <v>0</v>
      </c>
      <c r="J205" s="158"/>
      <c r="K205" s="157">
        <v>0</v>
      </c>
    </row>
    <row r="206" spans="1:11">
      <c r="A206" s="157">
        <v>90094</v>
      </c>
      <c r="B206" s="157" t="s">
        <v>609</v>
      </c>
      <c r="C206" s="157" t="s">
        <v>13</v>
      </c>
      <c r="D206" s="157">
        <v>4463.03</v>
      </c>
      <c r="E206" s="157" t="s">
        <v>590</v>
      </c>
      <c r="F206" s="157">
        <v>2</v>
      </c>
      <c r="G206" s="157">
        <v>1</v>
      </c>
      <c r="H206" s="157">
        <v>0</v>
      </c>
      <c r="I206" s="157">
        <v>0</v>
      </c>
      <c r="J206" s="158"/>
      <c r="K206" s="157">
        <v>0</v>
      </c>
    </row>
    <row r="207" spans="1:11">
      <c r="A207" s="157">
        <v>90048</v>
      </c>
      <c r="B207" s="157" t="s">
        <v>606</v>
      </c>
      <c r="C207" s="157" t="s">
        <v>13</v>
      </c>
      <c r="D207" s="157">
        <v>9083.19</v>
      </c>
      <c r="E207" s="157" t="s">
        <v>590</v>
      </c>
      <c r="F207" s="157">
        <v>4</v>
      </c>
      <c r="G207" s="157">
        <v>1</v>
      </c>
      <c r="H207" s="157">
        <v>0</v>
      </c>
      <c r="I207" s="157">
        <v>0</v>
      </c>
      <c r="J207" s="158"/>
      <c r="K207" s="157">
        <v>0</v>
      </c>
    </row>
    <row r="208" spans="1:11">
      <c r="A208" s="157">
        <v>90054</v>
      </c>
      <c r="B208" s="157" t="s">
        <v>607</v>
      </c>
      <c r="C208" s="157" t="s">
        <v>13</v>
      </c>
      <c r="D208" s="157">
        <v>4764.72</v>
      </c>
      <c r="E208" s="157" t="s">
        <v>590</v>
      </c>
      <c r="F208" s="157">
        <v>8</v>
      </c>
      <c r="G208" s="157">
        <v>0</v>
      </c>
      <c r="H208" s="157">
        <v>0</v>
      </c>
      <c r="I208" s="157">
        <v>0</v>
      </c>
      <c r="J208" s="157">
        <v>0</v>
      </c>
      <c r="K208" s="157">
        <v>0</v>
      </c>
    </row>
    <row r="209" spans="1:11">
      <c r="A209" s="157">
        <v>90055</v>
      </c>
      <c r="B209" s="157" t="s">
        <v>608</v>
      </c>
      <c r="C209" s="157" t="s">
        <v>13</v>
      </c>
      <c r="D209" s="157">
        <v>7227.92</v>
      </c>
      <c r="E209" s="157" t="s">
        <v>590</v>
      </c>
      <c r="F209" s="157">
        <v>10</v>
      </c>
      <c r="G209" s="157">
        <v>3</v>
      </c>
      <c r="H209" s="157">
        <v>0</v>
      </c>
      <c r="I209" s="157">
        <v>0</v>
      </c>
      <c r="J209" s="157">
        <v>0</v>
      </c>
      <c r="K209" s="157">
        <v>0</v>
      </c>
    </row>
  </sheetData>
  <sortState xmlns:xlrd2="http://schemas.microsoft.com/office/spreadsheetml/2017/richdata2" ref="A2:K209">
    <sortCondition ref="B2:B20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1"/>
  <sheetViews>
    <sheetView workbookViewId="0">
      <selection activeCell="G11" sqref="G11"/>
    </sheetView>
  </sheetViews>
  <sheetFormatPr defaultColWidth="9.109375" defaultRowHeight="14.4"/>
  <cols>
    <col min="1" max="1" width="10.33203125" style="155" bestFit="1" customWidth="1"/>
    <col min="2" max="2" width="14.109375" style="155" bestFit="1" customWidth="1"/>
    <col min="3" max="3" width="10.88671875" style="155" bestFit="1" customWidth="1"/>
    <col min="4" max="4" width="58.44140625" style="155" bestFit="1" customWidth="1"/>
    <col min="5" max="6" width="8" style="155" bestFit="1" customWidth="1"/>
    <col min="7" max="7" width="19.88671875" style="155" bestFit="1" customWidth="1"/>
    <col min="8" max="8" width="18.88671875" style="155" bestFit="1" customWidth="1"/>
    <col min="9" max="16384" width="9.109375" style="155"/>
  </cols>
  <sheetData>
    <row r="1" spans="1:8">
      <c r="A1" s="774" t="s">
        <v>569</v>
      </c>
      <c r="B1" s="774" t="s">
        <v>570</v>
      </c>
      <c r="C1" s="774" t="s">
        <v>571</v>
      </c>
      <c r="D1" s="774" t="s">
        <v>570</v>
      </c>
      <c r="E1" s="774" t="s">
        <v>572</v>
      </c>
      <c r="F1" s="774" t="s">
        <v>573</v>
      </c>
      <c r="G1" s="774" t="s">
        <v>574</v>
      </c>
      <c r="H1" s="774" t="s">
        <v>575</v>
      </c>
    </row>
    <row r="2" spans="1:8">
      <c r="A2" s="775">
        <v>500</v>
      </c>
      <c r="B2" s="775" t="s">
        <v>576</v>
      </c>
      <c r="C2" s="825">
        <v>92525</v>
      </c>
      <c r="D2" s="825" t="s">
        <v>897</v>
      </c>
      <c r="E2" s="825">
        <v>1</v>
      </c>
      <c r="F2" s="825">
        <v>0</v>
      </c>
      <c r="G2" s="775">
        <v>0</v>
      </c>
      <c r="H2" s="775">
        <v>0</v>
      </c>
    </row>
    <row r="3" spans="1:8">
      <c r="A3" s="775">
        <v>500</v>
      </c>
      <c r="B3" s="775" t="s">
        <v>576</v>
      </c>
      <c r="C3" s="825">
        <v>6046</v>
      </c>
      <c r="D3" s="825" t="s">
        <v>116</v>
      </c>
      <c r="E3" s="825">
        <v>0</v>
      </c>
      <c r="F3" s="825">
        <v>38.28</v>
      </c>
      <c r="G3" s="775">
        <v>0</v>
      </c>
      <c r="H3" s="775">
        <v>0</v>
      </c>
    </row>
    <row r="4" spans="1:8">
      <c r="A4" s="775">
        <v>500</v>
      </c>
      <c r="B4" s="775" t="s">
        <v>576</v>
      </c>
      <c r="C4" s="825">
        <v>6071</v>
      </c>
      <c r="D4" s="825" t="s">
        <v>239</v>
      </c>
      <c r="E4" s="825">
        <v>95.72</v>
      </c>
      <c r="F4" s="825">
        <v>0</v>
      </c>
      <c r="G4" s="775">
        <v>0</v>
      </c>
      <c r="H4" s="775">
        <v>0</v>
      </c>
    </row>
    <row r="5" spans="1:8">
      <c r="A5" s="775">
        <v>500</v>
      </c>
      <c r="B5" s="775" t="s">
        <v>576</v>
      </c>
      <c r="C5" s="825">
        <v>6073</v>
      </c>
      <c r="D5" s="825" t="s">
        <v>241</v>
      </c>
      <c r="E5" s="825">
        <v>124.44</v>
      </c>
      <c r="F5" s="825">
        <v>0</v>
      </c>
      <c r="G5" s="775">
        <v>0</v>
      </c>
      <c r="H5" s="775">
        <v>0</v>
      </c>
    </row>
    <row r="6" spans="1:8">
      <c r="A6" s="775">
        <v>500</v>
      </c>
      <c r="B6" s="775" t="s">
        <v>576</v>
      </c>
      <c r="C6" s="825">
        <v>6074</v>
      </c>
      <c r="D6" s="825" t="s">
        <v>242</v>
      </c>
      <c r="E6" s="825">
        <v>124.44</v>
      </c>
      <c r="F6" s="825">
        <v>0</v>
      </c>
      <c r="G6" s="775">
        <v>0</v>
      </c>
      <c r="H6" s="775">
        <v>0</v>
      </c>
    </row>
    <row r="7" spans="1:8">
      <c r="A7" s="775">
        <v>500</v>
      </c>
      <c r="B7" s="775" t="s">
        <v>576</v>
      </c>
      <c r="C7" s="825">
        <v>6083</v>
      </c>
      <c r="D7" s="825" t="s">
        <v>322</v>
      </c>
      <c r="E7" s="825">
        <v>95.72</v>
      </c>
      <c r="F7" s="825">
        <v>0</v>
      </c>
      <c r="G7" s="775">
        <v>0</v>
      </c>
      <c r="H7" s="775">
        <v>0</v>
      </c>
    </row>
    <row r="8" spans="1:8">
      <c r="A8" s="775">
        <v>500</v>
      </c>
      <c r="B8" s="775" t="s">
        <v>576</v>
      </c>
      <c r="C8" s="825">
        <v>6137</v>
      </c>
      <c r="D8" s="825" t="s">
        <v>345</v>
      </c>
      <c r="E8" s="825">
        <v>2758.72</v>
      </c>
      <c r="F8" s="825">
        <v>0</v>
      </c>
      <c r="G8" s="775">
        <v>0</v>
      </c>
      <c r="H8" s="775">
        <v>0</v>
      </c>
    </row>
    <row r="9" spans="1:8">
      <c r="A9" s="775">
        <v>500</v>
      </c>
      <c r="B9" s="775" t="s">
        <v>576</v>
      </c>
      <c r="C9" s="825">
        <v>6220</v>
      </c>
      <c r="D9" s="825" t="s">
        <v>232</v>
      </c>
      <c r="E9" s="825">
        <v>143.58000000000001</v>
      </c>
      <c r="F9" s="825">
        <v>0</v>
      </c>
      <c r="G9" s="775">
        <v>0</v>
      </c>
      <c r="H9" s="775">
        <v>0</v>
      </c>
    </row>
    <row r="10" spans="1:8">
      <c r="A10" s="775">
        <v>500</v>
      </c>
      <c r="B10" s="775" t="s">
        <v>576</v>
      </c>
      <c r="C10" s="825">
        <v>6227</v>
      </c>
      <c r="D10" s="825" t="s">
        <v>126</v>
      </c>
      <c r="E10" s="825">
        <v>0</v>
      </c>
      <c r="F10" s="825">
        <v>191.44</v>
      </c>
      <c r="G10" s="775">
        <v>0</v>
      </c>
      <c r="H10" s="775">
        <v>0</v>
      </c>
    </row>
    <row r="11" spans="1:8">
      <c r="A11" s="775">
        <v>500</v>
      </c>
      <c r="B11" s="775" t="s">
        <v>576</v>
      </c>
      <c r="C11" s="825">
        <v>6235</v>
      </c>
      <c r="D11" s="825" t="s">
        <v>246</v>
      </c>
      <c r="E11" s="825">
        <v>9.58</v>
      </c>
      <c r="F11" s="825">
        <v>0</v>
      </c>
      <c r="G11" s="775">
        <v>0</v>
      </c>
      <c r="H11" s="775">
        <v>0</v>
      </c>
    </row>
    <row r="12" spans="1:8">
      <c r="A12" s="775">
        <v>500</v>
      </c>
      <c r="B12" s="775" t="s">
        <v>576</v>
      </c>
      <c r="C12" s="825">
        <v>6252</v>
      </c>
      <c r="D12" s="825" t="s">
        <v>436</v>
      </c>
      <c r="E12" s="825">
        <v>17.23</v>
      </c>
      <c r="F12" s="825">
        <v>0</v>
      </c>
      <c r="G12" s="775">
        <v>0</v>
      </c>
      <c r="H12" s="775">
        <v>0</v>
      </c>
    </row>
    <row r="13" spans="1:8">
      <c r="A13" s="775">
        <v>500</v>
      </c>
      <c r="B13" s="775" t="s">
        <v>576</v>
      </c>
      <c r="C13" s="825">
        <v>6281</v>
      </c>
      <c r="D13" s="825" t="s">
        <v>153</v>
      </c>
      <c r="E13" s="825">
        <v>0</v>
      </c>
      <c r="F13" s="825">
        <v>95.72</v>
      </c>
      <c r="G13" s="775">
        <v>0</v>
      </c>
      <c r="H13" s="775">
        <v>0</v>
      </c>
    </row>
    <row r="14" spans="1:8">
      <c r="A14" s="775">
        <v>500</v>
      </c>
      <c r="B14" s="775" t="s">
        <v>576</v>
      </c>
      <c r="C14" s="825">
        <v>6298</v>
      </c>
      <c r="D14" s="825" t="s">
        <v>184</v>
      </c>
      <c r="E14" s="825">
        <v>0</v>
      </c>
      <c r="F14" s="825">
        <v>19.14</v>
      </c>
      <c r="G14" s="775">
        <v>0</v>
      </c>
      <c r="H14" s="775">
        <v>0</v>
      </c>
    </row>
    <row r="15" spans="1:8">
      <c r="A15" s="775">
        <v>500</v>
      </c>
      <c r="B15" s="775" t="s">
        <v>576</v>
      </c>
      <c r="C15" s="825">
        <v>6317</v>
      </c>
      <c r="D15" s="825" t="s">
        <v>191</v>
      </c>
      <c r="E15" s="825">
        <v>287.17</v>
      </c>
      <c r="F15" s="825">
        <v>0</v>
      </c>
      <c r="G15" s="775">
        <v>0</v>
      </c>
      <c r="H15" s="775">
        <v>0</v>
      </c>
    </row>
    <row r="16" spans="1:8">
      <c r="A16" s="775">
        <v>500</v>
      </c>
      <c r="B16" s="775" t="s">
        <v>576</v>
      </c>
      <c r="C16" s="825">
        <v>6325</v>
      </c>
      <c r="D16" s="825" t="s">
        <v>296</v>
      </c>
      <c r="E16" s="825">
        <v>478.61</v>
      </c>
      <c r="F16" s="825">
        <v>0</v>
      </c>
      <c r="G16" s="775">
        <v>0</v>
      </c>
      <c r="H16" s="775">
        <v>0</v>
      </c>
    </row>
    <row r="17" spans="1:8">
      <c r="A17" s="775">
        <v>500</v>
      </c>
      <c r="B17" s="775" t="s">
        <v>576</v>
      </c>
      <c r="C17" s="825">
        <v>6332</v>
      </c>
      <c r="D17" s="825" t="s">
        <v>334</v>
      </c>
      <c r="E17" s="825">
        <v>1435.83</v>
      </c>
      <c r="F17" s="825">
        <v>0</v>
      </c>
      <c r="G17" s="775">
        <v>0</v>
      </c>
      <c r="H17" s="775">
        <v>0</v>
      </c>
    </row>
    <row r="18" spans="1:8">
      <c r="A18" s="775">
        <v>500</v>
      </c>
      <c r="B18" s="775" t="s">
        <v>576</v>
      </c>
      <c r="C18" s="825">
        <v>6344</v>
      </c>
      <c r="D18" s="825" t="s">
        <v>92</v>
      </c>
      <c r="E18" s="825">
        <v>1359.25</v>
      </c>
      <c r="F18" s="825">
        <v>0</v>
      </c>
      <c r="G18" s="775">
        <v>0</v>
      </c>
      <c r="H18" s="775">
        <v>0</v>
      </c>
    </row>
    <row r="19" spans="1:8">
      <c r="A19" s="775">
        <v>500</v>
      </c>
      <c r="B19" s="775" t="s">
        <v>576</v>
      </c>
      <c r="C19" s="825">
        <v>6346</v>
      </c>
      <c r="D19" s="825" t="s">
        <v>143</v>
      </c>
      <c r="E19" s="825">
        <v>0</v>
      </c>
      <c r="F19" s="825">
        <v>191.44</v>
      </c>
      <c r="G19" s="775">
        <v>0</v>
      </c>
      <c r="H19" s="775">
        <v>0</v>
      </c>
    </row>
    <row r="20" spans="1:8">
      <c r="A20" s="775">
        <v>500</v>
      </c>
      <c r="B20" s="775" t="s">
        <v>576</v>
      </c>
      <c r="C20" s="825">
        <v>6352</v>
      </c>
      <c r="D20" s="825" t="s">
        <v>118</v>
      </c>
      <c r="E20" s="825">
        <v>0</v>
      </c>
      <c r="F20" s="825">
        <v>9.58</v>
      </c>
      <c r="G20" s="775">
        <v>0</v>
      </c>
      <c r="H20" s="775">
        <v>0</v>
      </c>
    </row>
    <row r="21" spans="1:8">
      <c r="A21" s="775">
        <v>500</v>
      </c>
      <c r="B21" s="775" t="s">
        <v>576</v>
      </c>
      <c r="C21" s="825">
        <v>6355</v>
      </c>
      <c r="D21" s="825" t="s">
        <v>152</v>
      </c>
      <c r="E21" s="825">
        <v>0</v>
      </c>
      <c r="F21" s="825">
        <v>14.36</v>
      </c>
      <c r="G21" s="775">
        <v>0</v>
      </c>
      <c r="H21" s="775">
        <v>0</v>
      </c>
    </row>
    <row r="22" spans="1:8">
      <c r="A22" s="775">
        <v>500</v>
      </c>
      <c r="B22" s="775" t="s">
        <v>576</v>
      </c>
      <c r="C22" s="825">
        <v>6367</v>
      </c>
      <c r="D22" s="825" t="s">
        <v>439</v>
      </c>
      <c r="E22" s="825">
        <v>0</v>
      </c>
      <c r="F22" s="825">
        <v>95.72</v>
      </c>
      <c r="G22" s="775">
        <v>0</v>
      </c>
      <c r="H22" s="775">
        <v>0</v>
      </c>
    </row>
    <row r="23" spans="1:8">
      <c r="A23" s="775">
        <v>500</v>
      </c>
      <c r="B23" s="775" t="s">
        <v>576</v>
      </c>
      <c r="C23" s="825">
        <v>6373</v>
      </c>
      <c r="D23" s="825" t="s">
        <v>136</v>
      </c>
      <c r="E23" s="825">
        <v>0</v>
      </c>
      <c r="F23" s="825">
        <v>574.33000000000004</v>
      </c>
      <c r="G23" s="775">
        <v>0</v>
      </c>
      <c r="H23" s="775">
        <v>0</v>
      </c>
    </row>
    <row r="24" spans="1:8">
      <c r="A24" s="775">
        <v>500</v>
      </c>
      <c r="B24" s="775" t="s">
        <v>576</v>
      </c>
      <c r="C24" s="825">
        <v>6377</v>
      </c>
      <c r="D24" s="825" t="s">
        <v>192</v>
      </c>
      <c r="E24" s="825">
        <v>215.38</v>
      </c>
      <c r="F24" s="825">
        <v>0</v>
      </c>
      <c r="G24" s="775">
        <v>0</v>
      </c>
      <c r="H24" s="775">
        <v>0</v>
      </c>
    </row>
    <row r="25" spans="1:8">
      <c r="A25" s="775">
        <v>500</v>
      </c>
      <c r="B25" s="775" t="s">
        <v>576</v>
      </c>
      <c r="C25" s="825">
        <v>6381</v>
      </c>
      <c r="D25" s="825" t="s">
        <v>206</v>
      </c>
      <c r="E25" s="825">
        <v>95.72</v>
      </c>
      <c r="F25" s="825">
        <v>0</v>
      </c>
      <c r="G25" s="775">
        <v>0</v>
      </c>
      <c r="H25" s="775">
        <v>0</v>
      </c>
    </row>
    <row r="26" spans="1:8">
      <c r="A26" s="775">
        <v>500</v>
      </c>
      <c r="B26" s="775" t="s">
        <v>576</v>
      </c>
      <c r="C26" s="825">
        <v>6389</v>
      </c>
      <c r="D26" s="825" t="s">
        <v>280</v>
      </c>
      <c r="E26" s="825">
        <v>478.61</v>
      </c>
      <c r="F26" s="825">
        <v>0</v>
      </c>
      <c r="G26" s="775">
        <v>0</v>
      </c>
      <c r="H26" s="775">
        <v>0</v>
      </c>
    </row>
    <row r="27" spans="1:8">
      <c r="A27" s="775">
        <v>500</v>
      </c>
      <c r="B27" s="775" t="s">
        <v>576</v>
      </c>
      <c r="C27" s="825">
        <v>6396</v>
      </c>
      <c r="D27" s="825" t="s">
        <v>223</v>
      </c>
      <c r="E27" s="825">
        <v>1079.75</v>
      </c>
      <c r="F27" s="825">
        <v>0</v>
      </c>
      <c r="G27" s="775">
        <v>0</v>
      </c>
      <c r="H27" s="775">
        <v>0</v>
      </c>
    </row>
    <row r="28" spans="1:8">
      <c r="A28" s="775">
        <v>500</v>
      </c>
      <c r="B28" s="775" t="s">
        <v>576</v>
      </c>
      <c r="C28" s="825">
        <v>6403</v>
      </c>
      <c r="D28" s="825" t="s">
        <v>260</v>
      </c>
      <c r="E28" s="825">
        <v>47.86</v>
      </c>
      <c r="F28" s="825">
        <v>0</v>
      </c>
      <c r="G28" s="775">
        <v>0</v>
      </c>
      <c r="H28" s="775">
        <v>0</v>
      </c>
    </row>
    <row r="29" spans="1:8">
      <c r="A29" s="775">
        <v>500</v>
      </c>
      <c r="B29" s="775" t="s">
        <v>576</v>
      </c>
      <c r="C29" s="825">
        <v>6427</v>
      </c>
      <c r="D29" s="825" t="s">
        <v>257</v>
      </c>
      <c r="E29" s="825">
        <v>95.72</v>
      </c>
      <c r="F29" s="825">
        <v>0</v>
      </c>
      <c r="G29" s="775">
        <v>0</v>
      </c>
      <c r="H29" s="775">
        <v>0</v>
      </c>
    </row>
    <row r="30" spans="1:8">
      <c r="A30" s="775">
        <v>500</v>
      </c>
      <c r="B30" s="775" t="s">
        <v>576</v>
      </c>
      <c r="C30" s="825">
        <v>6432</v>
      </c>
      <c r="D30" s="825" t="s">
        <v>305</v>
      </c>
      <c r="E30" s="825">
        <v>47.86</v>
      </c>
      <c r="F30" s="825">
        <v>0</v>
      </c>
      <c r="G30" s="775">
        <v>0</v>
      </c>
      <c r="H30" s="775">
        <v>0</v>
      </c>
    </row>
    <row r="31" spans="1:8">
      <c r="A31" s="775">
        <v>500</v>
      </c>
      <c r="B31" s="775" t="s">
        <v>576</v>
      </c>
      <c r="C31" s="825">
        <v>6436</v>
      </c>
      <c r="D31" s="825" t="s">
        <v>372</v>
      </c>
      <c r="E31" s="825">
        <v>87.11</v>
      </c>
      <c r="F31" s="825">
        <v>37.33</v>
      </c>
      <c r="G31" s="775">
        <v>0</v>
      </c>
      <c r="H31" s="775">
        <v>0</v>
      </c>
    </row>
    <row r="32" spans="1:8">
      <c r="A32" s="775">
        <v>500</v>
      </c>
      <c r="B32" s="775" t="s">
        <v>576</v>
      </c>
      <c r="C32" s="825">
        <v>6441</v>
      </c>
      <c r="D32" s="825" t="s">
        <v>362</v>
      </c>
      <c r="E32" s="825">
        <v>47.86</v>
      </c>
      <c r="F32" s="825">
        <v>0</v>
      </c>
      <c r="G32" s="775">
        <v>0</v>
      </c>
      <c r="H32" s="775">
        <v>0</v>
      </c>
    </row>
    <row r="33" spans="1:8">
      <c r="A33" s="775">
        <v>500</v>
      </c>
      <c r="B33" s="775" t="s">
        <v>576</v>
      </c>
      <c r="C33" s="825">
        <v>6442</v>
      </c>
      <c r="D33" s="825" t="s">
        <v>364</v>
      </c>
      <c r="E33" s="825">
        <v>47.86</v>
      </c>
      <c r="F33" s="825">
        <v>0</v>
      </c>
      <c r="G33" s="775">
        <v>0</v>
      </c>
      <c r="H33" s="775">
        <v>0</v>
      </c>
    </row>
    <row r="34" spans="1:8">
      <c r="A34" s="775">
        <v>500</v>
      </c>
      <c r="B34" s="775" t="s">
        <v>576</v>
      </c>
      <c r="C34" s="825">
        <v>6455</v>
      </c>
      <c r="D34" s="825" t="s">
        <v>121</v>
      </c>
      <c r="E34" s="825">
        <v>0</v>
      </c>
      <c r="F34" s="825">
        <v>38.28</v>
      </c>
      <c r="G34" s="775">
        <v>0</v>
      </c>
      <c r="H34" s="775">
        <v>0</v>
      </c>
    </row>
    <row r="35" spans="1:8">
      <c r="A35" s="775">
        <v>500</v>
      </c>
      <c r="B35" s="775" t="s">
        <v>576</v>
      </c>
      <c r="C35" s="825">
        <v>6470</v>
      </c>
      <c r="D35" s="825" t="s">
        <v>210</v>
      </c>
      <c r="E35" s="825">
        <v>0</v>
      </c>
      <c r="F35" s="825">
        <v>47.86</v>
      </c>
      <c r="G35" s="775">
        <v>0</v>
      </c>
      <c r="H35" s="775">
        <v>0</v>
      </c>
    </row>
    <row r="36" spans="1:8">
      <c r="A36" s="775">
        <v>500</v>
      </c>
      <c r="B36" s="775" t="s">
        <v>576</v>
      </c>
      <c r="C36" s="825">
        <v>6502</v>
      </c>
      <c r="D36" s="825" t="s">
        <v>459</v>
      </c>
      <c r="E36" s="825">
        <v>26.8</v>
      </c>
      <c r="F36" s="825">
        <v>11.49</v>
      </c>
      <c r="G36" s="775">
        <v>0</v>
      </c>
      <c r="H36" s="775">
        <v>0</v>
      </c>
    </row>
    <row r="37" spans="1:8">
      <c r="A37" s="775">
        <v>500</v>
      </c>
      <c r="B37" s="775" t="s">
        <v>576</v>
      </c>
      <c r="C37" s="825">
        <v>6524</v>
      </c>
      <c r="D37" s="825" t="s">
        <v>409</v>
      </c>
      <c r="E37" s="825">
        <v>32.549999999999997</v>
      </c>
      <c r="F37" s="825">
        <v>14.36</v>
      </c>
      <c r="G37" s="775">
        <v>0</v>
      </c>
      <c r="H37" s="775">
        <v>0</v>
      </c>
    </row>
    <row r="38" spans="1:8">
      <c r="A38" s="775">
        <v>500</v>
      </c>
      <c r="B38" s="775" t="s">
        <v>576</v>
      </c>
      <c r="C38" s="825">
        <v>6599</v>
      </c>
      <c r="D38" s="825" t="s">
        <v>411</v>
      </c>
      <c r="E38" s="825">
        <v>775.35</v>
      </c>
      <c r="F38" s="825">
        <v>332.16</v>
      </c>
      <c r="G38" s="775">
        <v>0</v>
      </c>
      <c r="H38" s="775">
        <v>0</v>
      </c>
    </row>
    <row r="39" spans="1:8">
      <c r="A39" s="775">
        <v>500</v>
      </c>
      <c r="B39" s="775" t="s">
        <v>576</v>
      </c>
      <c r="C39" s="825">
        <v>6604</v>
      </c>
      <c r="D39" s="825" t="s">
        <v>107</v>
      </c>
      <c r="E39" s="825">
        <v>0</v>
      </c>
      <c r="F39" s="825">
        <v>765.78</v>
      </c>
      <c r="G39" s="775">
        <v>0</v>
      </c>
      <c r="H39" s="775">
        <v>0</v>
      </c>
    </row>
    <row r="40" spans="1:8">
      <c r="A40" s="775">
        <v>500</v>
      </c>
      <c r="B40" s="775" t="s">
        <v>576</v>
      </c>
      <c r="C40" s="825">
        <v>6608</v>
      </c>
      <c r="D40" s="825" t="s">
        <v>181</v>
      </c>
      <c r="E40" s="825">
        <v>0</v>
      </c>
      <c r="F40" s="825">
        <v>430.75</v>
      </c>
      <c r="G40" s="775">
        <v>0</v>
      </c>
      <c r="H40" s="775">
        <v>0</v>
      </c>
    </row>
    <row r="41" spans="1:8">
      <c r="A41" s="775">
        <v>500</v>
      </c>
      <c r="B41" s="775" t="s">
        <v>576</v>
      </c>
      <c r="C41" s="825">
        <v>6610</v>
      </c>
      <c r="D41" s="825" t="s">
        <v>424</v>
      </c>
      <c r="E41" s="825">
        <v>938.08</v>
      </c>
      <c r="F41" s="825">
        <v>402.03</v>
      </c>
      <c r="G41" s="775">
        <v>0</v>
      </c>
      <c r="H41" s="775">
        <v>0</v>
      </c>
    </row>
    <row r="42" spans="1:8">
      <c r="A42" s="775">
        <v>500</v>
      </c>
      <c r="B42" s="775" t="s">
        <v>576</v>
      </c>
      <c r="C42" s="825">
        <v>6629</v>
      </c>
      <c r="D42" s="825" t="s">
        <v>145</v>
      </c>
      <c r="E42" s="825">
        <v>0</v>
      </c>
      <c r="F42" s="825">
        <v>287.17</v>
      </c>
      <c r="G42" s="775">
        <v>0</v>
      </c>
      <c r="H42" s="775">
        <v>0</v>
      </c>
    </row>
    <row r="43" spans="1:8">
      <c r="A43" s="775">
        <v>500</v>
      </c>
      <c r="B43" s="775" t="s">
        <v>576</v>
      </c>
      <c r="C43" s="825">
        <v>6632</v>
      </c>
      <c r="D43" s="825" t="s">
        <v>229</v>
      </c>
      <c r="E43" s="825">
        <v>2680.22</v>
      </c>
      <c r="F43" s="825">
        <v>0</v>
      </c>
      <c r="G43" s="775">
        <v>0</v>
      </c>
      <c r="H43" s="775">
        <v>0</v>
      </c>
    </row>
    <row r="44" spans="1:8">
      <c r="A44" s="775">
        <v>500</v>
      </c>
      <c r="B44" s="775" t="s">
        <v>576</v>
      </c>
      <c r="C44" s="825">
        <v>6645</v>
      </c>
      <c r="D44" s="825" t="s">
        <v>854</v>
      </c>
      <c r="E44" s="825">
        <v>217.28</v>
      </c>
      <c r="F44" s="825">
        <v>0</v>
      </c>
      <c r="G44" s="775">
        <v>0</v>
      </c>
      <c r="H44" s="775">
        <v>0</v>
      </c>
    </row>
    <row r="45" spans="1:8">
      <c r="A45" s="775">
        <v>500</v>
      </c>
      <c r="B45" s="775" t="s">
        <v>576</v>
      </c>
      <c r="C45" s="825">
        <v>6676</v>
      </c>
      <c r="D45" s="825" t="s">
        <v>872</v>
      </c>
      <c r="E45" s="825">
        <v>313.89999999999998</v>
      </c>
      <c r="F45" s="825">
        <v>0</v>
      </c>
      <c r="G45" s="775">
        <v>0</v>
      </c>
      <c r="H45" s="775">
        <v>0</v>
      </c>
    </row>
    <row r="46" spans="1:8">
      <c r="A46" s="775">
        <v>500</v>
      </c>
      <c r="B46" s="775" t="s">
        <v>576</v>
      </c>
      <c r="C46" s="825">
        <v>6681</v>
      </c>
      <c r="D46" s="825" t="s">
        <v>767</v>
      </c>
      <c r="E46" s="825">
        <v>841.23</v>
      </c>
      <c r="F46" s="825">
        <v>0</v>
      </c>
      <c r="G46" s="775">
        <v>0</v>
      </c>
      <c r="H46" s="775">
        <v>0</v>
      </c>
    </row>
    <row r="47" spans="1:8">
      <c r="A47" s="775">
        <v>500</v>
      </c>
      <c r="B47" s="775" t="s">
        <v>576</v>
      </c>
      <c r="C47" s="825">
        <v>6691</v>
      </c>
      <c r="D47" s="825" t="s">
        <v>769</v>
      </c>
      <c r="E47" s="825">
        <v>31.39</v>
      </c>
      <c r="F47" s="825">
        <v>0</v>
      </c>
      <c r="G47" s="775">
        <v>0</v>
      </c>
      <c r="H47" s="775">
        <v>0</v>
      </c>
    </row>
    <row r="48" spans="1:8">
      <c r="A48" s="775">
        <v>500</v>
      </c>
      <c r="B48" s="775" t="s">
        <v>576</v>
      </c>
      <c r="C48" s="825">
        <v>6697</v>
      </c>
      <c r="D48" s="825" t="s">
        <v>946</v>
      </c>
      <c r="E48" s="825">
        <v>354.71</v>
      </c>
      <c r="F48" s="825">
        <v>0</v>
      </c>
      <c r="G48" s="775">
        <v>0</v>
      </c>
      <c r="H48" s="775">
        <v>0</v>
      </c>
    </row>
    <row r="49" spans="1:8">
      <c r="A49" s="775">
        <v>500</v>
      </c>
      <c r="B49" s="775" t="s">
        <v>576</v>
      </c>
      <c r="C49" s="825">
        <v>6710</v>
      </c>
      <c r="D49" s="825" t="s">
        <v>773</v>
      </c>
      <c r="E49" s="825">
        <v>458.29</v>
      </c>
      <c r="F49" s="825">
        <v>0</v>
      </c>
      <c r="G49" s="775">
        <v>0</v>
      </c>
      <c r="H49" s="775">
        <v>0</v>
      </c>
    </row>
    <row r="50" spans="1:8">
      <c r="A50" s="775">
        <v>500</v>
      </c>
      <c r="B50" s="775" t="s">
        <v>576</v>
      </c>
      <c r="C50" s="825">
        <v>6714</v>
      </c>
      <c r="D50" s="825" t="s">
        <v>797</v>
      </c>
      <c r="E50" s="825">
        <v>178.93</v>
      </c>
      <c r="F50" s="825">
        <v>0</v>
      </c>
      <c r="G50" s="775">
        <v>0</v>
      </c>
      <c r="H50" s="775">
        <v>0</v>
      </c>
    </row>
    <row r="51" spans="1:8">
      <c r="A51" s="775">
        <v>500</v>
      </c>
      <c r="B51" s="775" t="s">
        <v>576</v>
      </c>
      <c r="C51" s="825">
        <v>6721</v>
      </c>
      <c r="D51" s="825" t="s">
        <v>802</v>
      </c>
      <c r="E51" s="825">
        <v>87.89</v>
      </c>
      <c r="F51" s="825">
        <v>0</v>
      </c>
      <c r="G51" s="775">
        <v>0</v>
      </c>
      <c r="H51" s="775">
        <v>0</v>
      </c>
    </row>
    <row r="52" spans="1:8">
      <c r="A52" s="775">
        <v>500</v>
      </c>
      <c r="B52" s="775" t="s">
        <v>576</v>
      </c>
      <c r="C52" s="825">
        <v>6724</v>
      </c>
      <c r="D52" s="825" t="s">
        <v>840</v>
      </c>
      <c r="E52" s="825">
        <v>1412.53</v>
      </c>
      <c r="F52" s="825">
        <v>0</v>
      </c>
      <c r="G52" s="775">
        <v>0</v>
      </c>
      <c r="H52" s="775">
        <v>0</v>
      </c>
    </row>
    <row r="53" spans="1:8">
      <c r="A53" s="775">
        <v>500</v>
      </c>
      <c r="B53" s="775" t="s">
        <v>576</v>
      </c>
      <c r="C53" s="825">
        <v>6734</v>
      </c>
      <c r="D53" s="825" t="s">
        <v>918</v>
      </c>
      <c r="E53" s="825">
        <v>31.39</v>
      </c>
      <c r="F53" s="825">
        <v>0</v>
      </c>
      <c r="G53" s="775">
        <v>0</v>
      </c>
      <c r="H53" s="775">
        <v>0</v>
      </c>
    </row>
    <row r="54" spans="1:8">
      <c r="A54" s="775">
        <v>500</v>
      </c>
      <c r="B54" s="775" t="s">
        <v>576</v>
      </c>
      <c r="C54" s="825">
        <v>6736</v>
      </c>
      <c r="D54" s="825" t="s">
        <v>928</v>
      </c>
      <c r="E54" s="825">
        <v>141.25</v>
      </c>
      <c r="F54" s="825">
        <v>0</v>
      </c>
      <c r="G54" s="775">
        <v>0</v>
      </c>
      <c r="H54" s="775">
        <v>0</v>
      </c>
    </row>
    <row r="55" spans="1:8">
      <c r="A55" s="775">
        <v>500</v>
      </c>
      <c r="B55" s="775" t="s">
        <v>576</v>
      </c>
      <c r="C55" s="825">
        <v>6740</v>
      </c>
      <c r="D55" s="825" t="s">
        <v>922</v>
      </c>
      <c r="E55" s="825">
        <v>351.56</v>
      </c>
      <c r="F55" s="825">
        <v>150.66999999999999</v>
      </c>
      <c r="G55" s="775">
        <v>0</v>
      </c>
      <c r="H55" s="775">
        <v>0</v>
      </c>
    </row>
    <row r="56" spans="1:8">
      <c r="A56" s="775">
        <v>500</v>
      </c>
      <c r="B56" s="775" t="s">
        <v>576</v>
      </c>
      <c r="C56" s="825">
        <v>6769</v>
      </c>
      <c r="D56" s="825" t="s">
        <v>814</v>
      </c>
      <c r="E56" s="825">
        <v>0</v>
      </c>
      <c r="F56" s="825">
        <v>3.14</v>
      </c>
      <c r="G56" s="775">
        <v>0</v>
      </c>
      <c r="H56" s="775">
        <v>0</v>
      </c>
    </row>
    <row r="57" spans="1:8">
      <c r="A57" s="775">
        <v>500</v>
      </c>
      <c r="B57" s="775" t="s">
        <v>576</v>
      </c>
      <c r="C57" s="825">
        <v>6782</v>
      </c>
      <c r="D57" s="825" t="s">
        <v>766</v>
      </c>
      <c r="E57" s="825">
        <v>0</v>
      </c>
      <c r="F57" s="825">
        <v>313.89999999999998</v>
      </c>
      <c r="G57" s="775">
        <v>0</v>
      </c>
      <c r="H57" s="775">
        <v>0</v>
      </c>
    </row>
    <row r="58" spans="1:8">
      <c r="A58" s="775">
        <v>500</v>
      </c>
      <c r="B58" s="775" t="s">
        <v>576</v>
      </c>
      <c r="C58" s="825">
        <v>6795</v>
      </c>
      <c r="D58" s="825" t="s">
        <v>858</v>
      </c>
      <c r="E58" s="825">
        <v>0</v>
      </c>
      <c r="F58" s="825">
        <v>91.02</v>
      </c>
      <c r="G58" s="775">
        <v>0</v>
      </c>
      <c r="H58" s="775">
        <v>0</v>
      </c>
    </row>
    <row r="59" spans="1:8">
      <c r="A59" s="775">
        <v>500</v>
      </c>
      <c r="B59" s="775" t="s">
        <v>576</v>
      </c>
      <c r="C59" s="825">
        <v>6800</v>
      </c>
      <c r="D59" s="825" t="s">
        <v>826</v>
      </c>
      <c r="E59" s="825">
        <v>0</v>
      </c>
      <c r="F59" s="825">
        <v>533.62</v>
      </c>
      <c r="G59" s="775">
        <v>0</v>
      </c>
      <c r="H59" s="775">
        <v>0</v>
      </c>
    </row>
    <row r="60" spans="1:8">
      <c r="A60" s="775">
        <v>500</v>
      </c>
      <c r="B60" s="775" t="s">
        <v>576</v>
      </c>
      <c r="C60" s="825">
        <v>6805</v>
      </c>
      <c r="D60" s="825" t="s">
        <v>874</v>
      </c>
      <c r="E60" s="825">
        <v>131.83000000000001</v>
      </c>
      <c r="F60" s="825">
        <v>56.5</v>
      </c>
      <c r="G60" s="775">
        <v>0</v>
      </c>
      <c r="H60" s="775">
        <v>0</v>
      </c>
    </row>
    <row r="61" spans="1:8">
      <c r="A61" s="775">
        <v>500</v>
      </c>
      <c r="B61" s="775" t="s">
        <v>576</v>
      </c>
      <c r="C61" s="825">
        <v>6807</v>
      </c>
      <c r="D61" s="825" t="s">
        <v>781</v>
      </c>
      <c r="E61" s="825">
        <v>373.54</v>
      </c>
      <c r="F61" s="825">
        <v>160.08000000000001</v>
      </c>
      <c r="G61" s="775">
        <v>0</v>
      </c>
      <c r="H61" s="775">
        <v>0</v>
      </c>
    </row>
    <row r="62" spans="1:8">
      <c r="A62" s="775">
        <v>500</v>
      </c>
      <c r="B62" s="775" t="s">
        <v>576</v>
      </c>
      <c r="C62" s="825">
        <v>6815</v>
      </c>
      <c r="D62" s="825" t="s">
        <v>829</v>
      </c>
      <c r="E62" s="825">
        <v>210.31</v>
      </c>
      <c r="F62" s="825">
        <v>91.02</v>
      </c>
      <c r="G62" s="775">
        <v>0</v>
      </c>
      <c r="H62" s="775">
        <v>0</v>
      </c>
    </row>
    <row r="63" spans="1:8">
      <c r="A63" s="775">
        <v>500</v>
      </c>
      <c r="B63" s="775" t="s">
        <v>576</v>
      </c>
      <c r="C63" s="825">
        <v>6841</v>
      </c>
      <c r="D63" s="825" t="s">
        <v>806</v>
      </c>
      <c r="E63" s="825">
        <v>470.84</v>
      </c>
      <c r="F63" s="825">
        <v>0</v>
      </c>
      <c r="G63" s="775">
        <v>0</v>
      </c>
      <c r="H63" s="775">
        <v>0</v>
      </c>
    </row>
    <row r="64" spans="1:8">
      <c r="A64" s="775">
        <v>500</v>
      </c>
      <c r="B64" s="775" t="s">
        <v>576</v>
      </c>
      <c r="C64" s="825">
        <v>6907</v>
      </c>
      <c r="D64" s="825" t="s">
        <v>381</v>
      </c>
      <c r="E64" s="825">
        <v>19.14</v>
      </c>
      <c r="F64" s="825">
        <v>7.66</v>
      </c>
      <c r="G64" s="775">
        <v>0</v>
      </c>
      <c r="H64" s="775">
        <v>0</v>
      </c>
    </row>
    <row r="65" spans="1:8">
      <c r="A65" s="775">
        <v>500</v>
      </c>
      <c r="B65" s="775" t="s">
        <v>576</v>
      </c>
      <c r="C65" s="825">
        <v>6938</v>
      </c>
      <c r="D65" s="825" t="s">
        <v>402</v>
      </c>
      <c r="E65" s="825">
        <v>70.83</v>
      </c>
      <c r="F65" s="825">
        <v>29.67</v>
      </c>
      <c r="G65" s="775">
        <v>0</v>
      </c>
      <c r="H65" s="775">
        <v>0</v>
      </c>
    </row>
    <row r="66" spans="1:8">
      <c r="A66" s="775">
        <v>500</v>
      </c>
      <c r="B66" s="775" t="s">
        <v>576</v>
      </c>
      <c r="C66" s="825">
        <v>7174</v>
      </c>
      <c r="D66" s="825" t="s">
        <v>430</v>
      </c>
      <c r="E66" s="825">
        <v>0</v>
      </c>
      <c r="F66" s="825">
        <v>95.72</v>
      </c>
      <c r="G66" s="775">
        <v>0</v>
      </c>
      <c r="H66" s="775">
        <v>0</v>
      </c>
    </row>
    <row r="67" spans="1:8">
      <c r="A67" s="775">
        <v>500</v>
      </c>
      <c r="B67" s="775" t="s">
        <v>576</v>
      </c>
      <c r="C67" s="825">
        <v>7292</v>
      </c>
      <c r="D67" s="825" t="s">
        <v>220</v>
      </c>
      <c r="E67" s="825">
        <v>11.49</v>
      </c>
      <c r="F67" s="825">
        <v>0</v>
      </c>
      <c r="G67" s="775">
        <v>0</v>
      </c>
      <c r="H67" s="775">
        <v>0</v>
      </c>
    </row>
    <row r="68" spans="1:8">
      <c r="A68" s="775">
        <v>500</v>
      </c>
      <c r="B68" s="775" t="s">
        <v>576</v>
      </c>
      <c r="C68" s="825">
        <v>7584</v>
      </c>
      <c r="D68" s="825" t="s">
        <v>389</v>
      </c>
      <c r="E68" s="825">
        <v>140.72</v>
      </c>
      <c r="F68" s="825">
        <v>60.31</v>
      </c>
      <c r="G68" s="775">
        <v>0</v>
      </c>
      <c r="H68" s="775">
        <v>0</v>
      </c>
    </row>
    <row r="69" spans="1:8">
      <c r="A69" s="775">
        <v>500</v>
      </c>
      <c r="B69" s="775" t="s">
        <v>576</v>
      </c>
      <c r="C69" s="825">
        <v>7592</v>
      </c>
      <c r="D69" s="825" t="s">
        <v>394</v>
      </c>
      <c r="E69" s="825">
        <v>175.17</v>
      </c>
      <c r="F69" s="825">
        <v>75.62</v>
      </c>
      <c r="G69" s="775">
        <v>0</v>
      </c>
      <c r="H69" s="775">
        <v>0</v>
      </c>
    </row>
    <row r="70" spans="1:8">
      <c r="A70" s="775">
        <v>500</v>
      </c>
      <c r="B70" s="775" t="s">
        <v>576</v>
      </c>
      <c r="C70" s="825">
        <v>7953</v>
      </c>
      <c r="D70" s="825" t="s">
        <v>917</v>
      </c>
      <c r="E70" s="825">
        <v>150.66999999999999</v>
      </c>
      <c r="F70" s="825">
        <v>0</v>
      </c>
      <c r="G70" s="775">
        <v>0</v>
      </c>
      <c r="H70" s="775">
        <v>0</v>
      </c>
    </row>
    <row r="71" spans="1:8">
      <c r="A71" s="775">
        <v>500</v>
      </c>
      <c r="B71" s="775" t="s">
        <v>576</v>
      </c>
      <c r="C71" s="825">
        <v>92331</v>
      </c>
      <c r="D71" s="825" t="s">
        <v>945</v>
      </c>
      <c r="E71" s="825">
        <v>172.64</v>
      </c>
      <c r="F71" s="825">
        <v>0</v>
      </c>
      <c r="G71" s="775">
        <v>0</v>
      </c>
      <c r="H71" s="775">
        <v>0</v>
      </c>
    </row>
    <row r="72" spans="1:8">
      <c r="A72" s="775">
        <v>112</v>
      </c>
      <c r="B72" s="775" t="s">
        <v>755</v>
      </c>
      <c r="C72" s="825">
        <v>92325</v>
      </c>
      <c r="D72" s="825" t="s">
        <v>932</v>
      </c>
      <c r="E72" s="825">
        <v>1.92</v>
      </c>
      <c r="F72" s="825">
        <v>0</v>
      </c>
      <c r="G72" s="775">
        <v>0</v>
      </c>
      <c r="H72" s="775">
        <v>0</v>
      </c>
    </row>
    <row r="73" spans="1:8">
      <c r="A73" s="775">
        <v>234</v>
      </c>
      <c r="B73" s="775" t="s">
        <v>756</v>
      </c>
      <c r="C73" s="825">
        <v>60163</v>
      </c>
      <c r="D73" s="825" t="s">
        <v>784</v>
      </c>
      <c r="E73" s="825">
        <v>1</v>
      </c>
      <c r="F73" s="825">
        <v>0</v>
      </c>
      <c r="G73" s="775">
        <v>0</v>
      </c>
      <c r="H73" s="775">
        <v>0</v>
      </c>
    </row>
    <row r="74" spans="1:8">
      <c r="A74" s="775">
        <v>500</v>
      </c>
      <c r="B74" s="775" t="s">
        <v>576</v>
      </c>
      <c r="C74" s="825">
        <v>67000</v>
      </c>
      <c r="D74" s="825" t="s">
        <v>1156</v>
      </c>
      <c r="E74" s="825">
        <v>574.33000000000004</v>
      </c>
      <c r="F74" s="825">
        <v>0</v>
      </c>
      <c r="G74" s="775">
        <v>0</v>
      </c>
      <c r="H74" s="775">
        <v>0</v>
      </c>
    </row>
    <row r="75" spans="1:8">
      <c r="A75" s="775">
        <v>500</v>
      </c>
      <c r="B75" s="775" t="s">
        <v>576</v>
      </c>
      <c r="C75" s="825">
        <v>6102</v>
      </c>
      <c r="D75" s="825" t="s">
        <v>935</v>
      </c>
      <c r="E75" s="825">
        <v>116.14</v>
      </c>
      <c r="F75" s="825">
        <v>50.23</v>
      </c>
      <c r="G75" s="775">
        <v>0</v>
      </c>
      <c r="H75" s="775">
        <v>0</v>
      </c>
    </row>
    <row r="76" spans="1:8">
      <c r="A76" s="775">
        <v>500</v>
      </c>
      <c r="B76" s="775" t="s">
        <v>576</v>
      </c>
      <c r="C76" s="825">
        <v>6129</v>
      </c>
      <c r="D76" s="825" t="s">
        <v>346</v>
      </c>
      <c r="E76" s="825">
        <v>2105.89</v>
      </c>
      <c r="F76" s="825">
        <v>0</v>
      </c>
      <c r="G76" s="775">
        <v>0</v>
      </c>
      <c r="H76" s="775">
        <v>0</v>
      </c>
    </row>
    <row r="77" spans="1:8">
      <c r="A77" s="775">
        <v>500</v>
      </c>
      <c r="B77" s="775" t="s">
        <v>576</v>
      </c>
      <c r="C77" s="825">
        <v>6133</v>
      </c>
      <c r="D77" s="825" t="s">
        <v>827</v>
      </c>
      <c r="E77" s="825">
        <v>974.45</v>
      </c>
      <c r="F77" s="825">
        <v>0</v>
      </c>
      <c r="G77" s="775">
        <v>0</v>
      </c>
      <c r="H77" s="775">
        <v>0</v>
      </c>
    </row>
    <row r="78" spans="1:8">
      <c r="A78" s="775">
        <v>500</v>
      </c>
      <c r="B78" s="775" t="s">
        <v>576</v>
      </c>
      <c r="C78" s="825">
        <v>6182</v>
      </c>
      <c r="D78" s="825" t="s">
        <v>455</v>
      </c>
      <c r="E78" s="825">
        <v>47.86</v>
      </c>
      <c r="F78" s="825">
        <v>0</v>
      </c>
      <c r="G78" s="775">
        <v>0</v>
      </c>
      <c r="H78" s="775">
        <v>0</v>
      </c>
    </row>
    <row r="79" spans="1:8">
      <c r="A79" s="775">
        <v>500</v>
      </c>
      <c r="B79" s="775" t="s">
        <v>576</v>
      </c>
      <c r="C79" s="825">
        <v>6196</v>
      </c>
      <c r="D79" s="825" t="s">
        <v>318</v>
      </c>
      <c r="E79" s="825">
        <v>1531.56</v>
      </c>
      <c r="F79" s="825">
        <v>0</v>
      </c>
      <c r="G79" s="775">
        <v>0</v>
      </c>
      <c r="H79" s="775">
        <v>0</v>
      </c>
    </row>
    <row r="80" spans="1:8">
      <c r="A80" s="775">
        <v>500</v>
      </c>
      <c r="B80" s="775" t="s">
        <v>576</v>
      </c>
      <c r="C80" s="825">
        <v>6210</v>
      </c>
      <c r="D80" s="825" t="s">
        <v>200</v>
      </c>
      <c r="E80" s="825">
        <v>7.66</v>
      </c>
      <c r="F80" s="825">
        <v>0</v>
      </c>
      <c r="G80" s="775">
        <v>0</v>
      </c>
      <c r="H80" s="775">
        <v>0</v>
      </c>
    </row>
    <row r="81" spans="1:8">
      <c r="A81" s="775">
        <v>500</v>
      </c>
      <c r="B81" s="775" t="s">
        <v>576</v>
      </c>
      <c r="C81" s="825">
        <v>6213</v>
      </c>
      <c r="D81" s="825" t="s">
        <v>173</v>
      </c>
      <c r="E81" s="825">
        <v>0</v>
      </c>
      <c r="F81" s="825">
        <v>119.66</v>
      </c>
      <c r="G81" s="775">
        <v>0</v>
      </c>
      <c r="H81" s="775">
        <v>0</v>
      </c>
    </row>
    <row r="82" spans="1:8">
      <c r="A82" s="775">
        <v>500</v>
      </c>
      <c r="B82" s="775" t="s">
        <v>576</v>
      </c>
      <c r="C82" s="825">
        <v>6221</v>
      </c>
      <c r="D82" s="825" t="s">
        <v>231</v>
      </c>
      <c r="E82" s="825">
        <v>339.81</v>
      </c>
      <c r="F82" s="825">
        <v>0</v>
      </c>
      <c r="G82" s="775">
        <v>0</v>
      </c>
      <c r="H82" s="775">
        <v>0</v>
      </c>
    </row>
    <row r="83" spans="1:8">
      <c r="A83" s="775">
        <v>500</v>
      </c>
      <c r="B83" s="775" t="s">
        <v>576</v>
      </c>
      <c r="C83" s="825">
        <v>6225</v>
      </c>
      <c r="D83" s="825" t="s">
        <v>95</v>
      </c>
      <c r="E83" s="825">
        <v>1340.11</v>
      </c>
      <c r="F83" s="825">
        <v>0</v>
      </c>
      <c r="G83" s="775">
        <v>0</v>
      </c>
      <c r="H83" s="775">
        <v>0</v>
      </c>
    </row>
    <row r="84" spans="1:8">
      <c r="A84" s="775">
        <v>500</v>
      </c>
      <c r="B84" s="775" t="s">
        <v>576</v>
      </c>
      <c r="C84" s="825">
        <v>6233</v>
      </c>
      <c r="D84" s="825" t="s">
        <v>243</v>
      </c>
      <c r="E84" s="825">
        <v>47.86</v>
      </c>
      <c r="F84" s="825">
        <v>0</v>
      </c>
      <c r="G84" s="775">
        <v>0</v>
      </c>
      <c r="H84" s="775">
        <v>0</v>
      </c>
    </row>
    <row r="85" spans="1:8">
      <c r="A85" s="775">
        <v>500</v>
      </c>
      <c r="B85" s="775" t="s">
        <v>576</v>
      </c>
      <c r="C85" s="825">
        <v>6243</v>
      </c>
      <c r="D85" s="825" t="s">
        <v>325</v>
      </c>
      <c r="E85" s="825">
        <v>287.17</v>
      </c>
      <c r="F85" s="825">
        <v>0</v>
      </c>
      <c r="G85" s="775">
        <v>0</v>
      </c>
      <c r="H85" s="775">
        <v>0</v>
      </c>
    </row>
    <row r="86" spans="1:8">
      <c r="A86" s="775">
        <v>500</v>
      </c>
      <c r="B86" s="775" t="s">
        <v>576</v>
      </c>
      <c r="C86" s="825">
        <v>6247</v>
      </c>
      <c r="D86" s="825" t="s">
        <v>209</v>
      </c>
      <c r="E86" s="825">
        <v>239.31</v>
      </c>
      <c r="F86" s="825">
        <v>0</v>
      </c>
      <c r="G86" s="775">
        <v>0</v>
      </c>
      <c r="H86" s="775">
        <v>0</v>
      </c>
    </row>
    <row r="87" spans="1:8">
      <c r="A87" s="775">
        <v>500</v>
      </c>
      <c r="B87" s="775" t="s">
        <v>576</v>
      </c>
      <c r="C87" s="825">
        <v>6285</v>
      </c>
      <c r="D87" s="825" t="s">
        <v>138</v>
      </c>
      <c r="E87" s="825">
        <v>0</v>
      </c>
      <c r="F87" s="825">
        <v>191.44</v>
      </c>
      <c r="G87" s="775">
        <v>0</v>
      </c>
      <c r="H87" s="775">
        <v>0</v>
      </c>
    </row>
    <row r="88" spans="1:8">
      <c r="A88" s="775">
        <v>500</v>
      </c>
      <c r="B88" s="775" t="s">
        <v>576</v>
      </c>
      <c r="C88" s="825">
        <v>6290</v>
      </c>
      <c r="D88" s="825" t="s">
        <v>185</v>
      </c>
      <c r="E88" s="825">
        <v>0</v>
      </c>
      <c r="F88" s="825">
        <v>287.17</v>
      </c>
      <c r="G88" s="775">
        <v>0</v>
      </c>
      <c r="H88" s="775">
        <v>0</v>
      </c>
    </row>
    <row r="89" spans="1:8">
      <c r="A89" s="775">
        <v>500</v>
      </c>
      <c r="B89" s="775" t="s">
        <v>576</v>
      </c>
      <c r="C89" s="825">
        <v>6336</v>
      </c>
      <c r="D89" s="825" t="s">
        <v>406</v>
      </c>
      <c r="E89" s="825">
        <v>423.09</v>
      </c>
      <c r="F89" s="825">
        <v>180.92</v>
      </c>
      <c r="G89" s="775">
        <v>0</v>
      </c>
      <c r="H89" s="775">
        <v>0</v>
      </c>
    </row>
    <row r="90" spans="1:8">
      <c r="A90" s="775">
        <v>500</v>
      </c>
      <c r="B90" s="775" t="s">
        <v>576</v>
      </c>
      <c r="C90" s="825">
        <v>6340</v>
      </c>
      <c r="D90" s="825" t="s">
        <v>414</v>
      </c>
      <c r="E90" s="825">
        <v>657.61</v>
      </c>
      <c r="F90" s="825">
        <v>282.38</v>
      </c>
      <c r="G90" s="775">
        <v>0</v>
      </c>
      <c r="H90" s="775">
        <v>0</v>
      </c>
    </row>
    <row r="91" spans="1:8">
      <c r="A91" s="775">
        <v>500</v>
      </c>
      <c r="B91" s="775" t="s">
        <v>576</v>
      </c>
      <c r="C91" s="825">
        <v>6343</v>
      </c>
      <c r="D91" s="825" t="s">
        <v>438</v>
      </c>
      <c r="E91" s="825">
        <v>95.72</v>
      </c>
      <c r="F91" s="825">
        <v>0</v>
      </c>
      <c r="G91" s="775">
        <v>0</v>
      </c>
      <c r="H91" s="775">
        <v>0</v>
      </c>
    </row>
    <row r="92" spans="1:8">
      <c r="A92" s="775">
        <v>500</v>
      </c>
      <c r="B92" s="775" t="s">
        <v>576</v>
      </c>
      <c r="C92" s="825">
        <v>6345</v>
      </c>
      <c r="D92" s="825" t="s">
        <v>91</v>
      </c>
      <c r="E92" s="825">
        <v>382.89</v>
      </c>
      <c r="F92" s="825">
        <v>0</v>
      </c>
      <c r="G92" s="775">
        <v>0</v>
      </c>
      <c r="H92" s="775">
        <v>0</v>
      </c>
    </row>
    <row r="93" spans="1:8">
      <c r="A93" s="775">
        <v>500</v>
      </c>
      <c r="B93" s="775" t="s">
        <v>576</v>
      </c>
      <c r="C93" s="825">
        <v>6347</v>
      </c>
      <c r="D93" s="825" t="s">
        <v>144</v>
      </c>
      <c r="E93" s="825">
        <v>0</v>
      </c>
      <c r="F93" s="825">
        <v>86.15</v>
      </c>
      <c r="G93" s="775">
        <v>0</v>
      </c>
      <c r="H93" s="775">
        <v>0</v>
      </c>
    </row>
    <row r="94" spans="1:8">
      <c r="A94" s="775">
        <v>500</v>
      </c>
      <c r="B94" s="775" t="s">
        <v>576</v>
      </c>
      <c r="C94" s="825">
        <v>6379</v>
      </c>
      <c r="D94" s="825" t="s">
        <v>204</v>
      </c>
      <c r="E94" s="825">
        <v>1435.83</v>
      </c>
      <c r="F94" s="825">
        <v>0</v>
      </c>
      <c r="G94" s="775">
        <v>0</v>
      </c>
      <c r="H94" s="775">
        <v>0</v>
      </c>
    </row>
    <row r="95" spans="1:8">
      <c r="A95" s="775">
        <v>500</v>
      </c>
      <c r="B95" s="775" t="s">
        <v>576</v>
      </c>
      <c r="C95" s="825">
        <v>6391</v>
      </c>
      <c r="D95" s="825" t="s">
        <v>278</v>
      </c>
      <c r="E95" s="825">
        <v>478.61</v>
      </c>
      <c r="F95" s="825">
        <v>0</v>
      </c>
      <c r="G95" s="775">
        <v>0</v>
      </c>
      <c r="H95" s="775">
        <v>0</v>
      </c>
    </row>
    <row r="96" spans="1:8">
      <c r="A96" s="775">
        <v>500</v>
      </c>
      <c r="B96" s="775" t="s">
        <v>576</v>
      </c>
      <c r="C96" s="825">
        <v>6394</v>
      </c>
      <c r="D96" s="825" t="s">
        <v>285</v>
      </c>
      <c r="E96" s="825">
        <v>574.33000000000004</v>
      </c>
      <c r="F96" s="825">
        <v>0</v>
      </c>
      <c r="G96" s="775">
        <v>0</v>
      </c>
      <c r="H96" s="775">
        <v>0</v>
      </c>
    </row>
    <row r="97" spans="1:8">
      <c r="A97" s="775">
        <v>500</v>
      </c>
      <c r="B97" s="775" t="s">
        <v>576</v>
      </c>
      <c r="C97" s="825">
        <v>6395</v>
      </c>
      <c r="D97" s="825" t="s">
        <v>286</v>
      </c>
      <c r="E97" s="825">
        <v>574.33000000000004</v>
      </c>
      <c r="F97" s="825">
        <v>0</v>
      </c>
      <c r="G97" s="775">
        <v>0</v>
      </c>
      <c r="H97" s="775">
        <v>0</v>
      </c>
    </row>
    <row r="98" spans="1:8">
      <c r="A98" s="775">
        <v>500</v>
      </c>
      <c r="B98" s="775" t="s">
        <v>576</v>
      </c>
      <c r="C98" s="825">
        <v>6400</v>
      </c>
      <c r="D98" s="825" t="s">
        <v>287</v>
      </c>
      <c r="E98" s="825">
        <v>76.58</v>
      </c>
      <c r="F98" s="825">
        <v>0</v>
      </c>
      <c r="G98" s="775">
        <v>0</v>
      </c>
      <c r="H98" s="775">
        <v>0</v>
      </c>
    </row>
    <row r="99" spans="1:8">
      <c r="A99" s="775">
        <v>500</v>
      </c>
      <c r="B99" s="775" t="s">
        <v>576</v>
      </c>
      <c r="C99" s="825">
        <v>6401</v>
      </c>
      <c r="D99" s="825" t="s">
        <v>289</v>
      </c>
      <c r="E99" s="825">
        <v>191.44</v>
      </c>
      <c r="F99" s="825">
        <v>0</v>
      </c>
      <c r="G99" s="775">
        <v>0</v>
      </c>
      <c r="H99" s="775">
        <v>0</v>
      </c>
    </row>
    <row r="100" spans="1:8">
      <c r="A100" s="775">
        <v>500</v>
      </c>
      <c r="B100" s="775" t="s">
        <v>576</v>
      </c>
      <c r="C100" s="825">
        <v>6405</v>
      </c>
      <c r="D100" s="825" t="s">
        <v>244</v>
      </c>
      <c r="E100" s="825">
        <v>143.58000000000001</v>
      </c>
      <c r="F100" s="825">
        <v>0</v>
      </c>
      <c r="G100" s="775">
        <v>0</v>
      </c>
      <c r="H100" s="775">
        <v>0</v>
      </c>
    </row>
    <row r="101" spans="1:8">
      <c r="A101" s="775">
        <v>500</v>
      </c>
      <c r="B101" s="775" t="s">
        <v>576</v>
      </c>
      <c r="C101" s="825">
        <v>6412</v>
      </c>
      <c r="D101" s="825" t="s">
        <v>215</v>
      </c>
      <c r="E101" s="825">
        <v>26.8</v>
      </c>
      <c r="F101" s="825">
        <v>0</v>
      </c>
      <c r="G101" s="775">
        <v>0</v>
      </c>
      <c r="H101" s="775">
        <v>0</v>
      </c>
    </row>
    <row r="102" spans="1:8">
      <c r="A102" s="775">
        <v>500</v>
      </c>
      <c r="B102" s="775" t="s">
        <v>576</v>
      </c>
      <c r="C102" s="825">
        <v>6416</v>
      </c>
      <c r="D102" s="825" t="s">
        <v>254</v>
      </c>
      <c r="E102" s="825">
        <v>143.58000000000001</v>
      </c>
      <c r="F102" s="825">
        <v>0</v>
      </c>
      <c r="G102" s="775">
        <v>0</v>
      </c>
      <c r="H102" s="775">
        <v>0</v>
      </c>
    </row>
    <row r="103" spans="1:8">
      <c r="A103" s="775">
        <v>500</v>
      </c>
      <c r="B103" s="775" t="s">
        <v>576</v>
      </c>
      <c r="C103" s="825">
        <v>6421</v>
      </c>
      <c r="D103" s="825" t="s">
        <v>261</v>
      </c>
      <c r="E103" s="825">
        <v>478.61</v>
      </c>
      <c r="F103" s="825">
        <v>0</v>
      </c>
      <c r="G103" s="775">
        <v>0</v>
      </c>
      <c r="H103" s="775">
        <v>0</v>
      </c>
    </row>
    <row r="104" spans="1:8">
      <c r="A104" s="775">
        <v>500</v>
      </c>
      <c r="B104" s="775" t="s">
        <v>576</v>
      </c>
      <c r="C104" s="825">
        <v>6425</v>
      </c>
      <c r="D104" s="825" t="s">
        <v>324</v>
      </c>
      <c r="E104" s="825">
        <v>430.75</v>
      </c>
      <c r="F104" s="825">
        <v>0</v>
      </c>
      <c r="G104" s="775">
        <v>0</v>
      </c>
      <c r="H104" s="775">
        <v>0</v>
      </c>
    </row>
    <row r="105" spans="1:8">
      <c r="A105" s="775">
        <v>500</v>
      </c>
      <c r="B105" s="775" t="s">
        <v>576</v>
      </c>
      <c r="C105" s="825">
        <v>6431</v>
      </c>
      <c r="D105" s="825" t="s">
        <v>303</v>
      </c>
      <c r="E105" s="825">
        <v>47.86</v>
      </c>
      <c r="F105" s="825">
        <v>0</v>
      </c>
      <c r="G105" s="775">
        <v>0</v>
      </c>
      <c r="H105" s="775">
        <v>0</v>
      </c>
    </row>
    <row r="106" spans="1:8">
      <c r="A106" s="775">
        <v>500</v>
      </c>
      <c r="B106" s="775" t="s">
        <v>576</v>
      </c>
      <c r="C106" s="825">
        <v>6462</v>
      </c>
      <c r="D106" s="825" t="s">
        <v>252</v>
      </c>
      <c r="E106" s="825">
        <v>57.44</v>
      </c>
      <c r="F106" s="825">
        <v>0</v>
      </c>
      <c r="G106" s="775">
        <v>0</v>
      </c>
      <c r="H106" s="775">
        <v>0</v>
      </c>
    </row>
    <row r="107" spans="1:8">
      <c r="A107" s="775">
        <v>500</v>
      </c>
      <c r="B107" s="775" t="s">
        <v>576</v>
      </c>
      <c r="C107" s="825">
        <v>6469</v>
      </c>
      <c r="D107" s="825" t="s">
        <v>212</v>
      </c>
      <c r="E107" s="825">
        <v>201.02</v>
      </c>
      <c r="F107" s="825">
        <v>86.15</v>
      </c>
      <c r="G107" s="775">
        <v>0</v>
      </c>
      <c r="H107" s="775">
        <v>0</v>
      </c>
    </row>
    <row r="108" spans="1:8">
      <c r="A108" s="775">
        <v>500</v>
      </c>
      <c r="B108" s="775" t="s">
        <v>576</v>
      </c>
      <c r="C108" s="825">
        <v>6472</v>
      </c>
      <c r="D108" s="825" t="s">
        <v>309</v>
      </c>
      <c r="E108" s="825">
        <v>19.14</v>
      </c>
      <c r="F108" s="825">
        <v>0</v>
      </c>
      <c r="G108" s="775">
        <v>0</v>
      </c>
      <c r="H108" s="775">
        <v>0</v>
      </c>
    </row>
    <row r="109" spans="1:8">
      <c r="A109" s="775">
        <v>500</v>
      </c>
      <c r="B109" s="775" t="s">
        <v>576</v>
      </c>
      <c r="C109" s="825">
        <v>6482</v>
      </c>
      <c r="D109" s="825" t="s">
        <v>448</v>
      </c>
      <c r="E109" s="825">
        <v>47.86</v>
      </c>
      <c r="F109" s="825">
        <v>0</v>
      </c>
      <c r="G109" s="775">
        <v>0</v>
      </c>
      <c r="H109" s="775">
        <v>0</v>
      </c>
    </row>
    <row r="110" spans="1:8">
      <c r="A110" s="775">
        <v>500</v>
      </c>
      <c r="B110" s="775" t="s">
        <v>576</v>
      </c>
      <c r="C110" s="825">
        <v>6525</v>
      </c>
      <c r="D110" s="825" t="s">
        <v>410</v>
      </c>
      <c r="E110" s="825">
        <v>32.549999999999997</v>
      </c>
      <c r="F110" s="825">
        <v>14.36</v>
      </c>
      <c r="G110" s="775">
        <v>0</v>
      </c>
      <c r="H110" s="775">
        <v>0</v>
      </c>
    </row>
    <row r="111" spans="1:8">
      <c r="A111" s="775">
        <v>500</v>
      </c>
      <c r="B111" s="775" t="s">
        <v>576</v>
      </c>
      <c r="C111" s="825">
        <v>6530</v>
      </c>
      <c r="D111" s="825" t="s">
        <v>405</v>
      </c>
      <c r="E111" s="825">
        <v>87.11</v>
      </c>
      <c r="F111" s="825">
        <v>37.33</v>
      </c>
      <c r="G111" s="775">
        <v>0</v>
      </c>
      <c r="H111" s="775">
        <v>0</v>
      </c>
    </row>
    <row r="112" spans="1:8">
      <c r="A112" s="775">
        <v>500</v>
      </c>
      <c r="B112" s="775" t="s">
        <v>576</v>
      </c>
      <c r="C112" s="825">
        <v>6538</v>
      </c>
      <c r="D112" s="825" t="s">
        <v>139</v>
      </c>
      <c r="E112" s="825">
        <v>0</v>
      </c>
      <c r="F112" s="825">
        <v>191.44</v>
      </c>
      <c r="G112" s="775">
        <v>0</v>
      </c>
      <c r="H112" s="775">
        <v>0</v>
      </c>
    </row>
    <row r="113" spans="1:8">
      <c r="A113" s="775">
        <v>500</v>
      </c>
      <c r="B113" s="775" t="s">
        <v>576</v>
      </c>
      <c r="C113" s="825">
        <v>6574</v>
      </c>
      <c r="D113" s="825" t="s">
        <v>267</v>
      </c>
      <c r="E113" s="825">
        <v>191.44</v>
      </c>
      <c r="F113" s="825">
        <v>0</v>
      </c>
      <c r="G113" s="775">
        <v>0</v>
      </c>
      <c r="H113" s="775">
        <v>0</v>
      </c>
    </row>
    <row r="114" spans="1:8">
      <c r="A114" s="775">
        <v>500</v>
      </c>
      <c r="B114" s="775" t="s">
        <v>576</v>
      </c>
      <c r="C114" s="825">
        <v>6583</v>
      </c>
      <c r="D114" s="825" t="s">
        <v>274</v>
      </c>
      <c r="E114" s="825">
        <v>478.61</v>
      </c>
      <c r="F114" s="825">
        <v>0</v>
      </c>
      <c r="G114" s="775">
        <v>0</v>
      </c>
      <c r="H114" s="775">
        <v>0</v>
      </c>
    </row>
    <row r="115" spans="1:8">
      <c r="A115" s="775">
        <v>500</v>
      </c>
      <c r="B115" s="775" t="s">
        <v>576</v>
      </c>
      <c r="C115" s="825">
        <v>6596</v>
      </c>
      <c r="D115" s="825" t="s">
        <v>336</v>
      </c>
      <c r="E115" s="825">
        <v>1435.83</v>
      </c>
      <c r="F115" s="825">
        <v>0</v>
      </c>
      <c r="G115" s="775">
        <v>0</v>
      </c>
      <c r="H115" s="775">
        <v>0</v>
      </c>
    </row>
    <row r="116" spans="1:8">
      <c r="A116" s="775">
        <v>500</v>
      </c>
      <c r="B116" s="775" t="s">
        <v>576</v>
      </c>
      <c r="C116" s="825">
        <v>6615</v>
      </c>
      <c r="D116" s="825" t="s">
        <v>460</v>
      </c>
      <c r="E116" s="825">
        <v>87.11</v>
      </c>
      <c r="F116" s="825">
        <v>37.33</v>
      </c>
      <c r="G116" s="775">
        <v>0</v>
      </c>
      <c r="H116" s="775">
        <v>0</v>
      </c>
    </row>
    <row r="117" spans="1:8">
      <c r="A117" s="775">
        <v>500</v>
      </c>
      <c r="B117" s="775" t="s">
        <v>576</v>
      </c>
      <c r="C117" s="825">
        <v>6641</v>
      </c>
      <c r="D117" s="825" t="s">
        <v>900</v>
      </c>
      <c r="E117" s="825">
        <v>32.549999999999997</v>
      </c>
      <c r="F117" s="825">
        <v>0</v>
      </c>
      <c r="G117" s="775">
        <v>0</v>
      </c>
      <c r="H117" s="775">
        <v>0</v>
      </c>
    </row>
    <row r="118" spans="1:8">
      <c r="A118" s="775">
        <v>500</v>
      </c>
      <c r="B118" s="775" t="s">
        <v>576</v>
      </c>
      <c r="C118" s="825">
        <v>6644</v>
      </c>
      <c r="D118" s="825" t="s">
        <v>938</v>
      </c>
      <c r="E118" s="825">
        <v>261.33</v>
      </c>
      <c r="F118" s="825">
        <v>0</v>
      </c>
      <c r="G118" s="775">
        <v>0</v>
      </c>
      <c r="H118" s="775">
        <v>0</v>
      </c>
    </row>
    <row r="119" spans="1:8">
      <c r="A119" s="775">
        <v>500</v>
      </c>
      <c r="B119" s="775" t="s">
        <v>576</v>
      </c>
      <c r="C119" s="825">
        <v>6712</v>
      </c>
      <c r="D119" s="825" t="s">
        <v>796</v>
      </c>
      <c r="E119" s="825">
        <v>665.45</v>
      </c>
      <c r="F119" s="825">
        <v>0</v>
      </c>
      <c r="G119" s="775">
        <v>0</v>
      </c>
      <c r="H119" s="775">
        <v>0</v>
      </c>
    </row>
    <row r="120" spans="1:8">
      <c r="A120" s="775">
        <v>500</v>
      </c>
      <c r="B120" s="775" t="s">
        <v>576</v>
      </c>
      <c r="C120" s="825">
        <v>6718</v>
      </c>
      <c r="D120" s="825" t="s">
        <v>800</v>
      </c>
      <c r="E120" s="825">
        <v>113</v>
      </c>
      <c r="F120" s="825">
        <v>0</v>
      </c>
      <c r="G120" s="775">
        <v>0</v>
      </c>
      <c r="H120" s="775">
        <v>0</v>
      </c>
    </row>
    <row r="121" spans="1:8">
      <c r="A121" s="775">
        <v>500</v>
      </c>
      <c r="B121" s="775" t="s">
        <v>576</v>
      </c>
      <c r="C121" s="825">
        <v>6723</v>
      </c>
      <c r="D121" s="825" t="s">
        <v>889</v>
      </c>
      <c r="E121" s="825">
        <v>533.62</v>
      </c>
      <c r="F121" s="825">
        <v>0</v>
      </c>
      <c r="G121" s="775">
        <v>0</v>
      </c>
      <c r="H121" s="775">
        <v>0</v>
      </c>
    </row>
    <row r="122" spans="1:8">
      <c r="A122" s="775">
        <v>500</v>
      </c>
      <c r="B122" s="775" t="s">
        <v>576</v>
      </c>
      <c r="C122" s="825">
        <v>6731</v>
      </c>
      <c r="D122" s="825" t="s">
        <v>779</v>
      </c>
      <c r="E122" s="825">
        <v>78.47</v>
      </c>
      <c r="F122" s="825">
        <v>0</v>
      </c>
      <c r="G122" s="775">
        <v>0</v>
      </c>
      <c r="H122" s="775">
        <v>0</v>
      </c>
    </row>
    <row r="123" spans="1:8">
      <c r="A123" s="775">
        <v>500</v>
      </c>
      <c r="B123" s="775" t="s">
        <v>576</v>
      </c>
      <c r="C123" s="825">
        <v>6733</v>
      </c>
      <c r="D123" s="825" t="s">
        <v>952</v>
      </c>
      <c r="E123" s="825">
        <v>141.25</v>
      </c>
      <c r="F123" s="825">
        <v>0</v>
      </c>
      <c r="G123" s="775">
        <v>0</v>
      </c>
      <c r="H123" s="775">
        <v>0</v>
      </c>
    </row>
    <row r="124" spans="1:8">
      <c r="A124" s="775">
        <v>500</v>
      </c>
      <c r="B124" s="775" t="s">
        <v>576</v>
      </c>
      <c r="C124" s="825">
        <v>6739</v>
      </c>
      <c r="D124" s="825" t="s">
        <v>898</v>
      </c>
      <c r="E124" s="825">
        <v>351.56</v>
      </c>
      <c r="F124" s="825">
        <v>150.66999999999999</v>
      </c>
      <c r="G124" s="775">
        <v>0</v>
      </c>
      <c r="H124" s="775">
        <v>0</v>
      </c>
    </row>
    <row r="125" spans="1:8">
      <c r="A125" s="775">
        <v>500</v>
      </c>
      <c r="B125" s="775" t="s">
        <v>576</v>
      </c>
      <c r="C125" s="825">
        <v>6743</v>
      </c>
      <c r="D125" s="825" t="s">
        <v>924</v>
      </c>
      <c r="E125" s="825">
        <v>285.64999999999998</v>
      </c>
      <c r="F125" s="825">
        <v>122.42</v>
      </c>
      <c r="G125" s="775">
        <v>0</v>
      </c>
      <c r="H125" s="775">
        <v>0</v>
      </c>
    </row>
    <row r="126" spans="1:8">
      <c r="A126" s="775">
        <v>500</v>
      </c>
      <c r="B126" s="775" t="s">
        <v>576</v>
      </c>
      <c r="C126" s="825">
        <v>6745</v>
      </c>
      <c r="D126" s="825" t="s">
        <v>787</v>
      </c>
      <c r="E126" s="825">
        <v>373.54</v>
      </c>
      <c r="F126" s="825">
        <v>160.08000000000001</v>
      </c>
      <c r="G126" s="775">
        <v>0</v>
      </c>
      <c r="H126" s="775">
        <v>0</v>
      </c>
    </row>
    <row r="127" spans="1:8">
      <c r="A127" s="775">
        <v>500</v>
      </c>
      <c r="B127" s="775" t="s">
        <v>576</v>
      </c>
      <c r="C127" s="825">
        <v>6747</v>
      </c>
      <c r="D127" s="825" t="s">
        <v>777</v>
      </c>
      <c r="E127" s="825">
        <v>56.5</v>
      </c>
      <c r="F127" s="825">
        <v>25.11</v>
      </c>
      <c r="G127" s="775">
        <v>0</v>
      </c>
      <c r="H127" s="775">
        <v>0</v>
      </c>
    </row>
    <row r="128" spans="1:8">
      <c r="A128" s="775">
        <v>500</v>
      </c>
      <c r="B128" s="775" t="s">
        <v>576</v>
      </c>
      <c r="C128" s="825">
        <v>6748</v>
      </c>
      <c r="D128" s="825" t="s">
        <v>821</v>
      </c>
      <c r="E128" s="825">
        <v>109.87</v>
      </c>
      <c r="F128" s="825">
        <v>47.08</v>
      </c>
      <c r="G128" s="775">
        <v>0</v>
      </c>
      <c r="H128" s="775">
        <v>0</v>
      </c>
    </row>
    <row r="129" spans="1:8">
      <c r="A129" s="775">
        <v>500</v>
      </c>
      <c r="B129" s="775" t="s">
        <v>576</v>
      </c>
      <c r="C129" s="825">
        <v>6765</v>
      </c>
      <c r="D129" s="825" t="s">
        <v>904</v>
      </c>
      <c r="E129" s="825">
        <v>0</v>
      </c>
      <c r="F129" s="825">
        <v>131.83000000000001</v>
      </c>
      <c r="G129" s="775">
        <v>0</v>
      </c>
      <c r="H129" s="775">
        <v>0</v>
      </c>
    </row>
    <row r="130" spans="1:8">
      <c r="A130" s="775">
        <v>500</v>
      </c>
      <c r="B130" s="775" t="s">
        <v>576</v>
      </c>
      <c r="C130" s="825">
        <v>6770</v>
      </c>
      <c r="D130" s="825" t="s">
        <v>832</v>
      </c>
      <c r="E130" s="825">
        <v>0</v>
      </c>
      <c r="F130" s="825">
        <v>6.28</v>
      </c>
      <c r="G130" s="775">
        <v>0</v>
      </c>
      <c r="H130" s="775">
        <v>0</v>
      </c>
    </row>
    <row r="131" spans="1:8">
      <c r="A131" s="775">
        <v>500</v>
      </c>
      <c r="B131" s="775" t="s">
        <v>576</v>
      </c>
      <c r="C131" s="825">
        <v>6774</v>
      </c>
      <c r="D131" s="825" t="s">
        <v>909</v>
      </c>
      <c r="E131" s="825">
        <v>0</v>
      </c>
      <c r="F131" s="825">
        <v>109.87</v>
      </c>
      <c r="G131" s="775">
        <v>0</v>
      </c>
      <c r="H131" s="775">
        <v>0</v>
      </c>
    </row>
    <row r="132" spans="1:8">
      <c r="A132" s="775">
        <v>500</v>
      </c>
      <c r="B132" s="775" t="s">
        <v>576</v>
      </c>
      <c r="C132" s="825">
        <v>6775</v>
      </c>
      <c r="D132" s="825" t="s">
        <v>792</v>
      </c>
      <c r="E132" s="825">
        <v>0</v>
      </c>
      <c r="F132" s="825">
        <v>156.94999999999999</v>
      </c>
      <c r="G132" s="775">
        <v>0</v>
      </c>
      <c r="H132" s="775">
        <v>0</v>
      </c>
    </row>
    <row r="133" spans="1:8">
      <c r="A133" s="775">
        <v>500</v>
      </c>
      <c r="B133" s="775" t="s">
        <v>576</v>
      </c>
      <c r="C133" s="825">
        <v>6783</v>
      </c>
      <c r="D133" s="825" t="s">
        <v>882</v>
      </c>
      <c r="E133" s="825">
        <v>0</v>
      </c>
      <c r="F133" s="825">
        <v>94.17</v>
      </c>
      <c r="G133" s="775">
        <v>0</v>
      </c>
      <c r="H133" s="775">
        <v>0</v>
      </c>
    </row>
    <row r="134" spans="1:8">
      <c r="A134" s="775">
        <v>500</v>
      </c>
      <c r="B134" s="775" t="s">
        <v>576</v>
      </c>
      <c r="C134" s="825">
        <v>6784</v>
      </c>
      <c r="D134" s="825" t="s">
        <v>943</v>
      </c>
      <c r="E134" s="825">
        <v>0</v>
      </c>
      <c r="F134" s="825">
        <v>94.17</v>
      </c>
      <c r="G134" s="775">
        <v>0</v>
      </c>
      <c r="H134" s="775">
        <v>0</v>
      </c>
    </row>
    <row r="135" spans="1:8">
      <c r="A135" s="775">
        <v>500</v>
      </c>
      <c r="B135" s="775" t="s">
        <v>576</v>
      </c>
      <c r="C135" s="825">
        <v>6788</v>
      </c>
      <c r="D135" s="825" t="s">
        <v>794</v>
      </c>
      <c r="E135" s="825">
        <v>0</v>
      </c>
      <c r="F135" s="825">
        <v>291.92</v>
      </c>
      <c r="G135" s="775">
        <v>0</v>
      </c>
      <c r="H135" s="775">
        <v>0</v>
      </c>
    </row>
    <row r="136" spans="1:8">
      <c r="A136" s="775">
        <v>500</v>
      </c>
      <c r="B136" s="775" t="s">
        <v>576</v>
      </c>
      <c r="C136" s="825">
        <v>6790</v>
      </c>
      <c r="D136" s="825" t="s">
        <v>835</v>
      </c>
      <c r="E136" s="825">
        <v>0</v>
      </c>
      <c r="F136" s="825">
        <v>247.97</v>
      </c>
      <c r="G136" s="775">
        <v>0</v>
      </c>
      <c r="H136" s="775">
        <v>0</v>
      </c>
    </row>
    <row r="137" spans="1:8">
      <c r="A137" s="775">
        <v>500</v>
      </c>
      <c r="B137" s="775" t="s">
        <v>576</v>
      </c>
      <c r="C137" s="825">
        <v>6802</v>
      </c>
      <c r="D137" s="825" t="s">
        <v>818</v>
      </c>
      <c r="E137" s="825">
        <v>0</v>
      </c>
      <c r="F137" s="825">
        <v>473.98</v>
      </c>
      <c r="G137" s="775">
        <v>0</v>
      </c>
      <c r="H137" s="775">
        <v>0</v>
      </c>
    </row>
    <row r="138" spans="1:8">
      <c r="A138" s="775">
        <v>500</v>
      </c>
      <c r="B138" s="775" t="s">
        <v>576</v>
      </c>
      <c r="C138" s="825">
        <v>6804</v>
      </c>
      <c r="D138" s="825" t="s">
        <v>810</v>
      </c>
      <c r="E138" s="825">
        <v>0</v>
      </c>
      <c r="F138" s="825">
        <v>627.79</v>
      </c>
      <c r="G138" s="775">
        <v>0</v>
      </c>
      <c r="H138" s="775">
        <v>0</v>
      </c>
    </row>
    <row r="139" spans="1:8">
      <c r="A139" s="775">
        <v>500</v>
      </c>
      <c r="B139" s="775" t="s">
        <v>576</v>
      </c>
      <c r="C139" s="825">
        <v>6809</v>
      </c>
      <c r="D139" s="825" t="s">
        <v>808</v>
      </c>
      <c r="E139" s="825">
        <v>56.5</v>
      </c>
      <c r="F139" s="825">
        <v>21.98</v>
      </c>
      <c r="G139" s="775">
        <v>0</v>
      </c>
      <c r="H139" s="775">
        <v>0</v>
      </c>
    </row>
    <row r="140" spans="1:8">
      <c r="A140" s="775">
        <v>500</v>
      </c>
      <c r="B140" s="775" t="s">
        <v>576</v>
      </c>
      <c r="C140" s="825">
        <v>6813</v>
      </c>
      <c r="D140" s="825" t="s">
        <v>878</v>
      </c>
      <c r="E140" s="825">
        <v>144.4</v>
      </c>
      <c r="F140" s="825">
        <v>59.64</v>
      </c>
      <c r="G140" s="775">
        <v>0</v>
      </c>
      <c r="H140" s="775">
        <v>0</v>
      </c>
    </row>
    <row r="141" spans="1:8">
      <c r="A141" s="775">
        <v>500</v>
      </c>
      <c r="B141" s="775" t="s">
        <v>576</v>
      </c>
      <c r="C141" s="825">
        <v>6834</v>
      </c>
      <c r="D141" s="825" t="s">
        <v>885</v>
      </c>
      <c r="E141" s="825">
        <v>87.89</v>
      </c>
      <c r="F141" s="825">
        <v>0</v>
      </c>
      <c r="G141" s="775">
        <v>0</v>
      </c>
      <c r="H141" s="775">
        <v>0</v>
      </c>
    </row>
    <row r="142" spans="1:8">
      <c r="A142" s="775">
        <v>500</v>
      </c>
      <c r="B142" s="775" t="s">
        <v>576</v>
      </c>
      <c r="C142" s="825">
        <v>6854</v>
      </c>
      <c r="D142" s="825" t="s">
        <v>919</v>
      </c>
      <c r="E142" s="825">
        <v>285.64999999999998</v>
      </c>
      <c r="F142" s="825">
        <v>122.42</v>
      </c>
      <c r="G142" s="775">
        <v>0</v>
      </c>
      <c r="H142" s="775">
        <v>0</v>
      </c>
    </row>
    <row r="143" spans="1:8">
      <c r="A143" s="775">
        <v>500</v>
      </c>
      <c r="B143" s="775" t="s">
        <v>576</v>
      </c>
      <c r="C143" s="825">
        <v>6858</v>
      </c>
      <c r="D143" s="825" t="s">
        <v>884</v>
      </c>
      <c r="E143" s="825">
        <v>0</v>
      </c>
      <c r="F143" s="825">
        <v>34.53</v>
      </c>
      <c r="G143" s="775">
        <v>0</v>
      </c>
      <c r="H143" s="775">
        <v>0</v>
      </c>
    </row>
    <row r="144" spans="1:8">
      <c r="A144" s="775">
        <v>500</v>
      </c>
      <c r="B144" s="775" t="s">
        <v>576</v>
      </c>
      <c r="C144" s="825">
        <v>6887</v>
      </c>
      <c r="D144" s="825" t="s">
        <v>112</v>
      </c>
      <c r="E144" s="825">
        <v>0</v>
      </c>
      <c r="F144" s="825">
        <v>1914.44</v>
      </c>
      <c r="G144" s="775">
        <v>0</v>
      </c>
      <c r="H144" s="775">
        <v>0</v>
      </c>
    </row>
    <row r="145" spans="1:8">
      <c r="A145" s="775">
        <v>500</v>
      </c>
      <c r="B145" s="775" t="s">
        <v>576</v>
      </c>
      <c r="C145" s="825">
        <v>6917</v>
      </c>
      <c r="D145" s="825" t="s">
        <v>385</v>
      </c>
      <c r="E145" s="825">
        <v>153.16</v>
      </c>
      <c r="F145" s="825">
        <v>65.09</v>
      </c>
      <c r="G145" s="775">
        <v>0</v>
      </c>
      <c r="H145" s="775">
        <v>0</v>
      </c>
    </row>
    <row r="146" spans="1:8">
      <c r="A146" s="775">
        <v>500</v>
      </c>
      <c r="B146" s="775" t="s">
        <v>576</v>
      </c>
      <c r="C146" s="825">
        <v>6926</v>
      </c>
      <c r="D146" s="825" t="s">
        <v>392</v>
      </c>
      <c r="E146" s="825">
        <v>562.84</v>
      </c>
      <c r="F146" s="825">
        <v>241.22</v>
      </c>
      <c r="G146" s="775">
        <v>0</v>
      </c>
      <c r="H146" s="775">
        <v>0</v>
      </c>
    </row>
    <row r="147" spans="1:8">
      <c r="A147" s="775">
        <v>500</v>
      </c>
      <c r="B147" s="775" t="s">
        <v>576</v>
      </c>
      <c r="C147" s="825">
        <v>6948</v>
      </c>
      <c r="D147" s="825" t="s">
        <v>377</v>
      </c>
      <c r="E147" s="825">
        <v>1360.22</v>
      </c>
      <c r="F147" s="825">
        <v>582.95000000000005</v>
      </c>
      <c r="G147" s="775">
        <v>0</v>
      </c>
      <c r="H147" s="775">
        <v>0</v>
      </c>
    </row>
    <row r="148" spans="1:8">
      <c r="A148" s="775">
        <v>500</v>
      </c>
      <c r="B148" s="775" t="s">
        <v>576</v>
      </c>
      <c r="C148" s="825">
        <v>6975</v>
      </c>
      <c r="D148" s="825" t="s">
        <v>370</v>
      </c>
      <c r="E148" s="825">
        <v>7.66</v>
      </c>
      <c r="F148" s="825">
        <v>3.83</v>
      </c>
      <c r="G148" s="775">
        <v>0</v>
      </c>
      <c r="H148" s="775">
        <v>0</v>
      </c>
    </row>
    <row r="149" spans="1:8">
      <c r="A149" s="775">
        <v>150</v>
      </c>
      <c r="B149" s="775" t="s">
        <v>579</v>
      </c>
      <c r="C149" s="825">
        <v>7141</v>
      </c>
      <c r="D149" s="825" t="s">
        <v>132</v>
      </c>
      <c r="E149" s="825">
        <v>0</v>
      </c>
      <c r="F149" s="825">
        <v>287.17</v>
      </c>
      <c r="G149" s="775">
        <v>0</v>
      </c>
      <c r="H149" s="775">
        <v>0</v>
      </c>
    </row>
    <row r="150" spans="1:8">
      <c r="A150" s="775">
        <v>500</v>
      </c>
      <c r="B150" s="775" t="s">
        <v>576</v>
      </c>
      <c r="C150" s="825">
        <v>7204</v>
      </c>
      <c r="D150" s="825" t="s">
        <v>176</v>
      </c>
      <c r="E150" s="825">
        <v>0</v>
      </c>
      <c r="F150" s="825">
        <v>71.8</v>
      </c>
      <c r="G150" s="775">
        <v>0</v>
      </c>
      <c r="H150" s="775">
        <v>0</v>
      </c>
    </row>
    <row r="151" spans="1:8">
      <c r="A151" s="775">
        <v>500</v>
      </c>
      <c r="B151" s="775" t="s">
        <v>576</v>
      </c>
      <c r="C151" s="825">
        <v>7295</v>
      </c>
      <c r="D151" s="825" t="s">
        <v>221</v>
      </c>
      <c r="E151" s="825">
        <v>5.75</v>
      </c>
      <c r="F151" s="825">
        <v>0</v>
      </c>
      <c r="G151" s="775">
        <v>0</v>
      </c>
      <c r="H151" s="775">
        <v>0</v>
      </c>
    </row>
    <row r="152" spans="1:8">
      <c r="A152" s="775">
        <v>500</v>
      </c>
      <c r="B152" s="775" t="s">
        <v>576</v>
      </c>
      <c r="C152" s="825">
        <v>7524</v>
      </c>
      <c r="D152" s="825" t="s">
        <v>367</v>
      </c>
      <c r="E152" s="825">
        <v>175.17</v>
      </c>
      <c r="F152" s="825">
        <v>75.62</v>
      </c>
      <c r="G152" s="775">
        <v>0</v>
      </c>
      <c r="H152" s="775">
        <v>0</v>
      </c>
    </row>
    <row r="153" spans="1:8">
      <c r="A153" s="775">
        <v>500</v>
      </c>
      <c r="B153" s="775" t="s">
        <v>576</v>
      </c>
      <c r="C153" s="825">
        <v>7531</v>
      </c>
      <c r="D153" s="825" t="s">
        <v>368</v>
      </c>
      <c r="E153" s="825">
        <v>439.36</v>
      </c>
      <c r="F153" s="825">
        <v>188.58</v>
      </c>
      <c r="G153" s="775">
        <v>0</v>
      </c>
      <c r="H153" s="775">
        <v>0</v>
      </c>
    </row>
    <row r="154" spans="1:8">
      <c r="A154" s="775">
        <v>500</v>
      </c>
      <c r="B154" s="775" t="s">
        <v>576</v>
      </c>
      <c r="C154" s="825">
        <v>7580</v>
      </c>
      <c r="D154" s="825" t="s">
        <v>387</v>
      </c>
      <c r="E154" s="825">
        <v>702.6</v>
      </c>
      <c r="F154" s="825">
        <v>300.56</v>
      </c>
      <c r="G154" s="775">
        <v>0</v>
      </c>
      <c r="H154" s="775">
        <v>0</v>
      </c>
    </row>
    <row r="155" spans="1:8">
      <c r="A155" s="775">
        <v>500</v>
      </c>
      <c r="B155" s="775" t="s">
        <v>576</v>
      </c>
      <c r="C155" s="825">
        <v>7886</v>
      </c>
      <c r="D155" s="825" t="s">
        <v>822</v>
      </c>
      <c r="E155" s="825">
        <v>62.78</v>
      </c>
      <c r="F155" s="825">
        <v>25.11</v>
      </c>
      <c r="G155" s="775">
        <v>0</v>
      </c>
      <c r="H155" s="775">
        <v>0</v>
      </c>
    </row>
    <row r="156" spans="1:8">
      <c r="A156" s="775">
        <v>500</v>
      </c>
      <c r="B156" s="775" t="s">
        <v>576</v>
      </c>
      <c r="C156" s="825">
        <v>92322</v>
      </c>
      <c r="D156" s="825" t="s">
        <v>846</v>
      </c>
      <c r="E156" s="825">
        <v>3.14</v>
      </c>
      <c r="F156" s="825">
        <v>0</v>
      </c>
      <c r="G156" s="775">
        <v>0</v>
      </c>
      <c r="H156" s="775">
        <v>0</v>
      </c>
    </row>
    <row r="157" spans="1:8">
      <c r="A157" s="775">
        <v>500</v>
      </c>
      <c r="B157" s="775" t="s">
        <v>576</v>
      </c>
      <c r="C157" s="825">
        <v>6056</v>
      </c>
      <c r="D157" s="825" t="s">
        <v>187</v>
      </c>
      <c r="E157" s="825">
        <v>0</v>
      </c>
      <c r="F157" s="825">
        <v>191.44</v>
      </c>
      <c r="G157" s="775">
        <v>0</v>
      </c>
      <c r="H157" s="775">
        <v>0</v>
      </c>
    </row>
    <row r="158" spans="1:8">
      <c r="A158" s="775">
        <v>500</v>
      </c>
      <c r="B158" s="775" t="s">
        <v>576</v>
      </c>
      <c r="C158" s="825">
        <v>6082</v>
      </c>
      <c r="D158" s="825" t="s">
        <v>320</v>
      </c>
      <c r="E158" s="825">
        <v>95.72</v>
      </c>
      <c r="F158" s="825">
        <v>0</v>
      </c>
      <c r="G158" s="775">
        <v>0</v>
      </c>
      <c r="H158" s="775">
        <v>0</v>
      </c>
    </row>
    <row r="159" spans="1:8">
      <c r="A159" s="775">
        <v>500</v>
      </c>
      <c r="B159" s="775" t="s">
        <v>576</v>
      </c>
      <c r="C159" s="825">
        <v>6092</v>
      </c>
      <c r="D159" s="825" t="s">
        <v>340</v>
      </c>
      <c r="E159" s="825">
        <v>765.78</v>
      </c>
      <c r="F159" s="825">
        <v>0</v>
      </c>
      <c r="G159" s="775">
        <v>0</v>
      </c>
      <c r="H159" s="775">
        <v>0</v>
      </c>
    </row>
    <row r="160" spans="1:8">
      <c r="A160" s="775">
        <v>500</v>
      </c>
      <c r="B160" s="775" t="s">
        <v>576</v>
      </c>
      <c r="C160" s="825">
        <v>6093</v>
      </c>
      <c r="D160" s="825" t="s">
        <v>341</v>
      </c>
      <c r="E160" s="825">
        <v>1052.94</v>
      </c>
      <c r="F160" s="825">
        <v>0</v>
      </c>
      <c r="G160" s="775">
        <v>0</v>
      </c>
      <c r="H160" s="775">
        <v>0</v>
      </c>
    </row>
    <row r="161" spans="1:8">
      <c r="A161" s="775">
        <v>500</v>
      </c>
      <c r="B161" s="775" t="s">
        <v>576</v>
      </c>
      <c r="C161" s="825">
        <v>6171</v>
      </c>
      <c r="D161" s="825" t="s">
        <v>354</v>
      </c>
      <c r="E161" s="825">
        <v>47.86</v>
      </c>
      <c r="F161" s="825">
        <v>0</v>
      </c>
      <c r="G161" s="775">
        <v>0</v>
      </c>
      <c r="H161" s="775">
        <v>0</v>
      </c>
    </row>
    <row r="162" spans="1:8">
      <c r="A162" s="775">
        <v>500</v>
      </c>
      <c r="B162" s="775" t="s">
        <v>576</v>
      </c>
      <c r="C162" s="825">
        <v>6226</v>
      </c>
      <c r="D162" s="825" t="s">
        <v>125</v>
      </c>
      <c r="E162" s="825">
        <v>0</v>
      </c>
      <c r="F162" s="825">
        <v>223.03</v>
      </c>
      <c r="G162" s="775">
        <v>0</v>
      </c>
      <c r="H162" s="775">
        <v>0</v>
      </c>
    </row>
    <row r="163" spans="1:8">
      <c r="A163" s="775">
        <v>500</v>
      </c>
      <c r="B163" s="775" t="s">
        <v>576</v>
      </c>
      <c r="C163" s="825">
        <v>6230</v>
      </c>
      <c r="D163" s="825" t="s">
        <v>180</v>
      </c>
      <c r="E163" s="825">
        <v>0</v>
      </c>
      <c r="F163" s="825">
        <v>287.17</v>
      </c>
      <c r="G163" s="775">
        <v>0</v>
      </c>
      <c r="H163" s="775">
        <v>0</v>
      </c>
    </row>
    <row r="164" spans="1:8">
      <c r="A164" s="775">
        <v>500</v>
      </c>
      <c r="B164" s="775" t="s">
        <v>576</v>
      </c>
      <c r="C164" s="825">
        <v>6244</v>
      </c>
      <c r="D164" s="825" t="s">
        <v>294</v>
      </c>
      <c r="E164" s="825">
        <v>19.14</v>
      </c>
      <c r="F164" s="825">
        <v>0</v>
      </c>
      <c r="G164" s="775">
        <v>0</v>
      </c>
      <c r="H164" s="775">
        <v>0</v>
      </c>
    </row>
    <row r="165" spans="1:8">
      <c r="A165" s="775">
        <v>500</v>
      </c>
      <c r="B165" s="775" t="s">
        <v>576</v>
      </c>
      <c r="C165" s="825">
        <v>6246</v>
      </c>
      <c r="D165" s="825" t="s">
        <v>350</v>
      </c>
      <c r="E165" s="825">
        <v>47.86</v>
      </c>
      <c r="F165" s="825">
        <v>0</v>
      </c>
      <c r="G165" s="775">
        <v>0</v>
      </c>
      <c r="H165" s="775">
        <v>0</v>
      </c>
    </row>
    <row r="166" spans="1:8">
      <c r="A166" s="775">
        <v>500</v>
      </c>
      <c r="B166" s="775" t="s">
        <v>576</v>
      </c>
      <c r="C166" s="825">
        <v>6249</v>
      </c>
      <c r="D166" s="825" t="s">
        <v>172</v>
      </c>
      <c r="E166" s="825">
        <v>0</v>
      </c>
      <c r="F166" s="825">
        <v>67</v>
      </c>
      <c r="G166" s="775">
        <v>0</v>
      </c>
      <c r="H166" s="775">
        <v>0</v>
      </c>
    </row>
    <row r="167" spans="1:8">
      <c r="A167" s="775">
        <v>500</v>
      </c>
      <c r="B167" s="775" t="s">
        <v>576</v>
      </c>
      <c r="C167" s="825">
        <v>6280</v>
      </c>
      <c r="D167" s="825" t="s">
        <v>123</v>
      </c>
      <c r="E167" s="825">
        <v>0</v>
      </c>
      <c r="F167" s="825">
        <v>95.72</v>
      </c>
      <c r="G167" s="775">
        <v>0</v>
      </c>
      <c r="H167" s="775">
        <v>0</v>
      </c>
    </row>
    <row r="168" spans="1:8">
      <c r="A168" s="775">
        <v>500</v>
      </c>
      <c r="B168" s="775" t="s">
        <v>576</v>
      </c>
      <c r="C168" s="825">
        <v>6284</v>
      </c>
      <c r="D168" s="825" t="s">
        <v>142</v>
      </c>
      <c r="E168" s="825">
        <v>0</v>
      </c>
      <c r="F168" s="825">
        <v>191.44</v>
      </c>
      <c r="G168" s="775">
        <v>0</v>
      </c>
      <c r="H168" s="775">
        <v>0</v>
      </c>
    </row>
    <row r="169" spans="1:8">
      <c r="A169" s="775">
        <v>500</v>
      </c>
      <c r="B169" s="775" t="s">
        <v>576</v>
      </c>
      <c r="C169" s="825">
        <v>6322</v>
      </c>
      <c r="D169" s="825" t="s">
        <v>225</v>
      </c>
      <c r="E169" s="825">
        <v>1194.6099999999999</v>
      </c>
      <c r="F169" s="825">
        <v>0</v>
      </c>
      <c r="G169" s="775">
        <v>0</v>
      </c>
      <c r="H169" s="775">
        <v>0</v>
      </c>
    </row>
    <row r="170" spans="1:8">
      <c r="A170" s="775">
        <v>500</v>
      </c>
      <c r="B170" s="775" t="s">
        <v>576</v>
      </c>
      <c r="C170" s="825">
        <v>6350</v>
      </c>
      <c r="D170" s="825" t="s">
        <v>149</v>
      </c>
      <c r="E170" s="825">
        <v>0</v>
      </c>
      <c r="F170" s="825">
        <v>28.72</v>
      </c>
      <c r="G170" s="775">
        <v>0</v>
      </c>
      <c r="H170" s="775">
        <v>0</v>
      </c>
    </row>
    <row r="171" spans="1:8">
      <c r="A171" s="775">
        <v>500</v>
      </c>
      <c r="B171" s="775" t="s">
        <v>576</v>
      </c>
      <c r="C171" s="825">
        <v>6354</v>
      </c>
      <c r="D171" s="825" t="s">
        <v>151</v>
      </c>
      <c r="E171" s="825">
        <v>0</v>
      </c>
      <c r="F171" s="825">
        <v>28.72</v>
      </c>
      <c r="G171" s="775">
        <v>0</v>
      </c>
      <c r="H171" s="775">
        <v>0</v>
      </c>
    </row>
    <row r="172" spans="1:8">
      <c r="A172" s="775">
        <v>500</v>
      </c>
      <c r="B172" s="775" t="s">
        <v>576</v>
      </c>
      <c r="C172" s="825">
        <v>6363</v>
      </c>
      <c r="D172" s="825" t="s">
        <v>99</v>
      </c>
      <c r="E172" s="825">
        <v>0</v>
      </c>
      <c r="F172" s="825">
        <v>4.78</v>
      </c>
      <c r="G172" s="775">
        <v>0</v>
      </c>
      <c r="H172" s="775">
        <v>0</v>
      </c>
    </row>
    <row r="173" spans="1:8">
      <c r="A173" s="775">
        <v>500</v>
      </c>
      <c r="B173" s="775" t="s">
        <v>576</v>
      </c>
      <c r="C173" s="825">
        <v>6364</v>
      </c>
      <c r="D173" s="825" t="s">
        <v>129</v>
      </c>
      <c r="E173" s="825">
        <v>0</v>
      </c>
      <c r="F173" s="825">
        <v>95.72</v>
      </c>
      <c r="G173" s="775">
        <v>0</v>
      </c>
      <c r="H173" s="775">
        <v>0</v>
      </c>
    </row>
    <row r="174" spans="1:8">
      <c r="A174" s="775">
        <v>500</v>
      </c>
      <c r="B174" s="775" t="s">
        <v>576</v>
      </c>
      <c r="C174" s="825">
        <v>6365</v>
      </c>
      <c r="D174" s="825" t="s">
        <v>122</v>
      </c>
      <c r="E174" s="825">
        <v>0</v>
      </c>
      <c r="F174" s="825">
        <v>95.72</v>
      </c>
      <c r="G174" s="775">
        <v>0</v>
      </c>
      <c r="H174" s="775">
        <v>0</v>
      </c>
    </row>
    <row r="175" spans="1:8">
      <c r="A175" s="775">
        <v>500</v>
      </c>
      <c r="B175" s="775" t="s">
        <v>576</v>
      </c>
      <c r="C175" s="825">
        <v>6366</v>
      </c>
      <c r="D175" s="825" t="s">
        <v>134</v>
      </c>
      <c r="E175" s="825">
        <v>0</v>
      </c>
      <c r="F175" s="825">
        <v>47.86</v>
      </c>
      <c r="G175" s="775">
        <v>0</v>
      </c>
      <c r="H175" s="775">
        <v>0</v>
      </c>
    </row>
    <row r="176" spans="1:8">
      <c r="A176" s="775">
        <v>500</v>
      </c>
      <c r="B176" s="775" t="s">
        <v>576</v>
      </c>
      <c r="C176" s="825">
        <v>6368</v>
      </c>
      <c r="D176" s="825" t="s">
        <v>135</v>
      </c>
      <c r="E176" s="825">
        <v>0</v>
      </c>
      <c r="F176" s="825">
        <v>191.44</v>
      </c>
      <c r="G176" s="775">
        <v>0</v>
      </c>
      <c r="H176" s="775">
        <v>0</v>
      </c>
    </row>
    <row r="177" spans="1:8">
      <c r="A177" s="775">
        <v>500</v>
      </c>
      <c r="B177" s="775" t="s">
        <v>576</v>
      </c>
      <c r="C177" s="825">
        <v>6388</v>
      </c>
      <c r="D177" s="825" t="s">
        <v>298</v>
      </c>
      <c r="E177" s="825">
        <v>191.44</v>
      </c>
      <c r="F177" s="825">
        <v>0</v>
      </c>
      <c r="G177" s="775">
        <v>0</v>
      </c>
      <c r="H177" s="775">
        <v>0</v>
      </c>
    </row>
    <row r="178" spans="1:8">
      <c r="A178" s="775">
        <v>500</v>
      </c>
      <c r="B178" s="775" t="s">
        <v>576</v>
      </c>
      <c r="C178" s="825">
        <v>6402</v>
      </c>
      <c r="D178" s="825" t="s">
        <v>259</v>
      </c>
      <c r="E178" s="825">
        <v>95.72</v>
      </c>
      <c r="F178" s="825">
        <v>0</v>
      </c>
      <c r="G178" s="775">
        <v>0</v>
      </c>
      <c r="H178" s="775">
        <v>0</v>
      </c>
    </row>
    <row r="179" spans="1:8">
      <c r="A179" s="775">
        <v>500</v>
      </c>
      <c r="B179" s="775" t="s">
        <v>576</v>
      </c>
      <c r="C179" s="825">
        <v>6424</v>
      </c>
      <c r="D179" s="825" t="s">
        <v>268</v>
      </c>
      <c r="E179" s="825">
        <v>191.44</v>
      </c>
      <c r="F179" s="825">
        <v>0</v>
      </c>
      <c r="G179" s="775">
        <v>0</v>
      </c>
      <c r="H179" s="775">
        <v>0</v>
      </c>
    </row>
    <row r="180" spans="1:8">
      <c r="A180" s="775">
        <v>500</v>
      </c>
      <c r="B180" s="775" t="s">
        <v>576</v>
      </c>
      <c r="C180" s="825">
        <v>6429</v>
      </c>
      <c r="D180" s="825" t="s">
        <v>300</v>
      </c>
      <c r="E180" s="825">
        <v>47.86</v>
      </c>
      <c r="F180" s="825">
        <v>0</v>
      </c>
      <c r="G180" s="775">
        <v>0</v>
      </c>
      <c r="H180" s="775">
        <v>0</v>
      </c>
    </row>
    <row r="181" spans="1:8">
      <c r="A181" s="775">
        <v>500</v>
      </c>
      <c r="B181" s="775" t="s">
        <v>576</v>
      </c>
      <c r="C181" s="825">
        <v>6430</v>
      </c>
      <c r="D181" s="825" t="s">
        <v>302</v>
      </c>
      <c r="E181" s="825">
        <v>47.86</v>
      </c>
      <c r="F181" s="825">
        <v>0</v>
      </c>
      <c r="G181" s="775">
        <v>0</v>
      </c>
      <c r="H181" s="775">
        <v>0</v>
      </c>
    </row>
    <row r="182" spans="1:8">
      <c r="A182" s="775">
        <v>500</v>
      </c>
      <c r="B182" s="775" t="s">
        <v>576</v>
      </c>
      <c r="C182" s="825">
        <v>6435</v>
      </c>
      <c r="D182" s="825" t="s">
        <v>425</v>
      </c>
      <c r="E182" s="825">
        <v>19.14</v>
      </c>
      <c r="F182" s="825">
        <v>0</v>
      </c>
      <c r="G182" s="775">
        <v>0</v>
      </c>
      <c r="H182" s="775">
        <v>0</v>
      </c>
    </row>
    <row r="183" spans="1:8">
      <c r="A183" s="775">
        <v>500</v>
      </c>
      <c r="B183" s="775" t="s">
        <v>576</v>
      </c>
      <c r="C183" s="825">
        <v>6451</v>
      </c>
      <c r="D183" s="825" t="s">
        <v>443</v>
      </c>
      <c r="E183" s="825">
        <v>89.98</v>
      </c>
      <c r="F183" s="825">
        <v>0</v>
      </c>
      <c r="G183" s="775">
        <v>0</v>
      </c>
      <c r="H183" s="775">
        <v>0</v>
      </c>
    </row>
    <row r="184" spans="1:8">
      <c r="A184" s="775">
        <v>500</v>
      </c>
      <c r="B184" s="775" t="s">
        <v>576</v>
      </c>
      <c r="C184" s="825">
        <v>6479</v>
      </c>
      <c r="D184" s="825" t="s">
        <v>375</v>
      </c>
      <c r="E184" s="825">
        <v>1005.08</v>
      </c>
      <c r="F184" s="825">
        <v>430.75</v>
      </c>
      <c r="G184" s="775">
        <v>0</v>
      </c>
      <c r="H184" s="775">
        <v>0</v>
      </c>
    </row>
    <row r="185" spans="1:8">
      <c r="A185" s="775">
        <v>500</v>
      </c>
      <c r="B185" s="775" t="s">
        <v>576</v>
      </c>
      <c r="C185" s="825">
        <v>6498</v>
      </c>
      <c r="D185" s="825" t="s">
        <v>418</v>
      </c>
      <c r="E185" s="825">
        <v>33.5</v>
      </c>
      <c r="F185" s="825">
        <v>14.36</v>
      </c>
      <c r="G185" s="775">
        <v>0</v>
      </c>
      <c r="H185" s="775">
        <v>0</v>
      </c>
    </row>
    <row r="186" spans="1:8">
      <c r="A186" s="775">
        <v>500</v>
      </c>
      <c r="B186" s="775" t="s">
        <v>576</v>
      </c>
      <c r="C186" s="825">
        <v>6516</v>
      </c>
      <c r="D186" s="825" t="s">
        <v>397</v>
      </c>
      <c r="E186" s="825">
        <v>469.03</v>
      </c>
      <c r="F186" s="825">
        <v>201.02</v>
      </c>
      <c r="G186" s="775">
        <v>0</v>
      </c>
      <c r="H186" s="775">
        <v>0</v>
      </c>
    </row>
    <row r="187" spans="1:8">
      <c r="A187" s="775">
        <v>500</v>
      </c>
      <c r="B187" s="775" t="s">
        <v>576</v>
      </c>
      <c r="C187" s="825">
        <v>6522</v>
      </c>
      <c r="D187" s="825" t="s">
        <v>401</v>
      </c>
      <c r="E187" s="825">
        <v>337.9</v>
      </c>
      <c r="F187" s="825">
        <v>144.54</v>
      </c>
      <c r="G187" s="775">
        <v>0</v>
      </c>
      <c r="H187" s="775">
        <v>0</v>
      </c>
    </row>
    <row r="188" spans="1:8">
      <c r="A188" s="775">
        <v>500</v>
      </c>
      <c r="B188" s="775" t="s">
        <v>576</v>
      </c>
      <c r="C188" s="825">
        <v>6537</v>
      </c>
      <c r="D188" s="825" t="s">
        <v>137</v>
      </c>
      <c r="E188" s="825">
        <v>0</v>
      </c>
      <c r="F188" s="825">
        <v>191.44</v>
      </c>
      <c r="G188" s="775">
        <v>0</v>
      </c>
      <c r="H188" s="775">
        <v>0</v>
      </c>
    </row>
    <row r="189" spans="1:8">
      <c r="A189" s="775">
        <v>500</v>
      </c>
      <c r="B189" s="775" t="s">
        <v>576</v>
      </c>
      <c r="C189" s="825">
        <v>6545</v>
      </c>
      <c r="D189" s="825" t="s">
        <v>456</v>
      </c>
      <c r="E189" s="825">
        <v>13.4</v>
      </c>
      <c r="F189" s="825">
        <v>5.75</v>
      </c>
      <c r="G189" s="775">
        <v>0</v>
      </c>
      <c r="H189" s="775">
        <v>0</v>
      </c>
    </row>
    <row r="190" spans="1:8">
      <c r="A190" s="775">
        <v>500</v>
      </c>
      <c r="B190" s="775" t="s">
        <v>576</v>
      </c>
      <c r="C190" s="825">
        <v>6575</v>
      </c>
      <c r="D190" s="825" t="s">
        <v>269</v>
      </c>
      <c r="E190" s="825">
        <v>191.44</v>
      </c>
      <c r="F190" s="825">
        <v>0</v>
      </c>
      <c r="G190" s="775">
        <v>0</v>
      </c>
      <c r="H190" s="775">
        <v>0</v>
      </c>
    </row>
    <row r="191" spans="1:8">
      <c r="A191" s="775">
        <v>500</v>
      </c>
      <c r="B191" s="775" t="s">
        <v>576</v>
      </c>
      <c r="C191" s="825">
        <v>6584</v>
      </c>
      <c r="D191" s="825" t="s">
        <v>275</v>
      </c>
      <c r="E191" s="825">
        <v>478.61</v>
      </c>
      <c r="F191" s="825">
        <v>0</v>
      </c>
      <c r="G191" s="775">
        <v>0</v>
      </c>
      <c r="H191" s="775">
        <v>0</v>
      </c>
    </row>
    <row r="192" spans="1:8">
      <c r="A192" s="775">
        <v>500</v>
      </c>
      <c r="B192" s="775" t="s">
        <v>576</v>
      </c>
      <c r="C192" s="825">
        <v>6586</v>
      </c>
      <c r="D192" s="825" t="s">
        <v>276</v>
      </c>
      <c r="E192" s="825">
        <v>478.61</v>
      </c>
      <c r="F192" s="825">
        <v>0</v>
      </c>
      <c r="G192" s="775">
        <v>0</v>
      </c>
      <c r="H192" s="775">
        <v>0</v>
      </c>
    </row>
    <row r="193" spans="1:8">
      <c r="A193" s="775">
        <v>500</v>
      </c>
      <c r="B193" s="775" t="s">
        <v>576</v>
      </c>
      <c r="C193" s="825">
        <v>6589</v>
      </c>
      <c r="D193" s="825" t="s">
        <v>288</v>
      </c>
      <c r="E193" s="825">
        <v>191.44</v>
      </c>
      <c r="F193" s="825">
        <v>0</v>
      </c>
      <c r="G193" s="775">
        <v>0</v>
      </c>
      <c r="H193" s="775">
        <v>0</v>
      </c>
    </row>
    <row r="194" spans="1:8">
      <c r="A194" s="775">
        <v>500</v>
      </c>
      <c r="B194" s="775" t="s">
        <v>576</v>
      </c>
      <c r="C194" s="825">
        <v>6595</v>
      </c>
      <c r="D194" s="825" t="s">
        <v>335</v>
      </c>
      <c r="E194" s="825">
        <v>1435.83</v>
      </c>
      <c r="F194" s="825">
        <v>0</v>
      </c>
      <c r="G194" s="775">
        <v>0</v>
      </c>
      <c r="H194" s="775">
        <v>0</v>
      </c>
    </row>
    <row r="195" spans="1:8">
      <c r="A195" s="775">
        <v>500</v>
      </c>
      <c r="B195" s="775" t="s">
        <v>576</v>
      </c>
      <c r="C195" s="825">
        <v>6603</v>
      </c>
      <c r="D195" s="825" t="s">
        <v>348</v>
      </c>
      <c r="E195" s="825">
        <v>255.58</v>
      </c>
      <c r="F195" s="825">
        <v>0</v>
      </c>
      <c r="G195" s="775">
        <v>0</v>
      </c>
      <c r="H195" s="775">
        <v>0</v>
      </c>
    </row>
    <row r="196" spans="1:8">
      <c r="A196" s="775">
        <v>500</v>
      </c>
      <c r="B196" s="775" t="s">
        <v>576</v>
      </c>
      <c r="C196" s="825">
        <v>6611</v>
      </c>
      <c r="D196" s="825" t="s">
        <v>423</v>
      </c>
      <c r="E196" s="825">
        <v>670.06</v>
      </c>
      <c r="F196" s="825">
        <v>287.17</v>
      </c>
      <c r="G196" s="775">
        <v>0</v>
      </c>
      <c r="H196" s="775">
        <v>0</v>
      </c>
    </row>
    <row r="197" spans="1:8">
      <c r="A197" s="775">
        <v>500</v>
      </c>
      <c r="B197" s="775" t="s">
        <v>576</v>
      </c>
      <c r="C197" s="825">
        <v>6653</v>
      </c>
      <c r="D197" s="825" t="s">
        <v>211</v>
      </c>
      <c r="E197" s="825">
        <v>100.51</v>
      </c>
      <c r="F197" s="825">
        <v>43.08</v>
      </c>
      <c r="G197" s="775">
        <v>0</v>
      </c>
      <c r="H197" s="775">
        <v>0</v>
      </c>
    </row>
    <row r="198" spans="1:8">
      <c r="A198" s="775">
        <v>500</v>
      </c>
      <c r="B198" s="775" t="s">
        <v>576</v>
      </c>
      <c r="C198" s="825">
        <v>6656</v>
      </c>
      <c r="D198" s="825" t="s">
        <v>295</v>
      </c>
      <c r="E198" s="825">
        <v>478.61</v>
      </c>
      <c r="F198" s="825">
        <v>0</v>
      </c>
      <c r="G198" s="775">
        <v>0</v>
      </c>
      <c r="H198" s="775">
        <v>0</v>
      </c>
    </row>
    <row r="199" spans="1:8">
      <c r="A199" s="775">
        <v>500</v>
      </c>
      <c r="B199" s="775" t="s">
        <v>576</v>
      </c>
      <c r="C199" s="825">
        <v>6671</v>
      </c>
      <c r="D199" s="825" t="s">
        <v>89</v>
      </c>
      <c r="E199" s="825">
        <v>6317.67</v>
      </c>
      <c r="F199" s="825">
        <v>0</v>
      </c>
      <c r="G199" s="775">
        <v>0</v>
      </c>
      <c r="H199" s="775">
        <v>0</v>
      </c>
    </row>
    <row r="200" spans="1:8">
      <c r="A200" s="775">
        <v>150</v>
      </c>
      <c r="B200" s="775" t="s">
        <v>579</v>
      </c>
      <c r="C200" s="825">
        <v>6679</v>
      </c>
      <c r="D200" s="825" t="s">
        <v>920</v>
      </c>
      <c r="E200" s="825">
        <v>43.94</v>
      </c>
      <c r="F200" s="825">
        <v>18.829999999999998</v>
      </c>
      <c r="G200" s="775">
        <v>0</v>
      </c>
      <c r="H200" s="775">
        <v>0</v>
      </c>
    </row>
    <row r="201" spans="1:8">
      <c r="A201" s="775">
        <v>500</v>
      </c>
      <c r="B201" s="775" t="s">
        <v>576</v>
      </c>
      <c r="C201" s="825">
        <v>6683</v>
      </c>
      <c r="D201" s="825" t="s">
        <v>760</v>
      </c>
      <c r="E201" s="825">
        <v>150.66999999999999</v>
      </c>
      <c r="F201" s="825">
        <v>0</v>
      </c>
      <c r="G201" s="775">
        <v>0</v>
      </c>
      <c r="H201" s="775">
        <v>0</v>
      </c>
    </row>
    <row r="202" spans="1:8">
      <c r="A202" s="775">
        <v>500</v>
      </c>
      <c r="B202" s="775" t="s">
        <v>576</v>
      </c>
      <c r="C202" s="825">
        <v>6688</v>
      </c>
      <c r="D202" s="825" t="s">
        <v>895</v>
      </c>
      <c r="E202" s="825">
        <v>448.87</v>
      </c>
      <c r="F202" s="825">
        <v>0</v>
      </c>
      <c r="G202" s="775">
        <v>0</v>
      </c>
      <c r="H202" s="775">
        <v>0</v>
      </c>
    </row>
    <row r="203" spans="1:8">
      <c r="A203" s="775">
        <v>500</v>
      </c>
      <c r="B203" s="775" t="s">
        <v>576</v>
      </c>
      <c r="C203" s="825">
        <v>6690</v>
      </c>
      <c r="D203" s="825" t="s">
        <v>836</v>
      </c>
      <c r="E203" s="825">
        <v>125.55</v>
      </c>
      <c r="F203" s="825">
        <v>0</v>
      </c>
      <c r="G203" s="775">
        <v>0</v>
      </c>
      <c r="H203" s="775">
        <v>0</v>
      </c>
    </row>
    <row r="204" spans="1:8">
      <c r="A204" s="775">
        <v>500</v>
      </c>
      <c r="B204" s="775" t="s">
        <v>576</v>
      </c>
      <c r="C204" s="825">
        <v>6693</v>
      </c>
      <c r="D204" s="825" t="s">
        <v>912</v>
      </c>
      <c r="E204" s="825">
        <v>109.87</v>
      </c>
      <c r="F204" s="825">
        <v>0</v>
      </c>
      <c r="G204" s="775">
        <v>0</v>
      </c>
      <c r="H204" s="775">
        <v>0</v>
      </c>
    </row>
    <row r="205" spans="1:8">
      <c r="A205" s="775">
        <v>500</v>
      </c>
      <c r="B205" s="775" t="s">
        <v>576</v>
      </c>
      <c r="C205" s="825">
        <v>6695</v>
      </c>
      <c r="D205" s="825" t="s">
        <v>770</v>
      </c>
      <c r="E205" s="825">
        <v>784.74</v>
      </c>
      <c r="F205" s="825">
        <v>0</v>
      </c>
      <c r="G205" s="775">
        <v>0</v>
      </c>
      <c r="H205" s="775">
        <v>0</v>
      </c>
    </row>
    <row r="206" spans="1:8">
      <c r="A206" s="775">
        <v>500</v>
      </c>
      <c r="B206" s="775" t="s">
        <v>576</v>
      </c>
      <c r="C206" s="825">
        <v>6696</v>
      </c>
      <c r="D206" s="825" t="s">
        <v>774</v>
      </c>
      <c r="E206" s="825">
        <v>62.78</v>
      </c>
      <c r="F206" s="825">
        <v>0</v>
      </c>
      <c r="G206" s="775">
        <v>0</v>
      </c>
      <c r="H206" s="775">
        <v>0</v>
      </c>
    </row>
    <row r="207" spans="1:8">
      <c r="A207" s="775">
        <v>500</v>
      </c>
      <c r="B207" s="775" t="s">
        <v>576</v>
      </c>
      <c r="C207" s="825">
        <v>6699</v>
      </c>
      <c r="D207" s="825" t="s">
        <v>913</v>
      </c>
      <c r="E207" s="825">
        <v>354.71</v>
      </c>
      <c r="F207" s="825">
        <v>0</v>
      </c>
      <c r="G207" s="775">
        <v>0</v>
      </c>
      <c r="H207" s="775">
        <v>0</v>
      </c>
    </row>
    <row r="208" spans="1:8">
      <c r="A208" s="775">
        <v>500</v>
      </c>
      <c r="B208" s="775" t="s">
        <v>576</v>
      </c>
      <c r="C208" s="825">
        <v>6704</v>
      </c>
      <c r="D208" s="825" t="s">
        <v>949</v>
      </c>
      <c r="E208" s="825">
        <v>627.79</v>
      </c>
      <c r="F208" s="825">
        <v>0</v>
      </c>
      <c r="G208" s="775">
        <v>0</v>
      </c>
      <c r="H208" s="775">
        <v>0</v>
      </c>
    </row>
    <row r="209" spans="1:8">
      <c r="A209" s="775">
        <v>500</v>
      </c>
      <c r="B209" s="775" t="s">
        <v>576</v>
      </c>
      <c r="C209" s="825">
        <v>6709</v>
      </c>
      <c r="D209" s="825" t="s">
        <v>799</v>
      </c>
      <c r="E209" s="825">
        <v>401.79</v>
      </c>
      <c r="F209" s="825">
        <v>0</v>
      </c>
      <c r="G209" s="775">
        <v>0</v>
      </c>
      <c r="H209" s="775">
        <v>0</v>
      </c>
    </row>
    <row r="210" spans="1:8">
      <c r="A210" s="775">
        <v>500</v>
      </c>
      <c r="B210" s="775" t="s">
        <v>576</v>
      </c>
      <c r="C210" s="825">
        <v>6720</v>
      </c>
      <c r="D210" s="825" t="s">
        <v>863</v>
      </c>
      <c r="E210" s="825">
        <v>301.33999999999997</v>
      </c>
      <c r="F210" s="825">
        <v>0</v>
      </c>
      <c r="G210" s="775">
        <v>0</v>
      </c>
      <c r="H210" s="775">
        <v>0</v>
      </c>
    </row>
    <row r="211" spans="1:8">
      <c r="A211" s="775">
        <v>500</v>
      </c>
      <c r="B211" s="775" t="s">
        <v>576</v>
      </c>
      <c r="C211" s="825">
        <v>6726</v>
      </c>
      <c r="D211" s="825" t="s">
        <v>915</v>
      </c>
      <c r="E211" s="825">
        <v>662.32</v>
      </c>
      <c r="F211" s="825">
        <v>0</v>
      </c>
      <c r="G211" s="775">
        <v>0</v>
      </c>
      <c r="H211" s="775">
        <v>0</v>
      </c>
    </row>
    <row r="212" spans="1:8">
      <c r="A212" s="775">
        <v>500</v>
      </c>
      <c r="B212" s="775" t="s">
        <v>576</v>
      </c>
      <c r="C212" s="825">
        <v>6732</v>
      </c>
      <c r="D212" s="825" t="s">
        <v>807</v>
      </c>
      <c r="E212" s="825">
        <v>78.47</v>
      </c>
      <c r="F212" s="825">
        <v>0</v>
      </c>
      <c r="G212" s="775">
        <v>0</v>
      </c>
      <c r="H212" s="775">
        <v>0</v>
      </c>
    </row>
    <row r="213" spans="1:8">
      <c r="A213" s="775">
        <v>500</v>
      </c>
      <c r="B213" s="775" t="s">
        <v>576</v>
      </c>
      <c r="C213" s="825">
        <v>6741</v>
      </c>
      <c r="D213" s="825" t="s">
        <v>788</v>
      </c>
      <c r="E213" s="825">
        <v>3295.9</v>
      </c>
      <c r="F213" s="825">
        <v>1412.53</v>
      </c>
      <c r="G213" s="775">
        <v>0</v>
      </c>
      <c r="H213" s="775">
        <v>0</v>
      </c>
    </row>
    <row r="214" spans="1:8">
      <c r="A214" s="775">
        <v>500</v>
      </c>
      <c r="B214" s="775" t="s">
        <v>576</v>
      </c>
      <c r="C214" s="825">
        <v>6752</v>
      </c>
      <c r="D214" s="825" t="s">
        <v>842</v>
      </c>
      <c r="E214" s="825">
        <v>3076.18</v>
      </c>
      <c r="F214" s="825">
        <v>1318.36</v>
      </c>
      <c r="G214" s="775">
        <v>0</v>
      </c>
      <c r="H214" s="775">
        <v>0</v>
      </c>
    </row>
    <row r="215" spans="1:8">
      <c r="A215" s="775">
        <v>500</v>
      </c>
      <c r="B215" s="775" t="s">
        <v>576</v>
      </c>
      <c r="C215" s="825">
        <v>6787</v>
      </c>
      <c r="D215" s="825" t="s">
        <v>876</v>
      </c>
      <c r="E215" s="825">
        <v>0</v>
      </c>
      <c r="F215" s="825">
        <v>291.92</v>
      </c>
      <c r="G215" s="775">
        <v>0</v>
      </c>
      <c r="H215" s="775">
        <v>0</v>
      </c>
    </row>
    <row r="216" spans="1:8">
      <c r="A216" s="775">
        <v>500</v>
      </c>
      <c r="B216" s="775" t="s">
        <v>576</v>
      </c>
      <c r="C216" s="825">
        <v>6793</v>
      </c>
      <c r="D216" s="825" t="s">
        <v>793</v>
      </c>
      <c r="E216" s="825">
        <v>0</v>
      </c>
      <c r="F216" s="825">
        <v>247.97</v>
      </c>
      <c r="G216" s="775">
        <v>0</v>
      </c>
      <c r="H216" s="775">
        <v>0</v>
      </c>
    </row>
    <row r="217" spans="1:8">
      <c r="A217" s="775">
        <v>500</v>
      </c>
      <c r="B217" s="775" t="s">
        <v>576</v>
      </c>
      <c r="C217" s="825">
        <v>6798</v>
      </c>
      <c r="D217" s="825" t="s">
        <v>956</v>
      </c>
      <c r="E217" s="825">
        <v>0</v>
      </c>
      <c r="F217" s="825">
        <v>113</v>
      </c>
      <c r="G217" s="775">
        <v>0</v>
      </c>
      <c r="H217" s="775">
        <v>0</v>
      </c>
    </row>
    <row r="218" spans="1:8">
      <c r="A218" s="775">
        <v>500</v>
      </c>
      <c r="B218" s="775" t="s">
        <v>576</v>
      </c>
      <c r="C218" s="825">
        <v>6821</v>
      </c>
      <c r="D218" s="825" t="s">
        <v>851</v>
      </c>
      <c r="E218" s="825">
        <v>329.59</v>
      </c>
      <c r="F218" s="825">
        <v>141.25</v>
      </c>
      <c r="G218" s="775">
        <v>0</v>
      </c>
      <c r="H218" s="775">
        <v>0</v>
      </c>
    </row>
    <row r="219" spans="1:8">
      <c r="A219" s="775">
        <v>500</v>
      </c>
      <c r="B219" s="775" t="s">
        <v>576</v>
      </c>
      <c r="C219" s="825">
        <v>6823</v>
      </c>
      <c r="D219" s="825" t="s">
        <v>879</v>
      </c>
      <c r="E219" s="825">
        <v>116.14</v>
      </c>
      <c r="F219" s="825">
        <v>50.23</v>
      </c>
      <c r="G219" s="775">
        <v>0</v>
      </c>
      <c r="H219" s="775">
        <v>0</v>
      </c>
    </row>
    <row r="220" spans="1:8">
      <c r="A220" s="775">
        <v>500</v>
      </c>
      <c r="B220" s="775" t="s">
        <v>576</v>
      </c>
      <c r="C220" s="825">
        <v>6852</v>
      </c>
      <c r="D220" s="825" t="s">
        <v>786</v>
      </c>
      <c r="E220" s="825">
        <v>3076.18</v>
      </c>
      <c r="F220" s="825">
        <v>1318.36</v>
      </c>
      <c r="G220" s="775">
        <v>0</v>
      </c>
      <c r="H220" s="775">
        <v>0</v>
      </c>
    </row>
    <row r="221" spans="1:8">
      <c r="A221" s="775">
        <v>500</v>
      </c>
      <c r="B221" s="775" t="s">
        <v>576</v>
      </c>
      <c r="C221" s="825">
        <v>6877</v>
      </c>
      <c r="D221" s="825" t="s">
        <v>440</v>
      </c>
      <c r="E221" s="825">
        <v>2.2000000000000002</v>
      </c>
      <c r="F221" s="825">
        <v>0</v>
      </c>
      <c r="G221" s="775">
        <v>0</v>
      </c>
      <c r="H221" s="775">
        <v>0</v>
      </c>
    </row>
    <row r="222" spans="1:8">
      <c r="A222" s="775">
        <v>500</v>
      </c>
      <c r="B222" s="775" t="s">
        <v>576</v>
      </c>
      <c r="C222" s="825">
        <v>6893</v>
      </c>
      <c r="D222" s="825" t="s">
        <v>435</v>
      </c>
      <c r="E222" s="825">
        <v>132.09</v>
      </c>
      <c r="F222" s="825">
        <v>56.47</v>
      </c>
      <c r="G222" s="775">
        <v>0</v>
      </c>
      <c r="H222" s="775">
        <v>0</v>
      </c>
    </row>
    <row r="223" spans="1:8">
      <c r="A223" s="775">
        <v>500</v>
      </c>
      <c r="B223" s="775" t="s">
        <v>576</v>
      </c>
      <c r="C223" s="825">
        <v>6906</v>
      </c>
      <c r="D223" s="825" t="s">
        <v>382</v>
      </c>
      <c r="E223" s="825">
        <v>37.33</v>
      </c>
      <c r="F223" s="825">
        <v>15.31</v>
      </c>
      <c r="G223" s="775">
        <v>0</v>
      </c>
      <c r="H223" s="775">
        <v>0</v>
      </c>
    </row>
    <row r="224" spans="1:8">
      <c r="A224" s="775">
        <v>500</v>
      </c>
      <c r="B224" s="775" t="s">
        <v>576</v>
      </c>
      <c r="C224" s="825">
        <v>6943</v>
      </c>
      <c r="D224" s="825" t="s">
        <v>369</v>
      </c>
      <c r="E224" s="825">
        <v>775.35</v>
      </c>
      <c r="F224" s="825">
        <v>332.16</v>
      </c>
      <c r="G224" s="775">
        <v>0</v>
      </c>
      <c r="H224" s="775">
        <v>0</v>
      </c>
    </row>
    <row r="225" spans="1:8">
      <c r="A225" s="775">
        <v>500</v>
      </c>
      <c r="B225" s="775" t="s">
        <v>576</v>
      </c>
      <c r="C225" s="825">
        <v>6949</v>
      </c>
      <c r="D225" s="825" t="s">
        <v>380</v>
      </c>
      <c r="E225" s="825">
        <v>1782.35</v>
      </c>
      <c r="F225" s="825">
        <v>763.86</v>
      </c>
      <c r="G225" s="775">
        <v>0</v>
      </c>
      <c r="H225" s="775">
        <v>0</v>
      </c>
    </row>
    <row r="226" spans="1:8">
      <c r="A226" s="775">
        <v>500</v>
      </c>
      <c r="B226" s="775" t="s">
        <v>576</v>
      </c>
      <c r="C226" s="825">
        <v>7046</v>
      </c>
      <c r="D226" s="825" t="s">
        <v>177</v>
      </c>
      <c r="E226" s="825">
        <v>0</v>
      </c>
      <c r="F226" s="825">
        <v>287.17</v>
      </c>
      <c r="G226" s="775">
        <v>0</v>
      </c>
      <c r="H226" s="775">
        <v>0</v>
      </c>
    </row>
    <row r="227" spans="1:8">
      <c r="A227" s="775">
        <v>500</v>
      </c>
      <c r="B227" s="775" t="s">
        <v>576</v>
      </c>
      <c r="C227" s="825">
        <v>7338</v>
      </c>
      <c r="D227" s="825" t="s">
        <v>249</v>
      </c>
      <c r="E227" s="825">
        <v>318.75</v>
      </c>
      <c r="F227" s="825">
        <v>0</v>
      </c>
      <c r="G227" s="775">
        <v>0</v>
      </c>
      <c r="H227" s="775">
        <v>0</v>
      </c>
    </row>
    <row r="228" spans="1:8">
      <c r="A228" s="775">
        <v>500</v>
      </c>
      <c r="B228" s="775" t="s">
        <v>576</v>
      </c>
      <c r="C228" s="825">
        <v>7394</v>
      </c>
      <c r="D228" s="825" t="s">
        <v>290</v>
      </c>
      <c r="E228" s="825">
        <v>1145.8</v>
      </c>
      <c r="F228" s="825">
        <v>0</v>
      </c>
      <c r="G228" s="775">
        <v>0</v>
      </c>
      <c r="H228" s="775">
        <v>0</v>
      </c>
    </row>
    <row r="229" spans="1:8">
      <c r="A229" s="775">
        <v>500</v>
      </c>
      <c r="B229" s="775" t="s">
        <v>576</v>
      </c>
      <c r="C229" s="825">
        <v>7396</v>
      </c>
      <c r="D229" s="825" t="s">
        <v>292</v>
      </c>
      <c r="E229" s="825">
        <v>717.92</v>
      </c>
      <c r="F229" s="825">
        <v>0</v>
      </c>
      <c r="G229" s="775">
        <v>0</v>
      </c>
      <c r="H229" s="775">
        <v>0</v>
      </c>
    </row>
    <row r="230" spans="1:8">
      <c r="A230" s="775">
        <v>500</v>
      </c>
      <c r="B230" s="775" t="s">
        <v>576</v>
      </c>
      <c r="C230" s="825">
        <v>7635</v>
      </c>
      <c r="D230" s="825" t="s">
        <v>429</v>
      </c>
      <c r="E230" s="825">
        <v>0</v>
      </c>
      <c r="F230" s="825">
        <v>67</v>
      </c>
      <c r="G230" s="775">
        <v>0</v>
      </c>
      <c r="H230" s="775">
        <v>0</v>
      </c>
    </row>
    <row r="231" spans="1:8">
      <c r="A231" s="775">
        <v>500</v>
      </c>
      <c r="B231" s="775" t="s">
        <v>576</v>
      </c>
      <c r="C231" s="825">
        <v>91024</v>
      </c>
      <c r="D231" s="825" t="s">
        <v>880</v>
      </c>
      <c r="E231" s="825">
        <v>12.44</v>
      </c>
      <c r="F231" s="825">
        <v>0</v>
      </c>
      <c r="G231" s="775">
        <v>0</v>
      </c>
      <c r="H231" s="775">
        <v>0</v>
      </c>
    </row>
    <row r="232" spans="1:8">
      <c r="A232" s="775">
        <v>500</v>
      </c>
      <c r="B232" s="775" t="s">
        <v>576</v>
      </c>
      <c r="C232" s="825">
        <v>92330</v>
      </c>
      <c r="D232" s="825" t="s">
        <v>860</v>
      </c>
      <c r="E232" s="825">
        <v>408.07</v>
      </c>
      <c r="F232" s="825">
        <v>0</v>
      </c>
      <c r="G232" s="775">
        <v>0</v>
      </c>
      <c r="H232" s="775">
        <v>0</v>
      </c>
    </row>
    <row r="233" spans="1:8">
      <c r="A233" s="775">
        <v>500</v>
      </c>
      <c r="B233" s="775" t="s">
        <v>576</v>
      </c>
      <c r="C233" s="825">
        <v>4595</v>
      </c>
      <c r="D233" s="825" t="s">
        <v>783</v>
      </c>
      <c r="E233" s="825">
        <v>1</v>
      </c>
      <c r="F233" s="825">
        <v>0</v>
      </c>
      <c r="G233" s="775">
        <v>0</v>
      </c>
      <c r="H233" s="775">
        <v>0</v>
      </c>
    </row>
    <row r="234" spans="1:8">
      <c r="A234" s="775">
        <v>500</v>
      </c>
      <c r="B234" s="775" t="s">
        <v>576</v>
      </c>
      <c r="C234" s="825">
        <v>92328</v>
      </c>
      <c r="D234" s="825" t="s">
        <v>961</v>
      </c>
      <c r="E234" s="825">
        <v>219.72</v>
      </c>
      <c r="F234" s="825">
        <v>0</v>
      </c>
      <c r="G234" s="775">
        <v>0</v>
      </c>
      <c r="H234" s="775">
        <v>0</v>
      </c>
    </row>
    <row r="235" spans="1:8">
      <c r="A235" s="775">
        <v>500</v>
      </c>
      <c r="B235" s="775" t="s">
        <v>576</v>
      </c>
      <c r="C235" s="825">
        <v>92323</v>
      </c>
      <c r="D235" s="825" t="s">
        <v>844</v>
      </c>
      <c r="E235" s="825">
        <v>269.95</v>
      </c>
      <c r="F235" s="825">
        <v>0</v>
      </c>
      <c r="G235" s="775">
        <v>0</v>
      </c>
      <c r="H235" s="775">
        <v>0</v>
      </c>
    </row>
    <row r="236" spans="1:8">
      <c r="A236" s="775">
        <v>500</v>
      </c>
      <c r="B236" s="775" t="s">
        <v>576</v>
      </c>
      <c r="C236" s="825">
        <v>92327</v>
      </c>
      <c r="D236" s="825" t="s">
        <v>875</v>
      </c>
      <c r="E236" s="825">
        <v>235.47</v>
      </c>
      <c r="F236" s="825">
        <v>0</v>
      </c>
      <c r="G236" s="775">
        <v>0</v>
      </c>
      <c r="H236" s="775">
        <v>0</v>
      </c>
    </row>
    <row r="237" spans="1:8">
      <c r="A237" s="775">
        <v>500</v>
      </c>
      <c r="B237" s="775" t="s">
        <v>576</v>
      </c>
      <c r="C237" s="825">
        <v>6042</v>
      </c>
      <c r="D237" s="825" t="s">
        <v>114</v>
      </c>
      <c r="E237" s="825">
        <v>0</v>
      </c>
      <c r="F237" s="825">
        <v>28.72</v>
      </c>
      <c r="G237" s="775">
        <v>0</v>
      </c>
      <c r="H237" s="775">
        <v>0</v>
      </c>
    </row>
    <row r="238" spans="1:8">
      <c r="A238" s="775">
        <v>500</v>
      </c>
      <c r="B238" s="775" t="s">
        <v>576</v>
      </c>
      <c r="C238" s="825">
        <v>6047</v>
      </c>
      <c r="D238" s="825" t="s">
        <v>117</v>
      </c>
      <c r="E238" s="825">
        <v>0</v>
      </c>
      <c r="F238" s="825">
        <v>38.28</v>
      </c>
      <c r="G238" s="775">
        <v>0</v>
      </c>
      <c r="H238" s="775">
        <v>0</v>
      </c>
    </row>
    <row r="239" spans="1:8">
      <c r="A239" s="775">
        <v>500</v>
      </c>
      <c r="B239" s="775" t="s">
        <v>576</v>
      </c>
      <c r="C239" s="825">
        <v>6216</v>
      </c>
      <c r="D239" s="825" t="s">
        <v>214</v>
      </c>
      <c r="E239" s="825">
        <v>114.86</v>
      </c>
      <c r="F239" s="825">
        <v>0</v>
      </c>
      <c r="G239" s="775">
        <v>0</v>
      </c>
      <c r="H239" s="775">
        <v>0</v>
      </c>
    </row>
    <row r="240" spans="1:8">
      <c r="A240" s="775">
        <v>500</v>
      </c>
      <c r="B240" s="775" t="s">
        <v>576</v>
      </c>
      <c r="C240" s="825">
        <v>6224</v>
      </c>
      <c r="D240" s="825" t="s">
        <v>90</v>
      </c>
      <c r="E240" s="825">
        <v>143.58000000000001</v>
      </c>
      <c r="F240" s="825">
        <v>0</v>
      </c>
      <c r="G240" s="775">
        <v>0</v>
      </c>
      <c r="H240" s="775">
        <v>0</v>
      </c>
    </row>
    <row r="241" spans="1:8">
      <c r="A241" s="775">
        <v>500</v>
      </c>
      <c r="B241" s="775" t="s">
        <v>576</v>
      </c>
      <c r="C241" s="825">
        <v>6228</v>
      </c>
      <c r="D241" s="825" t="s">
        <v>127</v>
      </c>
      <c r="E241" s="825">
        <v>0</v>
      </c>
      <c r="F241" s="825">
        <v>95.72</v>
      </c>
      <c r="G241" s="775">
        <v>0</v>
      </c>
      <c r="H241" s="775">
        <v>0</v>
      </c>
    </row>
    <row r="242" spans="1:8">
      <c r="A242" s="775">
        <v>500</v>
      </c>
      <c r="B242" s="775" t="s">
        <v>576</v>
      </c>
      <c r="C242" s="825">
        <v>6239</v>
      </c>
      <c r="D242" s="825" t="s">
        <v>310</v>
      </c>
      <c r="E242" s="825">
        <v>239.31</v>
      </c>
      <c r="F242" s="825">
        <v>0</v>
      </c>
      <c r="G242" s="775">
        <v>0</v>
      </c>
      <c r="H242" s="775">
        <v>0</v>
      </c>
    </row>
    <row r="243" spans="1:8">
      <c r="A243" s="775">
        <v>500</v>
      </c>
      <c r="B243" s="775" t="s">
        <v>576</v>
      </c>
      <c r="C243" s="825">
        <v>6250</v>
      </c>
      <c r="D243" s="825" t="s">
        <v>330</v>
      </c>
      <c r="E243" s="825">
        <v>47.86</v>
      </c>
      <c r="F243" s="825">
        <v>0</v>
      </c>
      <c r="G243" s="775">
        <v>0</v>
      </c>
      <c r="H243" s="775">
        <v>0</v>
      </c>
    </row>
    <row r="244" spans="1:8">
      <c r="A244" s="775">
        <v>500</v>
      </c>
      <c r="B244" s="775" t="s">
        <v>576</v>
      </c>
      <c r="C244" s="825">
        <v>6286</v>
      </c>
      <c r="D244" s="825" t="s">
        <v>140</v>
      </c>
      <c r="E244" s="825">
        <v>0</v>
      </c>
      <c r="F244" s="825">
        <v>191.44</v>
      </c>
      <c r="G244" s="775">
        <v>0</v>
      </c>
      <c r="H244" s="775">
        <v>0</v>
      </c>
    </row>
    <row r="245" spans="1:8">
      <c r="A245" s="775">
        <v>500</v>
      </c>
      <c r="B245" s="775" t="s">
        <v>576</v>
      </c>
      <c r="C245" s="825">
        <v>6289</v>
      </c>
      <c r="D245" s="825" t="s">
        <v>179</v>
      </c>
      <c r="E245" s="825">
        <v>0</v>
      </c>
      <c r="F245" s="825">
        <v>430.75</v>
      </c>
      <c r="G245" s="775">
        <v>0</v>
      </c>
      <c r="H245" s="775">
        <v>0</v>
      </c>
    </row>
    <row r="246" spans="1:8">
      <c r="A246" s="775">
        <v>500</v>
      </c>
      <c r="B246" s="775" t="s">
        <v>576</v>
      </c>
      <c r="C246" s="825">
        <v>6294</v>
      </c>
      <c r="D246" s="825" t="s">
        <v>85</v>
      </c>
      <c r="E246" s="825">
        <v>47.86</v>
      </c>
      <c r="F246" s="825">
        <v>0</v>
      </c>
      <c r="G246" s="775">
        <v>0</v>
      </c>
      <c r="H246" s="775">
        <v>0</v>
      </c>
    </row>
    <row r="247" spans="1:8">
      <c r="A247" s="775">
        <v>500</v>
      </c>
      <c r="B247" s="775" t="s">
        <v>576</v>
      </c>
      <c r="C247" s="825">
        <v>6333</v>
      </c>
      <c r="D247" s="825" t="s">
        <v>342</v>
      </c>
      <c r="E247" s="825">
        <v>4.78</v>
      </c>
      <c r="F247" s="825">
        <v>0</v>
      </c>
      <c r="G247" s="775">
        <v>0</v>
      </c>
      <c r="H247" s="775">
        <v>0</v>
      </c>
    </row>
    <row r="248" spans="1:8">
      <c r="A248" s="775">
        <v>500</v>
      </c>
      <c r="B248" s="775" t="s">
        <v>576</v>
      </c>
      <c r="C248" s="825">
        <v>6338</v>
      </c>
      <c r="D248" s="825" t="s">
        <v>407</v>
      </c>
      <c r="E248" s="825">
        <v>282.38</v>
      </c>
      <c r="F248" s="825">
        <v>120.61</v>
      </c>
      <c r="G248" s="775">
        <v>0</v>
      </c>
      <c r="H248" s="775">
        <v>0</v>
      </c>
    </row>
    <row r="249" spans="1:8">
      <c r="A249" s="775">
        <v>500</v>
      </c>
      <c r="B249" s="775" t="s">
        <v>576</v>
      </c>
      <c r="C249" s="825">
        <v>6348</v>
      </c>
      <c r="D249" s="825" t="s">
        <v>146</v>
      </c>
      <c r="E249" s="825">
        <v>0</v>
      </c>
      <c r="F249" s="825">
        <v>287.17</v>
      </c>
      <c r="G249" s="775">
        <v>0</v>
      </c>
      <c r="H249" s="775">
        <v>0</v>
      </c>
    </row>
    <row r="250" spans="1:8">
      <c r="A250" s="775">
        <v>500</v>
      </c>
      <c r="B250" s="775" t="s">
        <v>576</v>
      </c>
      <c r="C250" s="825">
        <v>6357</v>
      </c>
      <c r="D250" s="825" t="s">
        <v>130</v>
      </c>
      <c r="E250" s="825">
        <v>0</v>
      </c>
      <c r="F250" s="825">
        <v>4.78</v>
      </c>
      <c r="G250" s="775">
        <v>0</v>
      </c>
      <c r="H250" s="775">
        <v>0</v>
      </c>
    </row>
    <row r="251" spans="1:8">
      <c r="A251" s="775">
        <v>500</v>
      </c>
      <c r="B251" s="775" t="s">
        <v>576</v>
      </c>
      <c r="C251" s="825">
        <v>6359</v>
      </c>
      <c r="D251" s="825" t="s">
        <v>170</v>
      </c>
      <c r="E251" s="825">
        <v>0</v>
      </c>
      <c r="F251" s="825">
        <v>19.14</v>
      </c>
      <c r="G251" s="775">
        <v>0</v>
      </c>
      <c r="H251" s="775">
        <v>0</v>
      </c>
    </row>
    <row r="252" spans="1:8">
      <c r="A252" s="775">
        <v>500</v>
      </c>
      <c r="B252" s="775" t="s">
        <v>576</v>
      </c>
      <c r="C252" s="825">
        <v>6375</v>
      </c>
      <c r="D252" s="825" t="s">
        <v>162</v>
      </c>
      <c r="E252" s="825">
        <v>0</v>
      </c>
      <c r="F252" s="825">
        <v>47.86</v>
      </c>
      <c r="G252" s="775">
        <v>0</v>
      </c>
      <c r="H252" s="775">
        <v>0</v>
      </c>
    </row>
    <row r="253" spans="1:8">
      <c r="A253" s="775">
        <v>500</v>
      </c>
      <c r="B253" s="775" t="s">
        <v>576</v>
      </c>
      <c r="C253" s="825">
        <v>6378</v>
      </c>
      <c r="D253" s="825" t="s">
        <v>194</v>
      </c>
      <c r="E253" s="825">
        <v>143.58000000000001</v>
      </c>
      <c r="F253" s="825">
        <v>0</v>
      </c>
      <c r="G253" s="775">
        <v>0</v>
      </c>
      <c r="H253" s="775">
        <v>0</v>
      </c>
    </row>
    <row r="254" spans="1:8">
      <c r="A254" s="775">
        <v>500</v>
      </c>
      <c r="B254" s="775" t="s">
        <v>576</v>
      </c>
      <c r="C254" s="825">
        <v>6384</v>
      </c>
      <c r="D254" s="825" t="s">
        <v>227</v>
      </c>
      <c r="E254" s="825">
        <v>2680.22</v>
      </c>
      <c r="F254" s="825">
        <v>0</v>
      </c>
      <c r="G254" s="775">
        <v>0</v>
      </c>
      <c r="H254" s="775">
        <v>0</v>
      </c>
    </row>
    <row r="255" spans="1:8">
      <c r="A255" s="775">
        <v>500</v>
      </c>
      <c r="B255" s="775" t="s">
        <v>576</v>
      </c>
      <c r="C255" s="825">
        <v>6386</v>
      </c>
      <c r="D255" s="825" t="s">
        <v>277</v>
      </c>
      <c r="E255" s="825">
        <v>1148.67</v>
      </c>
      <c r="F255" s="825">
        <v>0</v>
      </c>
      <c r="G255" s="775">
        <v>0</v>
      </c>
      <c r="H255" s="775">
        <v>0</v>
      </c>
    </row>
    <row r="256" spans="1:8">
      <c r="A256" s="775">
        <v>500</v>
      </c>
      <c r="B256" s="775" t="s">
        <v>576</v>
      </c>
      <c r="C256" s="825">
        <v>6387</v>
      </c>
      <c r="D256" s="825" t="s">
        <v>297</v>
      </c>
      <c r="E256" s="825">
        <v>191.44</v>
      </c>
      <c r="F256" s="825">
        <v>0</v>
      </c>
      <c r="G256" s="775">
        <v>0</v>
      </c>
      <c r="H256" s="775">
        <v>0</v>
      </c>
    </row>
    <row r="257" spans="1:8">
      <c r="A257" s="775">
        <v>500</v>
      </c>
      <c r="B257" s="775" t="s">
        <v>576</v>
      </c>
      <c r="C257" s="825">
        <v>6390</v>
      </c>
      <c r="D257" s="825" t="s">
        <v>332</v>
      </c>
      <c r="E257" s="825">
        <v>1052.94</v>
      </c>
      <c r="F257" s="825">
        <v>0</v>
      </c>
      <c r="G257" s="775">
        <v>0</v>
      </c>
      <c r="H257" s="775">
        <v>0</v>
      </c>
    </row>
    <row r="258" spans="1:8">
      <c r="A258" s="775">
        <v>500</v>
      </c>
      <c r="B258" s="775" t="s">
        <v>576</v>
      </c>
      <c r="C258" s="825">
        <v>6392</v>
      </c>
      <c r="D258" s="825" t="s">
        <v>281</v>
      </c>
      <c r="E258" s="825">
        <v>478.61</v>
      </c>
      <c r="F258" s="825">
        <v>0</v>
      </c>
      <c r="G258" s="775">
        <v>0</v>
      </c>
      <c r="H258" s="775">
        <v>0</v>
      </c>
    </row>
    <row r="259" spans="1:8">
      <c r="A259" s="775">
        <v>500</v>
      </c>
      <c r="B259" s="775" t="s">
        <v>576</v>
      </c>
      <c r="C259" s="825">
        <v>6393</v>
      </c>
      <c r="D259" s="825" t="s">
        <v>283</v>
      </c>
      <c r="E259" s="825">
        <v>229.73</v>
      </c>
      <c r="F259" s="825">
        <v>0</v>
      </c>
      <c r="G259" s="775">
        <v>0</v>
      </c>
      <c r="H259" s="775">
        <v>0</v>
      </c>
    </row>
    <row r="260" spans="1:8">
      <c r="A260" s="775">
        <v>500</v>
      </c>
      <c r="B260" s="775" t="s">
        <v>576</v>
      </c>
      <c r="C260" s="825">
        <v>6408</v>
      </c>
      <c r="D260" s="825" t="s">
        <v>248</v>
      </c>
      <c r="E260" s="825">
        <v>38.28</v>
      </c>
      <c r="F260" s="825">
        <v>0</v>
      </c>
      <c r="G260" s="775">
        <v>0</v>
      </c>
      <c r="H260" s="775">
        <v>0</v>
      </c>
    </row>
    <row r="261" spans="1:8">
      <c r="A261" s="775">
        <v>500</v>
      </c>
      <c r="B261" s="775" t="s">
        <v>576</v>
      </c>
      <c r="C261" s="825">
        <v>6409</v>
      </c>
      <c r="D261" s="825" t="s">
        <v>247</v>
      </c>
      <c r="E261" s="825">
        <v>19.14</v>
      </c>
      <c r="F261" s="825">
        <v>0</v>
      </c>
      <c r="G261" s="775">
        <v>0</v>
      </c>
      <c r="H261" s="775">
        <v>0</v>
      </c>
    </row>
    <row r="262" spans="1:8">
      <c r="A262" s="775">
        <v>500</v>
      </c>
      <c r="B262" s="775" t="s">
        <v>576</v>
      </c>
      <c r="C262" s="825">
        <v>6415</v>
      </c>
      <c r="D262" s="825" t="s">
        <v>219</v>
      </c>
      <c r="E262" s="825">
        <v>124.44</v>
      </c>
      <c r="F262" s="825">
        <v>0</v>
      </c>
      <c r="G262" s="775">
        <v>0</v>
      </c>
      <c r="H262" s="775">
        <v>0</v>
      </c>
    </row>
    <row r="263" spans="1:8">
      <c r="A263" s="775">
        <v>500</v>
      </c>
      <c r="B263" s="775" t="s">
        <v>576</v>
      </c>
      <c r="C263" s="825">
        <v>6417</v>
      </c>
      <c r="D263" s="825" t="s">
        <v>255</v>
      </c>
      <c r="E263" s="825">
        <v>71.8</v>
      </c>
      <c r="F263" s="825">
        <v>0</v>
      </c>
      <c r="G263" s="775">
        <v>0</v>
      </c>
      <c r="H263" s="775">
        <v>0</v>
      </c>
    </row>
    <row r="264" spans="1:8">
      <c r="A264" s="775">
        <v>500</v>
      </c>
      <c r="B264" s="775" t="s">
        <v>576</v>
      </c>
      <c r="C264" s="825">
        <v>6418</v>
      </c>
      <c r="D264" s="825" t="s">
        <v>258</v>
      </c>
      <c r="E264" s="825">
        <v>14.36</v>
      </c>
      <c r="F264" s="825">
        <v>0</v>
      </c>
      <c r="G264" s="775">
        <v>0</v>
      </c>
      <c r="H264" s="775">
        <v>0</v>
      </c>
    </row>
    <row r="265" spans="1:8">
      <c r="A265" s="775">
        <v>500</v>
      </c>
      <c r="B265" s="775" t="s">
        <v>576</v>
      </c>
      <c r="C265" s="825">
        <v>6419</v>
      </c>
      <c r="D265" s="825" t="s">
        <v>887</v>
      </c>
      <c r="E265" s="825">
        <v>62.78</v>
      </c>
      <c r="F265" s="825">
        <v>0</v>
      </c>
      <c r="G265" s="775">
        <v>0</v>
      </c>
      <c r="H265" s="775">
        <v>0</v>
      </c>
    </row>
    <row r="266" spans="1:8">
      <c r="A266" s="775">
        <v>500</v>
      </c>
      <c r="B266" s="775" t="s">
        <v>576</v>
      </c>
      <c r="C266" s="825">
        <v>6420</v>
      </c>
      <c r="D266" s="825" t="s">
        <v>312</v>
      </c>
      <c r="E266" s="825">
        <v>47.86</v>
      </c>
      <c r="F266" s="825">
        <v>0</v>
      </c>
      <c r="G266" s="775">
        <v>0</v>
      </c>
      <c r="H266" s="775">
        <v>0</v>
      </c>
    </row>
    <row r="267" spans="1:8">
      <c r="A267" s="775">
        <v>150</v>
      </c>
      <c r="B267" s="775" t="s">
        <v>579</v>
      </c>
      <c r="C267" s="825">
        <v>6426</v>
      </c>
      <c r="D267" s="825" t="s">
        <v>326</v>
      </c>
      <c r="E267" s="825">
        <v>382.89</v>
      </c>
      <c r="F267" s="825">
        <v>0</v>
      </c>
      <c r="G267" s="775">
        <v>0</v>
      </c>
      <c r="H267" s="775">
        <v>0</v>
      </c>
    </row>
    <row r="268" spans="1:8">
      <c r="A268" s="775">
        <v>150</v>
      </c>
      <c r="B268" s="775" t="s">
        <v>579</v>
      </c>
      <c r="C268" s="825">
        <v>6433</v>
      </c>
      <c r="D268" s="825" t="s">
        <v>421</v>
      </c>
      <c r="E268" s="825">
        <v>938.08</v>
      </c>
      <c r="F268" s="825">
        <v>402.03</v>
      </c>
      <c r="G268" s="775">
        <v>0</v>
      </c>
      <c r="H268" s="775">
        <v>0</v>
      </c>
    </row>
    <row r="269" spans="1:8">
      <c r="A269" s="775">
        <v>150</v>
      </c>
      <c r="B269" s="775" t="s">
        <v>579</v>
      </c>
      <c r="C269" s="825">
        <v>6438</v>
      </c>
      <c r="D269" s="825" t="s">
        <v>356</v>
      </c>
      <c r="E269" s="825">
        <v>47.86</v>
      </c>
      <c r="F269" s="825">
        <v>0</v>
      </c>
      <c r="G269" s="775">
        <v>0</v>
      </c>
      <c r="H269" s="775">
        <v>0</v>
      </c>
    </row>
    <row r="270" spans="1:8">
      <c r="A270" s="775">
        <v>500</v>
      </c>
      <c r="B270" s="775" t="s">
        <v>576</v>
      </c>
      <c r="C270" s="825">
        <v>6450</v>
      </c>
      <c r="D270" s="825" t="s">
        <v>427</v>
      </c>
      <c r="E270" s="825">
        <v>574.33000000000004</v>
      </c>
      <c r="F270" s="825">
        <v>0</v>
      </c>
      <c r="G270" s="775">
        <v>0</v>
      </c>
      <c r="H270" s="775">
        <v>0</v>
      </c>
    </row>
    <row r="271" spans="1:8">
      <c r="A271" s="775">
        <v>500</v>
      </c>
      <c r="B271" s="775" t="s">
        <v>576</v>
      </c>
      <c r="C271" s="825">
        <v>6453</v>
      </c>
      <c r="D271" s="825" t="s">
        <v>463</v>
      </c>
      <c r="E271" s="825">
        <v>95.72</v>
      </c>
      <c r="F271" s="825">
        <v>0</v>
      </c>
      <c r="G271" s="775">
        <v>0</v>
      </c>
      <c r="H271" s="775">
        <v>0</v>
      </c>
    </row>
    <row r="272" spans="1:8">
      <c r="A272" s="775">
        <v>500</v>
      </c>
      <c r="B272" s="775" t="s">
        <v>576</v>
      </c>
      <c r="C272" s="825">
        <v>6454</v>
      </c>
      <c r="D272" s="825" t="s">
        <v>464</v>
      </c>
      <c r="E272" s="825">
        <v>71.8</v>
      </c>
      <c r="F272" s="825">
        <v>0</v>
      </c>
      <c r="G272" s="775">
        <v>0</v>
      </c>
      <c r="H272" s="775">
        <v>0</v>
      </c>
    </row>
    <row r="273" spans="1:8">
      <c r="A273" s="775">
        <v>500</v>
      </c>
      <c r="B273" s="775" t="s">
        <v>576</v>
      </c>
      <c r="C273" s="825">
        <v>6456</v>
      </c>
      <c r="D273" s="825" t="s">
        <v>120</v>
      </c>
      <c r="E273" s="825">
        <v>0</v>
      </c>
      <c r="F273" s="825">
        <v>19.14</v>
      </c>
      <c r="G273" s="775">
        <v>0</v>
      </c>
      <c r="H273" s="775">
        <v>0</v>
      </c>
    </row>
    <row r="274" spans="1:8">
      <c r="A274" s="775">
        <v>500</v>
      </c>
      <c r="B274" s="775" t="s">
        <v>576</v>
      </c>
      <c r="C274" s="825">
        <v>6468</v>
      </c>
      <c r="D274" s="825" t="s">
        <v>104</v>
      </c>
      <c r="E274" s="825">
        <v>0</v>
      </c>
      <c r="F274" s="825">
        <v>1531.56</v>
      </c>
      <c r="G274" s="775">
        <v>0</v>
      </c>
      <c r="H274" s="775">
        <v>0</v>
      </c>
    </row>
    <row r="275" spans="1:8">
      <c r="A275" s="775">
        <v>500</v>
      </c>
      <c r="B275" s="775" t="s">
        <v>576</v>
      </c>
      <c r="C275" s="825">
        <v>6473</v>
      </c>
      <c r="D275" s="825" t="s">
        <v>251</v>
      </c>
      <c r="E275" s="825">
        <v>4.78</v>
      </c>
      <c r="F275" s="825">
        <v>0</v>
      </c>
      <c r="G275" s="775">
        <v>0</v>
      </c>
      <c r="H275" s="775">
        <v>0</v>
      </c>
    </row>
    <row r="276" spans="1:8">
      <c r="A276" s="775">
        <v>500</v>
      </c>
      <c r="B276" s="775" t="s">
        <v>576</v>
      </c>
      <c r="C276" s="825">
        <v>6478</v>
      </c>
      <c r="D276" s="825" t="s">
        <v>417</v>
      </c>
      <c r="E276" s="825">
        <v>74.66</v>
      </c>
      <c r="F276" s="825">
        <v>32.549999999999997</v>
      </c>
      <c r="G276" s="775">
        <v>0</v>
      </c>
      <c r="H276" s="775">
        <v>0</v>
      </c>
    </row>
    <row r="277" spans="1:8">
      <c r="A277" s="775">
        <v>500</v>
      </c>
      <c r="B277" s="775" t="s">
        <v>576</v>
      </c>
      <c r="C277" s="825">
        <v>6483</v>
      </c>
      <c r="D277" s="825" t="s">
        <v>449</v>
      </c>
      <c r="E277" s="825">
        <v>382.89</v>
      </c>
      <c r="F277" s="825">
        <v>0</v>
      </c>
      <c r="G277" s="775">
        <v>0</v>
      </c>
      <c r="H277" s="775">
        <v>0</v>
      </c>
    </row>
    <row r="278" spans="1:8">
      <c r="A278" s="775">
        <v>500</v>
      </c>
      <c r="B278" s="775" t="s">
        <v>576</v>
      </c>
      <c r="C278" s="825">
        <v>6513</v>
      </c>
      <c r="D278" s="825" t="s">
        <v>396</v>
      </c>
      <c r="E278" s="825">
        <v>293.86</v>
      </c>
      <c r="F278" s="825">
        <v>125.39</v>
      </c>
      <c r="G278" s="775">
        <v>0</v>
      </c>
      <c r="H278" s="775">
        <v>0</v>
      </c>
    </row>
    <row r="279" spans="1:8">
      <c r="A279" s="775">
        <v>500</v>
      </c>
      <c r="B279" s="775" t="s">
        <v>576</v>
      </c>
      <c r="C279" s="825">
        <v>6521</v>
      </c>
      <c r="D279" s="825" t="s">
        <v>400</v>
      </c>
      <c r="E279" s="825">
        <v>337.9</v>
      </c>
      <c r="F279" s="825">
        <v>144.54</v>
      </c>
      <c r="G279" s="775">
        <v>0</v>
      </c>
      <c r="H279" s="775">
        <v>0</v>
      </c>
    </row>
    <row r="280" spans="1:8">
      <c r="A280" s="775">
        <v>500</v>
      </c>
      <c r="B280" s="775" t="s">
        <v>576</v>
      </c>
      <c r="C280" s="825">
        <v>6532</v>
      </c>
      <c r="D280" s="825" t="s">
        <v>101</v>
      </c>
      <c r="E280" s="825">
        <v>0</v>
      </c>
      <c r="F280" s="825">
        <v>287.17</v>
      </c>
      <c r="G280" s="775">
        <v>0</v>
      </c>
      <c r="H280" s="775">
        <v>0</v>
      </c>
    </row>
    <row r="281" spans="1:8">
      <c r="A281" s="775">
        <v>500</v>
      </c>
      <c r="B281" s="775" t="s">
        <v>576</v>
      </c>
      <c r="C281" s="825">
        <v>6549</v>
      </c>
      <c r="D281" s="825" t="s">
        <v>230</v>
      </c>
      <c r="E281" s="825">
        <v>414.48</v>
      </c>
      <c r="F281" s="825">
        <v>0</v>
      </c>
      <c r="G281" s="775">
        <v>0</v>
      </c>
      <c r="H281" s="775">
        <v>0</v>
      </c>
    </row>
    <row r="282" spans="1:8">
      <c r="A282" s="775">
        <v>500</v>
      </c>
      <c r="B282" s="775" t="s">
        <v>576</v>
      </c>
      <c r="C282" s="825">
        <v>6563</v>
      </c>
      <c r="D282" s="825" t="s">
        <v>304</v>
      </c>
      <c r="E282" s="825">
        <v>47.86</v>
      </c>
      <c r="F282" s="825">
        <v>0</v>
      </c>
      <c r="G282" s="775">
        <v>0</v>
      </c>
      <c r="H282" s="775">
        <v>0</v>
      </c>
    </row>
    <row r="283" spans="1:8">
      <c r="A283" s="775">
        <v>500</v>
      </c>
      <c r="B283" s="775" t="s">
        <v>576</v>
      </c>
      <c r="C283" s="825">
        <v>6582</v>
      </c>
      <c r="D283" s="825" t="s">
        <v>273</v>
      </c>
      <c r="E283" s="825">
        <v>478.61</v>
      </c>
      <c r="F283" s="825">
        <v>0</v>
      </c>
      <c r="G283" s="775">
        <v>0</v>
      </c>
      <c r="H283" s="775">
        <v>0</v>
      </c>
    </row>
    <row r="284" spans="1:8">
      <c r="A284" s="775">
        <v>500</v>
      </c>
      <c r="B284" s="775" t="s">
        <v>576</v>
      </c>
      <c r="C284" s="825">
        <v>6661</v>
      </c>
      <c r="D284" s="825" t="s">
        <v>213</v>
      </c>
      <c r="E284" s="825">
        <v>5743.33</v>
      </c>
      <c r="F284" s="825">
        <v>0</v>
      </c>
      <c r="G284" s="775">
        <v>0</v>
      </c>
      <c r="H284" s="775">
        <v>0</v>
      </c>
    </row>
    <row r="285" spans="1:8">
      <c r="A285" s="775">
        <v>500</v>
      </c>
      <c r="B285" s="775" t="s">
        <v>576</v>
      </c>
      <c r="C285" s="825">
        <v>6692</v>
      </c>
      <c r="D285" s="825" t="s">
        <v>886</v>
      </c>
      <c r="E285" s="825">
        <v>627.79</v>
      </c>
      <c r="F285" s="825">
        <v>0</v>
      </c>
      <c r="G285" s="775">
        <v>0</v>
      </c>
      <c r="H285" s="775">
        <v>0</v>
      </c>
    </row>
    <row r="286" spans="1:8">
      <c r="A286" s="775">
        <v>500</v>
      </c>
      <c r="B286" s="775" t="s">
        <v>576</v>
      </c>
      <c r="C286" s="825">
        <v>6729</v>
      </c>
      <c r="D286" s="825" t="s">
        <v>958</v>
      </c>
      <c r="E286" s="825">
        <v>141.25</v>
      </c>
      <c r="F286" s="825">
        <v>0</v>
      </c>
      <c r="G286" s="775">
        <v>0</v>
      </c>
      <c r="H286" s="775">
        <v>0</v>
      </c>
    </row>
    <row r="287" spans="1:8">
      <c r="A287" s="775">
        <v>500</v>
      </c>
      <c r="B287" s="775" t="s">
        <v>576</v>
      </c>
      <c r="C287" s="825">
        <v>6761</v>
      </c>
      <c r="D287" s="825" t="s">
        <v>910</v>
      </c>
      <c r="E287" s="825">
        <v>0</v>
      </c>
      <c r="F287" s="825">
        <v>599.54</v>
      </c>
      <c r="G287" s="775">
        <v>0</v>
      </c>
      <c r="H287" s="775">
        <v>0</v>
      </c>
    </row>
    <row r="288" spans="1:8">
      <c r="A288" s="775">
        <v>500</v>
      </c>
      <c r="B288" s="775" t="s">
        <v>576</v>
      </c>
      <c r="C288" s="825">
        <v>6762</v>
      </c>
      <c r="D288" s="825" t="s">
        <v>911</v>
      </c>
      <c r="E288" s="825">
        <v>0</v>
      </c>
      <c r="F288" s="825">
        <v>941.69</v>
      </c>
      <c r="G288" s="775">
        <v>0</v>
      </c>
      <c r="H288" s="775">
        <v>0</v>
      </c>
    </row>
    <row r="289" spans="1:8">
      <c r="A289" s="775">
        <v>500</v>
      </c>
      <c r="B289" s="775" t="s">
        <v>576</v>
      </c>
      <c r="C289" s="825">
        <v>6785</v>
      </c>
      <c r="D289" s="825" t="s">
        <v>856</v>
      </c>
      <c r="E289" s="825">
        <v>0</v>
      </c>
      <c r="F289" s="825">
        <v>470.84</v>
      </c>
      <c r="G289" s="775">
        <v>0</v>
      </c>
      <c r="H289" s="775">
        <v>0</v>
      </c>
    </row>
    <row r="290" spans="1:8">
      <c r="A290" s="775">
        <v>500</v>
      </c>
      <c r="B290" s="775" t="s">
        <v>576</v>
      </c>
      <c r="C290" s="825">
        <v>6792</v>
      </c>
      <c r="D290" s="825" t="s">
        <v>765</v>
      </c>
      <c r="E290" s="825">
        <v>0</v>
      </c>
      <c r="F290" s="825">
        <v>326.45</v>
      </c>
      <c r="G290" s="775">
        <v>0</v>
      </c>
      <c r="H290" s="775">
        <v>0</v>
      </c>
    </row>
    <row r="291" spans="1:8">
      <c r="A291" s="775">
        <v>500</v>
      </c>
      <c r="B291" s="775" t="s">
        <v>576</v>
      </c>
      <c r="C291" s="825">
        <v>6819</v>
      </c>
      <c r="D291" s="825" t="s">
        <v>813</v>
      </c>
      <c r="E291" s="825">
        <v>100.45</v>
      </c>
      <c r="F291" s="825">
        <v>40.81</v>
      </c>
      <c r="G291" s="775">
        <v>0</v>
      </c>
      <c r="H291" s="775">
        <v>0</v>
      </c>
    </row>
    <row r="292" spans="1:8">
      <c r="A292" s="775">
        <v>500</v>
      </c>
      <c r="B292" s="775" t="s">
        <v>576</v>
      </c>
      <c r="C292" s="825">
        <v>6839</v>
      </c>
      <c r="D292" s="825" t="s">
        <v>830</v>
      </c>
      <c r="E292" s="825">
        <v>637.21</v>
      </c>
      <c r="F292" s="825">
        <v>273.08999999999997</v>
      </c>
      <c r="G292" s="775">
        <v>0</v>
      </c>
      <c r="H292" s="775">
        <v>0</v>
      </c>
    </row>
    <row r="293" spans="1:8">
      <c r="A293" s="775">
        <v>500</v>
      </c>
      <c r="B293" s="775" t="s">
        <v>576</v>
      </c>
      <c r="C293" s="825">
        <v>6840</v>
      </c>
      <c r="D293" s="825" t="s">
        <v>789</v>
      </c>
      <c r="E293" s="825">
        <v>665.45</v>
      </c>
      <c r="F293" s="825">
        <v>285.64999999999998</v>
      </c>
      <c r="G293" s="775">
        <v>0</v>
      </c>
      <c r="H293" s="775">
        <v>0</v>
      </c>
    </row>
    <row r="294" spans="1:8">
      <c r="A294" s="775">
        <v>500</v>
      </c>
      <c r="B294" s="775" t="s">
        <v>576</v>
      </c>
      <c r="C294" s="825">
        <v>6847</v>
      </c>
      <c r="D294" s="825" t="s">
        <v>759</v>
      </c>
      <c r="E294" s="825">
        <v>0</v>
      </c>
      <c r="F294" s="825">
        <v>156.94999999999999</v>
      </c>
      <c r="G294" s="775">
        <v>0</v>
      </c>
      <c r="H294" s="775">
        <v>0</v>
      </c>
    </row>
    <row r="295" spans="1:8">
      <c r="A295" s="775">
        <v>500</v>
      </c>
      <c r="B295" s="775" t="s">
        <v>576</v>
      </c>
      <c r="C295" s="825">
        <v>6849</v>
      </c>
      <c r="D295" s="825" t="s">
        <v>921</v>
      </c>
      <c r="E295" s="825">
        <v>1318.36</v>
      </c>
      <c r="F295" s="825">
        <v>565.01</v>
      </c>
      <c r="G295" s="775">
        <v>0</v>
      </c>
      <c r="H295" s="775">
        <v>0</v>
      </c>
    </row>
    <row r="296" spans="1:8">
      <c r="A296" s="775">
        <v>500</v>
      </c>
      <c r="B296" s="775" t="s">
        <v>576</v>
      </c>
      <c r="C296" s="825">
        <v>6856</v>
      </c>
      <c r="D296" s="825" t="s">
        <v>955</v>
      </c>
      <c r="E296" s="825">
        <v>1318.36</v>
      </c>
      <c r="F296" s="825">
        <v>565.01</v>
      </c>
      <c r="G296" s="775">
        <v>0</v>
      </c>
      <c r="H296" s="775">
        <v>0</v>
      </c>
    </row>
    <row r="297" spans="1:8">
      <c r="A297" s="775">
        <v>500</v>
      </c>
      <c r="B297" s="775" t="s">
        <v>576</v>
      </c>
      <c r="C297" s="825">
        <v>6883</v>
      </c>
      <c r="D297" s="825" t="s">
        <v>361</v>
      </c>
      <c r="E297" s="825">
        <v>36.369999999999997</v>
      </c>
      <c r="F297" s="825">
        <v>0</v>
      </c>
      <c r="G297" s="775">
        <v>0</v>
      </c>
      <c r="H297" s="775">
        <v>0</v>
      </c>
    </row>
    <row r="298" spans="1:8">
      <c r="A298" s="775">
        <v>500</v>
      </c>
      <c r="B298" s="775" t="s">
        <v>576</v>
      </c>
      <c r="C298" s="825">
        <v>6941</v>
      </c>
      <c r="D298" s="825" t="s">
        <v>420</v>
      </c>
      <c r="E298" s="825">
        <v>402.03</v>
      </c>
      <c r="F298" s="825">
        <v>172.3</v>
      </c>
      <c r="G298" s="775">
        <v>0</v>
      </c>
      <c r="H298" s="775">
        <v>0</v>
      </c>
    </row>
    <row r="299" spans="1:8">
      <c r="A299" s="775">
        <v>500</v>
      </c>
      <c r="B299" s="775" t="s">
        <v>576</v>
      </c>
      <c r="C299" s="825">
        <v>6973</v>
      </c>
      <c r="D299" s="825" t="s">
        <v>163</v>
      </c>
      <c r="E299" s="825">
        <v>0</v>
      </c>
      <c r="F299" s="825">
        <v>47.86</v>
      </c>
      <c r="G299" s="775">
        <v>0</v>
      </c>
      <c r="H299" s="775">
        <v>0</v>
      </c>
    </row>
    <row r="300" spans="1:8">
      <c r="A300" s="775">
        <v>500</v>
      </c>
      <c r="B300" s="775" t="s">
        <v>576</v>
      </c>
      <c r="C300" s="825">
        <v>7037</v>
      </c>
      <c r="D300" s="825" t="s">
        <v>198</v>
      </c>
      <c r="E300" s="825">
        <v>95.72</v>
      </c>
      <c r="F300" s="825">
        <v>0</v>
      </c>
      <c r="G300" s="775">
        <v>0</v>
      </c>
      <c r="H300" s="775">
        <v>0</v>
      </c>
    </row>
    <row r="301" spans="1:8">
      <c r="A301" s="775">
        <v>500</v>
      </c>
      <c r="B301" s="775" t="s">
        <v>576</v>
      </c>
      <c r="C301" s="825">
        <v>7178</v>
      </c>
      <c r="D301" s="825" t="s">
        <v>156</v>
      </c>
      <c r="E301" s="825">
        <v>0</v>
      </c>
      <c r="F301" s="825">
        <v>5.75</v>
      </c>
      <c r="G301" s="775">
        <v>0</v>
      </c>
      <c r="H301" s="775">
        <v>0</v>
      </c>
    </row>
    <row r="302" spans="1:8">
      <c r="A302" s="775">
        <v>500</v>
      </c>
      <c r="B302" s="775" t="s">
        <v>576</v>
      </c>
      <c r="C302" s="825">
        <v>7189</v>
      </c>
      <c r="D302" s="825" t="s">
        <v>160</v>
      </c>
      <c r="E302" s="825">
        <v>0</v>
      </c>
      <c r="F302" s="825">
        <v>191.44</v>
      </c>
      <c r="G302" s="775">
        <v>0</v>
      </c>
      <c r="H302" s="775">
        <v>0</v>
      </c>
    </row>
    <row r="303" spans="1:8">
      <c r="A303" s="775">
        <v>500</v>
      </c>
      <c r="B303" s="775" t="s">
        <v>576</v>
      </c>
      <c r="C303" s="825">
        <v>7418</v>
      </c>
      <c r="D303" s="825" t="s">
        <v>306</v>
      </c>
      <c r="E303" s="825">
        <v>18.190000000000001</v>
      </c>
      <c r="F303" s="825">
        <v>0</v>
      </c>
      <c r="G303" s="775">
        <v>0</v>
      </c>
      <c r="H303" s="775">
        <v>0</v>
      </c>
    </row>
    <row r="304" spans="1:8">
      <c r="A304" s="775">
        <v>500</v>
      </c>
      <c r="B304" s="775" t="s">
        <v>576</v>
      </c>
      <c r="C304" s="825">
        <v>10521</v>
      </c>
      <c r="D304" s="825" t="s">
        <v>437</v>
      </c>
      <c r="E304" s="825">
        <v>32.549999999999997</v>
      </c>
      <c r="F304" s="825">
        <v>0</v>
      </c>
      <c r="G304" s="775">
        <v>0</v>
      </c>
      <c r="H304" s="775">
        <v>0</v>
      </c>
    </row>
    <row r="305" spans="1:8">
      <c r="A305" s="775">
        <v>500</v>
      </c>
      <c r="B305" s="775" t="s">
        <v>576</v>
      </c>
      <c r="C305" s="825">
        <v>10996</v>
      </c>
      <c r="D305" s="825" t="s">
        <v>960</v>
      </c>
      <c r="E305" s="825">
        <v>100.45</v>
      </c>
      <c r="F305" s="825">
        <v>40.81</v>
      </c>
      <c r="G305" s="775">
        <v>0</v>
      </c>
      <c r="H305" s="775">
        <v>0</v>
      </c>
    </row>
    <row r="306" spans="1:8">
      <c r="A306" s="775">
        <v>500</v>
      </c>
      <c r="B306" s="775" t="s">
        <v>576</v>
      </c>
      <c r="C306" s="825">
        <v>92321</v>
      </c>
      <c r="D306" s="825" t="s">
        <v>809</v>
      </c>
      <c r="E306" s="825">
        <v>194.61</v>
      </c>
      <c r="F306" s="825">
        <v>0</v>
      </c>
      <c r="G306" s="775">
        <v>0</v>
      </c>
      <c r="H306" s="775">
        <v>0</v>
      </c>
    </row>
    <row r="307" spans="1:8">
      <c r="A307" s="775">
        <v>500</v>
      </c>
      <c r="B307" s="775" t="s">
        <v>576</v>
      </c>
      <c r="C307" s="825">
        <v>6128</v>
      </c>
      <c r="D307" s="825" t="s">
        <v>344</v>
      </c>
      <c r="E307" s="825">
        <v>1544</v>
      </c>
      <c r="F307" s="825">
        <v>0</v>
      </c>
      <c r="G307" s="775">
        <v>0</v>
      </c>
      <c r="H307" s="775">
        <v>0</v>
      </c>
    </row>
    <row r="308" spans="1:8">
      <c r="A308" s="775">
        <v>500</v>
      </c>
      <c r="B308" s="775" t="s">
        <v>576</v>
      </c>
      <c r="C308" s="825">
        <v>6181</v>
      </c>
      <c r="D308" s="825" t="s">
        <v>454</v>
      </c>
      <c r="E308" s="825">
        <v>69.88</v>
      </c>
      <c r="F308" s="825">
        <v>0</v>
      </c>
      <c r="G308" s="775">
        <v>0</v>
      </c>
      <c r="H308" s="775">
        <v>0</v>
      </c>
    </row>
    <row r="309" spans="1:8">
      <c r="A309" s="775">
        <v>500</v>
      </c>
      <c r="B309" s="775" t="s">
        <v>576</v>
      </c>
      <c r="C309" s="825">
        <v>6217</v>
      </c>
      <c r="D309" s="825" t="s">
        <v>174</v>
      </c>
      <c r="E309" s="825">
        <v>0</v>
      </c>
      <c r="F309" s="825">
        <v>105.3</v>
      </c>
      <c r="G309" s="775">
        <v>0</v>
      </c>
      <c r="H309" s="775">
        <v>0</v>
      </c>
    </row>
    <row r="310" spans="1:8">
      <c r="A310" s="775">
        <v>500</v>
      </c>
      <c r="B310" s="775" t="s">
        <v>576</v>
      </c>
      <c r="C310" s="825">
        <v>6240</v>
      </c>
      <c r="D310" s="825" t="s">
        <v>317</v>
      </c>
      <c r="E310" s="825">
        <v>191.44</v>
      </c>
      <c r="F310" s="825">
        <v>0</v>
      </c>
      <c r="G310" s="775">
        <v>0</v>
      </c>
      <c r="H310" s="775">
        <v>0</v>
      </c>
    </row>
    <row r="311" spans="1:8">
      <c r="A311" s="775">
        <v>500</v>
      </c>
      <c r="B311" s="775" t="s">
        <v>576</v>
      </c>
      <c r="C311" s="825">
        <v>6309</v>
      </c>
      <c r="D311" s="825" t="s">
        <v>321</v>
      </c>
      <c r="E311" s="825">
        <v>95.72</v>
      </c>
      <c r="F311" s="825">
        <v>0</v>
      </c>
      <c r="G311" s="775">
        <v>0</v>
      </c>
      <c r="H311" s="775">
        <v>0</v>
      </c>
    </row>
    <row r="312" spans="1:8">
      <c r="A312" s="775">
        <v>500</v>
      </c>
      <c r="B312" s="775" t="s">
        <v>576</v>
      </c>
      <c r="C312" s="825">
        <v>6318</v>
      </c>
      <c r="D312" s="825" t="s">
        <v>208</v>
      </c>
      <c r="E312" s="825">
        <v>95.72</v>
      </c>
      <c r="F312" s="825">
        <v>0</v>
      </c>
      <c r="G312" s="775">
        <v>0</v>
      </c>
      <c r="H312" s="775">
        <v>0</v>
      </c>
    </row>
    <row r="313" spans="1:8">
      <c r="A313" s="775">
        <v>500</v>
      </c>
      <c r="B313" s="775" t="s">
        <v>576</v>
      </c>
      <c r="C313" s="825">
        <v>6330</v>
      </c>
      <c r="D313" s="825" t="s">
        <v>328</v>
      </c>
      <c r="E313" s="825">
        <v>2393.06</v>
      </c>
      <c r="F313" s="825">
        <v>0</v>
      </c>
      <c r="G313" s="775">
        <v>0</v>
      </c>
      <c r="H313" s="775">
        <v>0</v>
      </c>
    </row>
    <row r="314" spans="1:8">
      <c r="A314" s="775">
        <v>500</v>
      </c>
      <c r="B314" s="775" t="s">
        <v>576</v>
      </c>
      <c r="C314" s="825">
        <v>6335</v>
      </c>
      <c r="D314" s="825" t="s">
        <v>357</v>
      </c>
      <c r="E314" s="825">
        <v>47.86</v>
      </c>
      <c r="F314" s="825">
        <v>0</v>
      </c>
      <c r="G314" s="775">
        <v>0</v>
      </c>
      <c r="H314" s="775">
        <v>0</v>
      </c>
    </row>
    <row r="315" spans="1:8">
      <c r="A315" s="775">
        <v>500</v>
      </c>
      <c r="B315" s="775" t="s">
        <v>576</v>
      </c>
      <c r="C315" s="825">
        <v>6339</v>
      </c>
      <c r="D315" s="825" t="s">
        <v>413</v>
      </c>
      <c r="E315" s="825">
        <v>478.61</v>
      </c>
      <c r="F315" s="825">
        <v>204.84</v>
      </c>
      <c r="G315" s="775">
        <v>0</v>
      </c>
      <c r="H315" s="775">
        <v>0</v>
      </c>
    </row>
    <row r="316" spans="1:8">
      <c r="A316" s="775">
        <v>500</v>
      </c>
      <c r="B316" s="775" t="s">
        <v>576</v>
      </c>
      <c r="C316" s="825">
        <v>6356</v>
      </c>
      <c r="D316" s="825" t="s">
        <v>815</v>
      </c>
      <c r="E316" s="825">
        <v>0</v>
      </c>
      <c r="F316" s="825">
        <v>18.829999999999998</v>
      </c>
      <c r="G316" s="775">
        <v>0</v>
      </c>
      <c r="H316" s="775">
        <v>0</v>
      </c>
    </row>
    <row r="317" spans="1:8">
      <c r="A317" s="775">
        <v>500</v>
      </c>
      <c r="B317" s="775" t="s">
        <v>576</v>
      </c>
      <c r="C317" s="825">
        <v>6358</v>
      </c>
      <c r="D317" s="825" t="s">
        <v>131</v>
      </c>
      <c r="E317" s="825">
        <v>0</v>
      </c>
      <c r="F317" s="825">
        <v>95.72</v>
      </c>
      <c r="G317" s="775">
        <v>0</v>
      </c>
      <c r="H317" s="775">
        <v>0</v>
      </c>
    </row>
    <row r="318" spans="1:8">
      <c r="A318" s="775">
        <v>500</v>
      </c>
      <c r="B318" s="775" t="s">
        <v>576</v>
      </c>
      <c r="C318" s="825">
        <v>6376</v>
      </c>
      <c r="D318" s="825" t="s">
        <v>141</v>
      </c>
      <c r="E318" s="825">
        <v>0</v>
      </c>
      <c r="F318" s="825">
        <v>191.44</v>
      </c>
      <c r="G318" s="775">
        <v>0</v>
      </c>
      <c r="H318" s="775">
        <v>0</v>
      </c>
    </row>
    <row r="319" spans="1:8">
      <c r="A319" s="775">
        <v>500</v>
      </c>
      <c r="B319" s="775" t="s">
        <v>576</v>
      </c>
      <c r="C319" s="825">
        <v>6397</v>
      </c>
      <c r="D319" s="825" t="s">
        <v>224</v>
      </c>
      <c r="E319" s="825">
        <v>1137.17</v>
      </c>
      <c r="F319" s="825">
        <v>0</v>
      </c>
      <c r="G319" s="775">
        <v>0</v>
      </c>
      <c r="H319" s="775">
        <v>0</v>
      </c>
    </row>
    <row r="320" spans="1:8">
      <c r="A320" s="775">
        <v>500</v>
      </c>
      <c r="B320" s="775" t="s">
        <v>576</v>
      </c>
      <c r="C320" s="825">
        <v>6414</v>
      </c>
      <c r="D320" s="825" t="s">
        <v>217</v>
      </c>
      <c r="E320" s="825">
        <v>201.02</v>
      </c>
      <c r="F320" s="825">
        <v>0</v>
      </c>
      <c r="G320" s="775">
        <v>0</v>
      </c>
      <c r="H320" s="775">
        <v>0</v>
      </c>
    </row>
    <row r="321" spans="1:8">
      <c r="A321" s="775">
        <v>500</v>
      </c>
      <c r="B321" s="775" t="s">
        <v>576</v>
      </c>
      <c r="C321" s="825">
        <v>6428</v>
      </c>
      <c r="D321" s="825" t="s">
        <v>293</v>
      </c>
      <c r="E321" s="825">
        <v>9.58</v>
      </c>
      <c r="F321" s="825">
        <v>0</v>
      </c>
      <c r="G321" s="775">
        <v>0</v>
      </c>
      <c r="H321" s="775">
        <v>0</v>
      </c>
    </row>
    <row r="322" spans="1:8">
      <c r="A322" s="775">
        <v>500</v>
      </c>
      <c r="B322" s="775" t="s">
        <v>576</v>
      </c>
      <c r="C322" s="825">
        <v>6437</v>
      </c>
      <c r="D322" s="825" t="s">
        <v>374</v>
      </c>
      <c r="E322" s="825">
        <v>87.11</v>
      </c>
      <c r="F322" s="825">
        <v>37.33</v>
      </c>
      <c r="G322" s="775">
        <v>0</v>
      </c>
      <c r="H322" s="775">
        <v>0</v>
      </c>
    </row>
    <row r="323" spans="1:8">
      <c r="A323" s="775">
        <v>500</v>
      </c>
      <c r="B323" s="775" t="s">
        <v>576</v>
      </c>
      <c r="C323" s="825">
        <v>6446</v>
      </c>
      <c r="D323" s="825" t="s">
        <v>351</v>
      </c>
      <c r="E323" s="825">
        <v>765.78</v>
      </c>
      <c r="F323" s="825">
        <v>0</v>
      </c>
      <c r="G323" s="775">
        <v>0</v>
      </c>
      <c r="H323" s="775">
        <v>0</v>
      </c>
    </row>
    <row r="324" spans="1:8">
      <c r="A324" s="775">
        <v>500</v>
      </c>
      <c r="B324" s="775" t="s">
        <v>576</v>
      </c>
      <c r="C324" s="825">
        <v>6447</v>
      </c>
      <c r="D324" s="825" t="s">
        <v>352</v>
      </c>
      <c r="E324" s="825">
        <v>47.86</v>
      </c>
      <c r="F324" s="825">
        <v>0</v>
      </c>
      <c r="G324" s="775">
        <v>0</v>
      </c>
      <c r="H324" s="775">
        <v>0</v>
      </c>
    </row>
    <row r="325" spans="1:8">
      <c r="A325" s="775">
        <v>500</v>
      </c>
      <c r="B325" s="775" t="s">
        <v>576</v>
      </c>
      <c r="C325" s="825">
        <v>6475</v>
      </c>
      <c r="D325" s="825" t="s">
        <v>237</v>
      </c>
      <c r="E325" s="825">
        <v>2680.22</v>
      </c>
      <c r="F325" s="825">
        <v>0</v>
      </c>
      <c r="G325" s="775">
        <v>0</v>
      </c>
      <c r="H325" s="775">
        <v>0</v>
      </c>
    </row>
    <row r="326" spans="1:8">
      <c r="A326" s="775">
        <v>500</v>
      </c>
      <c r="B326" s="775" t="s">
        <v>576</v>
      </c>
      <c r="C326" s="825">
        <v>6500</v>
      </c>
      <c r="D326" s="825" t="s">
        <v>109</v>
      </c>
      <c r="E326" s="825">
        <v>0</v>
      </c>
      <c r="F326" s="825">
        <v>957.22</v>
      </c>
      <c r="G326" s="775">
        <v>0</v>
      </c>
      <c r="H326" s="775">
        <v>0</v>
      </c>
    </row>
    <row r="327" spans="1:8">
      <c r="A327" s="775">
        <v>500</v>
      </c>
      <c r="B327" s="775" t="s">
        <v>576</v>
      </c>
      <c r="C327" s="825">
        <v>6503</v>
      </c>
      <c r="D327" s="825" t="s">
        <v>462</v>
      </c>
      <c r="E327" s="825">
        <v>33.5</v>
      </c>
      <c r="F327" s="825">
        <v>14.36</v>
      </c>
      <c r="G327" s="775">
        <v>0</v>
      </c>
      <c r="H327" s="775">
        <v>0</v>
      </c>
    </row>
    <row r="328" spans="1:8">
      <c r="A328" s="775">
        <v>500</v>
      </c>
      <c r="B328" s="775" t="s">
        <v>576</v>
      </c>
      <c r="C328" s="825">
        <v>6519</v>
      </c>
      <c r="D328" s="825" t="s">
        <v>398</v>
      </c>
      <c r="E328" s="825">
        <v>45.95</v>
      </c>
      <c r="F328" s="825">
        <v>20.11</v>
      </c>
      <c r="G328" s="775">
        <v>0</v>
      </c>
      <c r="H328" s="775">
        <v>0</v>
      </c>
    </row>
    <row r="329" spans="1:8">
      <c r="A329" s="775">
        <v>500</v>
      </c>
      <c r="B329" s="775" t="s">
        <v>576</v>
      </c>
      <c r="C329" s="825">
        <v>6520</v>
      </c>
      <c r="D329" s="825" t="s">
        <v>399</v>
      </c>
      <c r="E329" s="825">
        <v>114.86</v>
      </c>
      <c r="F329" s="825">
        <v>49.78</v>
      </c>
      <c r="G329" s="775">
        <v>0</v>
      </c>
      <c r="H329" s="775">
        <v>0</v>
      </c>
    </row>
    <row r="330" spans="1:8">
      <c r="A330" s="775">
        <v>500</v>
      </c>
      <c r="B330" s="775" t="s">
        <v>576</v>
      </c>
      <c r="C330" s="825">
        <v>6580</v>
      </c>
      <c r="D330" s="825" t="s">
        <v>265</v>
      </c>
      <c r="E330" s="825">
        <v>478.61</v>
      </c>
      <c r="F330" s="825">
        <v>0</v>
      </c>
      <c r="G330" s="775">
        <v>0</v>
      </c>
      <c r="H330" s="775">
        <v>0</v>
      </c>
    </row>
    <row r="331" spans="1:8">
      <c r="A331" s="775">
        <v>500</v>
      </c>
      <c r="B331" s="775" t="s">
        <v>576</v>
      </c>
      <c r="C331" s="825">
        <v>6609</v>
      </c>
      <c r="D331" s="825" t="s">
        <v>457</v>
      </c>
      <c r="E331" s="825">
        <v>13.4</v>
      </c>
      <c r="F331" s="825">
        <v>5.75</v>
      </c>
      <c r="G331" s="775">
        <v>0</v>
      </c>
      <c r="H331" s="775">
        <v>0</v>
      </c>
    </row>
    <row r="332" spans="1:8">
      <c r="A332" s="775">
        <v>500</v>
      </c>
      <c r="B332" s="775" t="s">
        <v>576</v>
      </c>
      <c r="C332" s="825">
        <v>6633</v>
      </c>
      <c r="D332" s="825" t="s">
        <v>228</v>
      </c>
      <c r="E332" s="825">
        <v>2201.61</v>
      </c>
      <c r="F332" s="825">
        <v>0</v>
      </c>
      <c r="G332" s="775">
        <v>0</v>
      </c>
      <c r="H332" s="775">
        <v>0</v>
      </c>
    </row>
    <row r="333" spans="1:8">
      <c r="A333" s="775">
        <v>500</v>
      </c>
      <c r="B333" s="775" t="s">
        <v>576</v>
      </c>
      <c r="C333" s="825">
        <v>6657</v>
      </c>
      <c r="D333" s="825" t="s">
        <v>97</v>
      </c>
      <c r="E333" s="825">
        <v>287.17</v>
      </c>
      <c r="F333" s="825">
        <v>0</v>
      </c>
      <c r="G333" s="775">
        <v>0</v>
      </c>
      <c r="H333" s="775">
        <v>0</v>
      </c>
    </row>
    <row r="334" spans="1:8">
      <c r="A334" s="775">
        <v>500</v>
      </c>
      <c r="B334" s="775" t="s">
        <v>576</v>
      </c>
      <c r="C334" s="825">
        <v>6687</v>
      </c>
      <c r="D334" s="825" t="s">
        <v>843</v>
      </c>
      <c r="E334" s="825">
        <v>226.01</v>
      </c>
      <c r="F334" s="825">
        <v>0</v>
      </c>
      <c r="G334" s="775">
        <v>0</v>
      </c>
      <c r="H334" s="775">
        <v>0</v>
      </c>
    </row>
    <row r="335" spans="1:8">
      <c r="A335" s="775">
        <v>500</v>
      </c>
      <c r="B335" s="775" t="s">
        <v>576</v>
      </c>
      <c r="C335" s="825">
        <v>6700</v>
      </c>
      <c r="D335" s="825" t="s">
        <v>947</v>
      </c>
      <c r="E335" s="825">
        <v>891.46</v>
      </c>
      <c r="F335" s="825">
        <v>0</v>
      </c>
      <c r="G335" s="775">
        <v>0</v>
      </c>
      <c r="H335" s="775">
        <v>0</v>
      </c>
    </row>
    <row r="336" spans="1:8">
      <c r="A336" s="775">
        <v>500</v>
      </c>
      <c r="B336" s="775" t="s">
        <v>576</v>
      </c>
      <c r="C336" s="825">
        <v>6701</v>
      </c>
      <c r="D336" s="825" t="s">
        <v>948</v>
      </c>
      <c r="E336" s="825">
        <v>891.46</v>
      </c>
      <c r="F336" s="825">
        <v>0</v>
      </c>
      <c r="G336" s="775">
        <v>0</v>
      </c>
      <c r="H336" s="775">
        <v>0</v>
      </c>
    </row>
    <row r="337" spans="1:8">
      <c r="A337" s="775">
        <v>500</v>
      </c>
      <c r="B337" s="775" t="s">
        <v>576</v>
      </c>
      <c r="C337" s="825">
        <v>6705</v>
      </c>
      <c r="D337" s="825" t="s">
        <v>838</v>
      </c>
      <c r="E337" s="825">
        <v>627.79</v>
      </c>
      <c r="F337" s="825">
        <v>0</v>
      </c>
      <c r="G337" s="775">
        <v>0</v>
      </c>
      <c r="H337" s="775">
        <v>0</v>
      </c>
    </row>
    <row r="338" spans="1:8">
      <c r="A338" s="775">
        <v>500</v>
      </c>
      <c r="B338" s="775" t="s">
        <v>576</v>
      </c>
      <c r="C338" s="825">
        <v>6716</v>
      </c>
      <c r="D338" s="825" t="s">
        <v>801</v>
      </c>
      <c r="E338" s="825">
        <v>125.55</v>
      </c>
      <c r="F338" s="825">
        <v>0</v>
      </c>
      <c r="G338" s="775">
        <v>0</v>
      </c>
      <c r="H338" s="775">
        <v>0</v>
      </c>
    </row>
    <row r="339" spans="1:8">
      <c r="A339" s="775">
        <v>500</v>
      </c>
      <c r="B339" s="775" t="s">
        <v>576</v>
      </c>
      <c r="C339" s="825">
        <v>6744</v>
      </c>
      <c r="D339" s="825" t="s">
        <v>899</v>
      </c>
      <c r="E339" s="825">
        <v>285.64999999999998</v>
      </c>
      <c r="F339" s="825">
        <v>122.42</v>
      </c>
      <c r="G339" s="775">
        <v>0</v>
      </c>
      <c r="H339" s="775">
        <v>0</v>
      </c>
    </row>
    <row r="340" spans="1:8">
      <c r="A340" s="775">
        <v>500</v>
      </c>
      <c r="B340" s="775" t="s">
        <v>576</v>
      </c>
      <c r="C340" s="825">
        <v>6751</v>
      </c>
      <c r="D340" s="825" t="s">
        <v>925</v>
      </c>
      <c r="E340" s="825">
        <v>1318.36</v>
      </c>
      <c r="F340" s="825">
        <v>565.01</v>
      </c>
      <c r="G340" s="775">
        <v>0</v>
      </c>
      <c r="H340" s="775">
        <v>0</v>
      </c>
    </row>
    <row r="341" spans="1:8">
      <c r="A341" s="775">
        <v>500</v>
      </c>
      <c r="B341" s="775" t="s">
        <v>576</v>
      </c>
      <c r="C341" s="825">
        <v>6759</v>
      </c>
      <c r="D341" s="825" t="s">
        <v>871</v>
      </c>
      <c r="E341" s="825">
        <v>1883.37</v>
      </c>
      <c r="F341" s="825">
        <v>0</v>
      </c>
      <c r="G341" s="775">
        <v>0</v>
      </c>
      <c r="H341" s="775">
        <v>0</v>
      </c>
    </row>
    <row r="342" spans="1:8">
      <c r="A342" s="775">
        <v>500</v>
      </c>
      <c r="B342" s="775" t="s">
        <v>576</v>
      </c>
      <c r="C342" s="825">
        <v>6777</v>
      </c>
      <c r="D342" s="825" t="s">
        <v>942</v>
      </c>
      <c r="E342" s="825">
        <v>0</v>
      </c>
      <c r="F342" s="825">
        <v>156.94999999999999</v>
      </c>
      <c r="G342" s="775">
        <v>0</v>
      </c>
      <c r="H342" s="775">
        <v>0</v>
      </c>
    </row>
    <row r="343" spans="1:8">
      <c r="A343" s="775">
        <v>150</v>
      </c>
      <c r="B343" s="775" t="s">
        <v>579</v>
      </c>
      <c r="C343" s="825">
        <v>6778</v>
      </c>
      <c r="D343" s="825" t="s">
        <v>785</v>
      </c>
      <c r="E343" s="825">
        <v>0</v>
      </c>
      <c r="F343" s="825">
        <v>627.79</v>
      </c>
      <c r="G343" s="775">
        <v>0</v>
      </c>
      <c r="H343" s="775">
        <v>0</v>
      </c>
    </row>
    <row r="344" spans="1:8">
      <c r="A344" s="775">
        <v>500</v>
      </c>
      <c r="B344" s="775" t="s">
        <v>576</v>
      </c>
      <c r="C344" s="825">
        <v>6786</v>
      </c>
      <c r="D344" s="825" t="s">
        <v>907</v>
      </c>
      <c r="E344" s="825">
        <v>0</v>
      </c>
      <c r="F344" s="825">
        <v>166.36</v>
      </c>
      <c r="G344" s="775">
        <v>0</v>
      </c>
      <c r="H344" s="775">
        <v>0</v>
      </c>
    </row>
    <row r="345" spans="1:8">
      <c r="A345" s="775">
        <v>500</v>
      </c>
      <c r="B345" s="775" t="s">
        <v>576</v>
      </c>
      <c r="C345" s="825">
        <v>6794</v>
      </c>
      <c r="D345" s="825" t="s">
        <v>795</v>
      </c>
      <c r="E345" s="825">
        <v>0</v>
      </c>
      <c r="F345" s="825">
        <v>100.45</v>
      </c>
      <c r="G345" s="775">
        <v>0</v>
      </c>
      <c r="H345" s="775">
        <v>0</v>
      </c>
    </row>
    <row r="346" spans="1:8">
      <c r="A346" s="775">
        <v>500</v>
      </c>
      <c r="B346" s="775" t="s">
        <v>576</v>
      </c>
      <c r="C346" s="825">
        <v>6816</v>
      </c>
      <c r="D346" s="825" t="s">
        <v>902</v>
      </c>
      <c r="E346" s="825">
        <v>659.18</v>
      </c>
      <c r="F346" s="825">
        <v>282.5</v>
      </c>
      <c r="G346" s="775">
        <v>0</v>
      </c>
      <c r="H346" s="775">
        <v>0</v>
      </c>
    </row>
    <row r="347" spans="1:8">
      <c r="A347" s="775">
        <v>500</v>
      </c>
      <c r="B347" s="775" t="s">
        <v>576</v>
      </c>
      <c r="C347" s="825">
        <v>6817</v>
      </c>
      <c r="D347" s="825" t="s">
        <v>831</v>
      </c>
      <c r="E347" s="825">
        <v>131.83000000000001</v>
      </c>
      <c r="F347" s="825">
        <v>56.5</v>
      </c>
      <c r="G347" s="775">
        <v>0</v>
      </c>
      <c r="H347" s="775">
        <v>0</v>
      </c>
    </row>
    <row r="348" spans="1:8">
      <c r="A348" s="775">
        <v>500</v>
      </c>
      <c r="B348" s="775" t="s">
        <v>576</v>
      </c>
      <c r="C348" s="825">
        <v>6820</v>
      </c>
      <c r="D348" s="825" t="s">
        <v>896</v>
      </c>
      <c r="E348" s="825">
        <v>219.72</v>
      </c>
      <c r="F348" s="825">
        <v>94.17</v>
      </c>
      <c r="G348" s="775">
        <v>0</v>
      </c>
      <c r="H348" s="775">
        <v>0</v>
      </c>
    </row>
    <row r="349" spans="1:8">
      <c r="A349" s="775">
        <v>500</v>
      </c>
      <c r="B349" s="775" t="s">
        <v>576</v>
      </c>
      <c r="C349" s="825">
        <v>6831</v>
      </c>
      <c r="D349" s="825" t="s">
        <v>873</v>
      </c>
      <c r="E349" s="825">
        <v>624.66</v>
      </c>
      <c r="F349" s="825">
        <v>0</v>
      </c>
      <c r="G349" s="775">
        <v>0</v>
      </c>
      <c r="H349" s="775">
        <v>0</v>
      </c>
    </row>
    <row r="350" spans="1:8">
      <c r="A350" s="775">
        <v>500</v>
      </c>
      <c r="B350" s="775" t="s">
        <v>576</v>
      </c>
      <c r="C350" s="825">
        <v>6832</v>
      </c>
      <c r="D350" s="825" t="s">
        <v>959</v>
      </c>
      <c r="E350" s="825">
        <v>166.36</v>
      </c>
      <c r="F350" s="825">
        <v>0</v>
      </c>
      <c r="G350" s="775">
        <v>0</v>
      </c>
      <c r="H350" s="775">
        <v>0</v>
      </c>
    </row>
    <row r="351" spans="1:8">
      <c r="A351" s="775">
        <v>500</v>
      </c>
      <c r="B351" s="775" t="s">
        <v>576</v>
      </c>
      <c r="C351" s="825">
        <v>6843</v>
      </c>
      <c r="D351" s="825" t="s">
        <v>953</v>
      </c>
      <c r="E351" s="825">
        <v>351.56</v>
      </c>
      <c r="F351" s="825">
        <v>150.66999999999999</v>
      </c>
      <c r="G351" s="775">
        <v>0</v>
      </c>
      <c r="H351" s="775">
        <v>0</v>
      </c>
    </row>
    <row r="352" spans="1:8">
      <c r="A352" s="775">
        <v>500</v>
      </c>
      <c r="B352" s="775" t="s">
        <v>576</v>
      </c>
      <c r="C352" s="825">
        <v>6850</v>
      </c>
      <c r="D352" s="825" t="s">
        <v>805</v>
      </c>
      <c r="E352" s="825">
        <v>3076.18</v>
      </c>
      <c r="F352" s="825">
        <v>1318.36</v>
      </c>
      <c r="G352" s="775">
        <v>0</v>
      </c>
      <c r="H352" s="775">
        <v>0</v>
      </c>
    </row>
    <row r="353" spans="1:8">
      <c r="A353" s="775">
        <v>500</v>
      </c>
      <c r="B353" s="775" t="s">
        <v>576</v>
      </c>
      <c r="C353" s="825">
        <v>6951</v>
      </c>
      <c r="D353" s="825" t="s">
        <v>376</v>
      </c>
      <c r="E353" s="825">
        <v>3509.17</v>
      </c>
      <c r="F353" s="825">
        <v>1503.8</v>
      </c>
      <c r="G353" s="775">
        <v>0</v>
      </c>
      <c r="H353" s="775">
        <v>0</v>
      </c>
    </row>
    <row r="354" spans="1:8">
      <c r="A354" s="775">
        <v>500</v>
      </c>
      <c r="B354" s="775" t="s">
        <v>576</v>
      </c>
      <c r="C354" s="825">
        <v>7029</v>
      </c>
      <c r="D354" s="825" t="s">
        <v>195</v>
      </c>
      <c r="E354" s="825">
        <v>72.75</v>
      </c>
      <c r="F354" s="825">
        <v>0</v>
      </c>
      <c r="G354" s="775">
        <v>0</v>
      </c>
      <c r="H354" s="775">
        <v>0</v>
      </c>
    </row>
    <row r="355" spans="1:8">
      <c r="A355" s="775">
        <v>500</v>
      </c>
      <c r="B355" s="775" t="s">
        <v>576</v>
      </c>
      <c r="C355" s="825">
        <v>7038</v>
      </c>
      <c r="D355" s="825" t="s">
        <v>199</v>
      </c>
      <c r="E355" s="825">
        <v>124.44</v>
      </c>
      <c r="F355" s="825">
        <v>0</v>
      </c>
      <c r="G355" s="775">
        <v>0</v>
      </c>
      <c r="H355" s="775">
        <v>0</v>
      </c>
    </row>
    <row r="356" spans="1:8">
      <c r="A356" s="775">
        <v>500</v>
      </c>
      <c r="B356" s="775" t="s">
        <v>576</v>
      </c>
      <c r="C356" s="825">
        <v>7198</v>
      </c>
      <c r="D356" s="825" t="s">
        <v>169</v>
      </c>
      <c r="E356" s="825">
        <v>0</v>
      </c>
      <c r="F356" s="825">
        <v>18.190000000000001</v>
      </c>
      <c r="G356" s="775">
        <v>0</v>
      </c>
      <c r="H356" s="775">
        <v>0</v>
      </c>
    </row>
    <row r="357" spans="1:8">
      <c r="A357" s="775">
        <v>500</v>
      </c>
      <c r="B357" s="775" t="s">
        <v>576</v>
      </c>
      <c r="C357" s="825">
        <v>7395</v>
      </c>
      <c r="D357" s="825" t="s">
        <v>291</v>
      </c>
      <c r="E357" s="825">
        <v>716</v>
      </c>
      <c r="F357" s="825">
        <v>0</v>
      </c>
      <c r="G357" s="775">
        <v>0</v>
      </c>
      <c r="H357" s="775">
        <v>0</v>
      </c>
    </row>
    <row r="358" spans="1:8">
      <c r="A358" s="775">
        <v>500</v>
      </c>
      <c r="B358" s="775" t="s">
        <v>576</v>
      </c>
      <c r="C358" s="825">
        <v>7426</v>
      </c>
      <c r="D358" s="825" t="s">
        <v>315</v>
      </c>
      <c r="E358" s="825">
        <v>286.20999999999998</v>
      </c>
      <c r="F358" s="825">
        <v>0</v>
      </c>
      <c r="G358" s="775">
        <v>0</v>
      </c>
      <c r="H358" s="775">
        <v>0</v>
      </c>
    </row>
    <row r="359" spans="1:8">
      <c r="A359" s="775">
        <v>500</v>
      </c>
      <c r="B359" s="775" t="s">
        <v>576</v>
      </c>
      <c r="C359" s="825">
        <v>91023</v>
      </c>
      <c r="D359" s="825" t="s">
        <v>937</v>
      </c>
      <c r="E359" s="825">
        <v>10.53</v>
      </c>
      <c r="F359" s="825">
        <v>0</v>
      </c>
      <c r="G359" s="775">
        <v>0</v>
      </c>
      <c r="H359" s="775">
        <v>0</v>
      </c>
    </row>
    <row r="360" spans="1:8">
      <c r="A360" s="775">
        <v>500</v>
      </c>
      <c r="B360" s="775" t="s">
        <v>576</v>
      </c>
      <c r="C360" s="825">
        <v>92329</v>
      </c>
      <c r="D360" s="825" t="s">
        <v>819</v>
      </c>
      <c r="E360" s="825">
        <v>408.07</v>
      </c>
      <c r="F360" s="825">
        <v>0</v>
      </c>
      <c r="G360" s="775">
        <v>0</v>
      </c>
      <c r="H360" s="775">
        <v>0</v>
      </c>
    </row>
    <row r="361" spans="1:8">
      <c r="A361" s="775">
        <v>500</v>
      </c>
      <c r="B361" s="775" t="s">
        <v>576</v>
      </c>
      <c r="C361" s="825">
        <v>92320</v>
      </c>
      <c r="D361" s="825" t="s">
        <v>931</v>
      </c>
      <c r="E361" s="825">
        <v>14.36</v>
      </c>
      <c r="F361" s="825">
        <v>0</v>
      </c>
      <c r="G361" s="775">
        <v>0</v>
      </c>
      <c r="H361" s="775">
        <v>0</v>
      </c>
    </row>
    <row r="362" spans="1:8">
      <c r="A362" s="775">
        <v>500</v>
      </c>
      <c r="B362" s="775" t="s">
        <v>576</v>
      </c>
      <c r="C362" s="825">
        <v>6072</v>
      </c>
      <c r="D362" s="825" t="s">
        <v>240</v>
      </c>
      <c r="E362" s="825">
        <v>95.72</v>
      </c>
      <c r="F362" s="825">
        <v>0</v>
      </c>
      <c r="G362" s="775">
        <v>0</v>
      </c>
      <c r="H362" s="775">
        <v>0</v>
      </c>
    </row>
    <row r="363" spans="1:8">
      <c r="A363" s="775">
        <v>500</v>
      </c>
      <c r="B363" s="775" t="s">
        <v>576</v>
      </c>
      <c r="C363" s="825">
        <v>6170</v>
      </c>
      <c r="D363" s="825" t="s">
        <v>353</v>
      </c>
      <c r="E363" s="825">
        <v>47.86</v>
      </c>
      <c r="F363" s="825">
        <v>0</v>
      </c>
      <c r="G363" s="775">
        <v>0</v>
      </c>
      <c r="H363" s="775">
        <v>0</v>
      </c>
    </row>
    <row r="364" spans="1:8">
      <c r="A364" s="775">
        <v>500</v>
      </c>
      <c r="B364" s="775" t="s">
        <v>576</v>
      </c>
      <c r="C364" s="825">
        <v>6223</v>
      </c>
      <c r="D364" s="825" t="s">
        <v>94</v>
      </c>
      <c r="E364" s="825">
        <v>9.58</v>
      </c>
      <c r="F364" s="825">
        <v>0</v>
      </c>
      <c r="G364" s="775">
        <v>0</v>
      </c>
      <c r="H364" s="775">
        <v>0</v>
      </c>
    </row>
    <row r="365" spans="1:8">
      <c r="A365" s="775">
        <v>500</v>
      </c>
      <c r="B365" s="775" t="s">
        <v>576</v>
      </c>
      <c r="C365" s="825">
        <v>6234</v>
      </c>
      <c r="D365" s="825" t="s">
        <v>245</v>
      </c>
      <c r="E365" s="825">
        <v>19.14</v>
      </c>
      <c r="F365" s="825">
        <v>0</v>
      </c>
      <c r="G365" s="775">
        <v>0</v>
      </c>
      <c r="H365" s="775">
        <v>0</v>
      </c>
    </row>
    <row r="366" spans="1:8">
      <c r="A366" s="775">
        <v>500</v>
      </c>
      <c r="B366" s="775" t="s">
        <v>576</v>
      </c>
      <c r="C366" s="825">
        <v>6241</v>
      </c>
      <c r="D366" s="825" t="s">
        <v>222</v>
      </c>
      <c r="E366" s="825">
        <v>47.86</v>
      </c>
      <c r="F366" s="825">
        <v>0</v>
      </c>
      <c r="G366" s="775">
        <v>0</v>
      </c>
      <c r="H366" s="775">
        <v>0</v>
      </c>
    </row>
    <row r="367" spans="1:8">
      <c r="A367" s="775">
        <v>500</v>
      </c>
      <c r="B367" s="775" t="s">
        <v>576</v>
      </c>
      <c r="C367" s="825">
        <v>6299</v>
      </c>
      <c r="D367" s="825" t="s">
        <v>218</v>
      </c>
      <c r="E367" s="825">
        <v>86.15</v>
      </c>
      <c r="F367" s="825">
        <v>0</v>
      </c>
      <c r="G367" s="775">
        <v>0</v>
      </c>
      <c r="H367" s="775">
        <v>0</v>
      </c>
    </row>
    <row r="368" spans="1:8">
      <c r="A368" s="775">
        <v>500</v>
      </c>
      <c r="B368" s="775" t="s">
        <v>576</v>
      </c>
      <c r="C368" s="825">
        <v>6311</v>
      </c>
      <c r="D368" s="825" t="s">
        <v>301</v>
      </c>
      <c r="E368" s="825">
        <v>47.86</v>
      </c>
      <c r="F368" s="825">
        <v>0</v>
      </c>
      <c r="G368" s="775">
        <v>0</v>
      </c>
      <c r="H368" s="775">
        <v>0</v>
      </c>
    </row>
    <row r="369" spans="1:8">
      <c r="A369" s="775">
        <v>500</v>
      </c>
      <c r="B369" s="775" t="s">
        <v>576</v>
      </c>
      <c r="C369" s="825">
        <v>6319</v>
      </c>
      <c r="D369" s="825" t="s">
        <v>253</v>
      </c>
      <c r="E369" s="825">
        <v>57.44</v>
      </c>
      <c r="F369" s="825">
        <v>0</v>
      </c>
      <c r="G369" s="775">
        <v>0</v>
      </c>
      <c r="H369" s="775">
        <v>0</v>
      </c>
    </row>
    <row r="370" spans="1:8">
      <c r="A370" s="775">
        <v>500</v>
      </c>
      <c r="B370" s="775" t="s">
        <v>576</v>
      </c>
      <c r="C370" s="825">
        <v>6329</v>
      </c>
      <c r="D370" s="825" t="s">
        <v>327</v>
      </c>
      <c r="E370" s="825">
        <v>2105.89</v>
      </c>
      <c r="F370" s="825">
        <v>0</v>
      </c>
      <c r="G370" s="775">
        <v>0</v>
      </c>
      <c r="H370" s="775">
        <v>0</v>
      </c>
    </row>
    <row r="371" spans="1:8">
      <c r="A371" s="775">
        <v>500</v>
      </c>
      <c r="B371" s="775" t="s">
        <v>576</v>
      </c>
      <c r="C371" s="825">
        <v>6349</v>
      </c>
      <c r="D371" s="825" t="s">
        <v>147</v>
      </c>
      <c r="E371" s="825">
        <v>0</v>
      </c>
      <c r="F371" s="825">
        <v>287.17</v>
      </c>
      <c r="G371" s="775">
        <v>0</v>
      </c>
      <c r="H371" s="775">
        <v>0</v>
      </c>
    </row>
    <row r="372" spans="1:8">
      <c r="A372" s="775">
        <v>500</v>
      </c>
      <c r="B372" s="775" t="s">
        <v>576</v>
      </c>
      <c r="C372" s="825">
        <v>6361</v>
      </c>
      <c r="D372" s="825" t="s">
        <v>103</v>
      </c>
      <c r="E372" s="825">
        <v>0</v>
      </c>
      <c r="F372" s="825">
        <v>287.17</v>
      </c>
      <c r="G372" s="775">
        <v>0</v>
      </c>
      <c r="H372" s="775">
        <v>0</v>
      </c>
    </row>
    <row r="373" spans="1:8">
      <c r="A373" s="775">
        <v>500</v>
      </c>
      <c r="B373" s="775" t="s">
        <v>576</v>
      </c>
      <c r="C373" s="825">
        <v>6370</v>
      </c>
      <c r="D373" s="825" t="s">
        <v>165</v>
      </c>
      <c r="E373" s="825">
        <v>0</v>
      </c>
      <c r="F373" s="825">
        <v>47.86</v>
      </c>
      <c r="G373" s="775">
        <v>0</v>
      </c>
      <c r="H373" s="775">
        <v>0</v>
      </c>
    </row>
    <row r="374" spans="1:8">
      <c r="A374" s="775">
        <v>500</v>
      </c>
      <c r="B374" s="775" t="s">
        <v>576</v>
      </c>
      <c r="C374" s="825">
        <v>6371</v>
      </c>
      <c r="D374" s="825" t="s">
        <v>166</v>
      </c>
      <c r="E374" s="825">
        <v>0</v>
      </c>
      <c r="F374" s="825">
        <v>47.86</v>
      </c>
      <c r="G374" s="775">
        <v>0</v>
      </c>
      <c r="H374" s="775">
        <v>0</v>
      </c>
    </row>
    <row r="375" spans="1:8">
      <c r="A375" s="775">
        <v>500</v>
      </c>
      <c r="B375" s="775" t="s">
        <v>576</v>
      </c>
      <c r="C375" s="825">
        <v>6372</v>
      </c>
      <c r="D375" s="825" t="s">
        <v>168</v>
      </c>
      <c r="E375" s="825">
        <v>0</v>
      </c>
      <c r="F375" s="825">
        <v>47.86</v>
      </c>
      <c r="G375" s="775">
        <v>0</v>
      </c>
      <c r="H375" s="775">
        <v>0</v>
      </c>
    </row>
    <row r="376" spans="1:8">
      <c r="A376" s="775">
        <v>500</v>
      </c>
      <c r="B376" s="775" t="s">
        <v>576</v>
      </c>
      <c r="C376" s="825">
        <v>6410</v>
      </c>
      <c r="D376" s="825" t="s">
        <v>441</v>
      </c>
      <c r="E376" s="825">
        <v>191.44</v>
      </c>
      <c r="F376" s="825">
        <v>0</v>
      </c>
      <c r="G376" s="775">
        <v>0</v>
      </c>
      <c r="H376" s="775">
        <v>0</v>
      </c>
    </row>
    <row r="377" spans="1:8">
      <c r="A377" s="775">
        <v>500</v>
      </c>
      <c r="B377" s="775" t="s">
        <v>576</v>
      </c>
      <c r="C377" s="825">
        <v>6439</v>
      </c>
      <c r="D377" s="825" t="s">
        <v>359</v>
      </c>
      <c r="E377" s="825">
        <v>19.14</v>
      </c>
      <c r="F377" s="825">
        <v>0</v>
      </c>
      <c r="G377" s="775">
        <v>0</v>
      </c>
      <c r="H377" s="775">
        <v>0</v>
      </c>
    </row>
    <row r="378" spans="1:8">
      <c r="A378" s="775">
        <v>500</v>
      </c>
      <c r="B378" s="775" t="s">
        <v>576</v>
      </c>
      <c r="C378" s="825">
        <v>6440</v>
      </c>
      <c r="D378" s="825" t="s">
        <v>360</v>
      </c>
      <c r="E378" s="825">
        <v>9.58</v>
      </c>
      <c r="F378" s="825">
        <v>0</v>
      </c>
      <c r="G378" s="775">
        <v>0</v>
      </c>
      <c r="H378" s="775">
        <v>0</v>
      </c>
    </row>
    <row r="379" spans="1:8">
      <c r="A379" s="775">
        <v>500</v>
      </c>
      <c r="B379" s="775" t="s">
        <v>576</v>
      </c>
      <c r="C379" s="825">
        <v>6452</v>
      </c>
      <c r="D379" s="825" t="s">
        <v>434</v>
      </c>
      <c r="E379" s="825">
        <v>9.58</v>
      </c>
      <c r="F379" s="825">
        <v>0</v>
      </c>
      <c r="G379" s="775">
        <v>0</v>
      </c>
      <c r="H379" s="775">
        <v>0</v>
      </c>
    </row>
    <row r="380" spans="1:8">
      <c r="A380" s="775">
        <v>500</v>
      </c>
      <c r="B380" s="775" t="s">
        <v>576</v>
      </c>
      <c r="C380" s="825">
        <v>6461</v>
      </c>
      <c r="D380" s="825" t="s">
        <v>201</v>
      </c>
      <c r="E380" s="825">
        <v>191.44</v>
      </c>
      <c r="F380" s="825">
        <v>0</v>
      </c>
      <c r="G380" s="775">
        <v>0</v>
      </c>
      <c r="H380" s="775">
        <v>0</v>
      </c>
    </row>
    <row r="381" spans="1:8">
      <c r="A381" s="775">
        <v>500</v>
      </c>
      <c r="B381" s="775" t="s">
        <v>576</v>
      </c>
      <c r="C381" s="825">
        <v>6477</v>
      </c>
      <c r="D381" s="825" t="s">
        <v>416</v>
      </c>
      <c r="E381" s="825">
        <v>107.21</v>
      </c>
      <c r="F381" s="825">
        <v>45.95</v>
      </c>
      <c r="G381" s="775">
        <v>0</v>
      </c>
      <c r="H381" s="775">
        <v>0</v>
      </c>
    </row>
    <row r="382" spans="1:8">
      <c r="A382" s="775">
        <v>500</v>
      </c>
      <c r="B382" s="775" t="s">
        <v>576</v>
      </c>
      <c r="C382" s="825">
        <v>6484</v>
      </c>
      <c r="D382" s="825" t="s">
        <v>432</v>
      </c>
      <c r="E382" s="825">
        <v>0</v>
      </c>
      <c r="F382" s="825">
        <v>47.86</v>
      </c>
      <c r="G382" s="775">
        <v>0</v>
      </c>
      <c r="H382" s="775">
        <v>0</v>
      </c>
    </row>
    <row r="383" spans="1:8">
      <c r="A383" s="775">
        <v>500</v>
      </c>
      <c r="B383" s="775" t="s">
        <v>576</v>
      </c>
      <c r="C383" s="825">
        <v>6486</v>
      </c>
      <c r="D383" s="825" t="s">
        <v>415</v>
      </c>
      <c r="E383" s="825">
        <v>107.21</v>
      </c>
      <c r="F383" s="825">
        <v>45.95</v>
      </c>
      <c r="G383" s="775">
        <v>0</v>
      </c>
      <c r="H383" s="775">
        <v>0</v>
      </c>
    </row>
    <row r="384" spans="1:8">
      <c r="A384" s="775">
        <v>500</v>
      </c>
      <c r="B384" s="775" t="s">
        <v>576</v>
      </c>
      <c r="C384" s="825">
        <v>6511</v>
      </c>
      <c r="D384" s="825" t="s">
        <v>395</v>
      </c>
      <c r="E384" s="825">
        <v>117.74</v>
      </c>
      <c r="F384" s="825">
        <v>49.78</v>
      </c>
      <c r="G384" s="775">
        <v>0</v>
      </c>
      <c r="H384" s="775">
        <v>0</v>
      </c>
    </row>
    <row r="385" spans="1:8">
      <c r="A385" s="775">
        <v>500</v>
      </c>
      <c r="B385" s="775" t="s">
        <v>576</v>
      </c>
      <c r="C385" s="825">
        <v>6577</v>
      </c>
      <c r="D385" s="825" t="s">
        <v>270</v>
      </c>
      <c r="E385" s="825">
        <v>478.61</v>
      </c>
      <c r="F385" s="825">
        <v>0</v>
      </c>
      <c r="G385" s="775">
        <v>0</v>
      </c>
      <c r="H385" s="775">
        <v>0</v>
      </c>
    </row>
    <row r="386" spans="1:8">
      <c r="A386" s="775">
        <v>500</v>
      </c>
      <c r="B386" s="775" t="s">
        <v>576</v>
      </c>
      <c r="C386" s="825">
        <v>6598</v>
      </c>
      <c r="D386" s="825" t="s">
        <v>373</v>
      </c>
      <c r="E386" s="825">
        <v>113.91</v>
      </c>
      <c r="F386" s="825">
        <v>48.81</v>
      </c>
      <c r="G386" s="775">
        <v>0</v>
      </c>
      <c r="H386" s="775">
        <v>0</v>
      </c>
    </row>
    <row r="387" spans="1:8">
      <c r="A387" s="775">
        <v>500</v>
      </c>
      <c r="B387" s="775" t="s">
        <v>576</v>
      </c>
      <c r="C387" s="825">
        <v>6614</v>
      </c>
      <c r="D387" s="825" t="s">
        <v>349</v>
      </c>
      <c r="E387" s="825">
        <v>191.44</v>
      </c>
      <c r="F387" s="825">
        <v>0</v>
      </c>
      <c r="G387" s="775">
        <v>0</v>
      </c>
      <c r="H387" s="775">
        <v>0</v>
      </c>
    </row>
    <row r="388" spans="1:8">
      <c r="A388" s="775">
        <v>500</v>
      </c>
      <c r="B388" s="775" t="s">
        <v>576</v>
      </c>
      <c r="C388" s="825">
        <v>6628</v>
      </c>
      <c r="D388" s="825" t="s">
        <v>812</v>
      </c>
      <c r="E388" s="825">
        <v>0</v>
      </c>
      <c r="F388" s="825">
        <v>28.72</v>
      </c>
      <c r="G388" s="775">
        <v>0</v>
      </c>
      <c r="H388" s="775">
        <v>0</v>
      </c>
    </row>
    <row r="389" spans="1:8">
      <c r="A389" s="775">
        <v>500</v>
      </c>
      <c r="B389" s="775" t="s">
        <v>576</v>
      </c>
      <c r="C389" s="825">
        <v>6634</v>
      </c>
      <c r="D389" s="825" t="s">
        <v>308</v>
      </c>
      <c r="E389" s="825">
        <v>95.72</v>
      </c>
      <c r="F389" s="825">
        <v>0</v>
      </c>
      <c r="G389" s="775">
        <v>0</v>
      </c>
      <c r="H389" s="775">
        <v>0</v>
      </c>
    </row>
    <row r="390" spans="1:8">
      <c r="A390" s="775">
        <v>500</v>
      </c>
      <c r="B390" s="775" t="s">
        <v>576</v>
      </c>
      <c r="C390" s="825">
        <v>6677</v>
      </c>
      <c r="D390" s="825" t="s">
        <v>944</v>
      </c>
      <c r="E390" s="825">
        <v>188.34</v>
      </c>
      <c r="F390" s="825">
        <v>0</v>
      </c>
      <c r="G390" s="775">
        <v>0</v>
      </c>
      <c r="H390" s="775">
        <v>0</v>
      </c>
    </row>
    <row r="391" spans="1:8">
      <c r="A391" s="775">
        <v>500</v>
      </c>
      <c r="B391" s="775" t="s">
        <v>576</v>
      </c>
      <c r="C391" s="825">
        <v>6694</v>
      </c>
      <c r="D391" s="825" t="s">
        <v>916</v>
      </c>
      <c r="E391" s="825">
        <v>109.87</v>
      </c>
      <c r="F391" s="825">
        <v>0</v>
      </c>
      <c r="G391" s="775">
        <v>0</v>
      </c>
      <c r="H391" s="775">
        <v>0</v>
      </c>
    </row>
    <row r="392" spans="1:8">
      <c r="A392" s="775">
        <v>500</v>
      </c>
      <c r="B392" s="775" t="s">
        <v>576</v>
      </c>
      <c r="C392" s="825">
        <v>6698</v>
      </c>
      <c r="D392" s="825" t="s">
        <v>820</v>
      </c>
      <c r="E392" s="825">
        <v>354.71</v>
      </c>
      <c r="F392" s="825">
        <v>0</v>
      </c>
      <c r="G392" s="775">
        <v>0</v>
      </c>
      <c r="H392" s="775">
        <v>0</v>
      </c>
    </row>
    <row r="393" spans="1:8">
      <c r="A393" s="775">
        <v>500</v>
      </c>
      <c r="B393" s="775" t="s">
        <v>576</v>
      </c>
      <c r="C393" s="825">
        <v>6702</v>
      </c>
      <c r="D393" s="825" t="s">
        <v>772</v>
      </c>
      <c r="E393" s="825">
        <v>251.12</v>
      </c>
      <c r="F393" s="825">
        <v>0</v>
      </c>
      <c r="G393" s="775">
        <v>0</v>
      </c>
      <c r="H393" s="775">
        <v>0</v>
      </c>
    </row>
    <row r="394" spans="1:8">
      <c r="A394" s="775">
        <v>500</v>
      </c>
      <c r="B394" s="775" t="s">
        <v>576</v>
      </c>
      <c r="C394" s="825">
        <v>6706</v>
      </c>
      <c r="D394" s="825" t="s">
        <v>861</v>
      </c>
      <c r="E394" s="825">
        <v>662.32</v>
      </c>
      <c r="F394" s="825">
        <v>0</v>
      </c>
      <c r="G394" s="775">
        <v>0</v>
      </c>
      <c r="H394" s="775">
        <v>0</v>
      </c>
    </row>
    <row r="395" spans="1:8">
      <c r="A395" s="775">
        <v>500</v>
      </c>
      <c r="B395" s="775" t="s">
        <v>576</v>
      </c>
      <c r="C395" s="825">
        <v>6715</v>
      </c>
      <c r="D395" s="825" t="s">
        <v>862</v>
      </c>
      <c r="E395" s="825">
        <v>125.55</v>
      </c>
      <c r="F395" s="825">
        <v>0</v>
      </c>
      <c r="G395" s="775">
        <v>0</v>
      </c>
      <c r="H395" s="775">
        <v>0</v>
      </c>
    </row>
    <row r="396" spans="1:8">
      <c r="A396" s="775">
        <v>500</v>
      </c>
      <c r="B396" s="775" t="s">
        <v>576</v>
      </c>
      <c r="C396" s="825">
        <v>6717</v>
      </c>
      <c r="D396" s="825" t="s">
        <v>914</v>
      </c>
      <c r="E396" s="825">
        <v>113</v>
      </c>
      <c r="F396" s="825">
        <v>0</v>
      </c>
      <c r="G396" s="775">
        <v>0</v>
      </c>
      <c r="H396" s="775">
        <v>0</v>
      </c>
    </row>
    <row r="397" spans="1:8">
      <c r="A397" s="775">
        <v>500</v>
      </c>
      <c r="B397" s="775" t="s">
        <v>576</v>
      </c>
      <c r="C397" s="825">
        <v>6737</v>
      </c>
      <c r="D397" s="825" t="s">
        <v>780</v>
      </c>
      <c r="E397" s="825">
        <v>31.39</v>
      </c>
      <c r="F397" s="825">
        <v>0</v>
      </c>
      <c r="G397" s="775">
        <v>0</v>
      </c>
      <c r="H397" s="775">
        <v>0</v>
      </c>
    </row>
    <row r="398" spans="1:8">
      <c r="A398" s="775">
        <v>500</v>
      </c>
      <c r="B398" s="775" t="s">
        <v>576</v>
      </c>
      <c r="C398" s="825">
        <v>6738</v>
      </c>
      <c r="D398" s="825" t="s">
        <v>868</v>
      </c>
      <c r="E398" s="825">
        <v>351.56</v>
      </c>
      <c r="F398" s="825">
        <v>150.66999999999999</v>
      </c>
      <c r="G398" s="775">
        <v>0</v>
      </c>
      <c r="H398" s="775">
        <v>0</v>
      </c>
    </row>
    <row r="399" spans="1:8">
      <c r="A399" s="775">
        <v>500</v>
      </c>
      <c r="B399" s="775" t="s">
        <v>576</v>
      </c>
      <c r="C399" s="825">
        <v>6742</v>
      </c>
      <c r="D399" s="825" t="s">
        <v>869</v>
      </c>
      <c r="E399" s="825">
        <v>285.64999999999998</v>
      </c>
      <c r="F399" s="825">
        <v>122.42</v>
      </c>
      <c r="G399" s="775">
        <v>0</v>
      </c>
      <c r="H399" s="775">
        <v>0</v>
      </c>
    </row>
    <row r="400" spans="1:8">
      <c r="A400" s="775">
        <v>500</v>
      </c>
      <c r="B400" s="775" t="s">
        <v>576</v>
      </c>
      <c r="C400" s="825">
        <v>6754</v>
      </c>
      <c r="D400" s="825" t="s">
        <v>870</v>
      </c>
      <c r="E400" s="825">
        <v>2197.27</v>
      </c>
      <c r="F400" s="825">
        <v>941.69</v>
      </c>
      <c r="G400" s="775">
        <v>0</v>
      </c>
      <c r="H400" s="775">
        <v>0</v>
      </c>
    </row>
    <row r="401" spans="1:8">
      <c r="A401" s="775">
        <v>500</v>
      </c>
      <c r="B401" s="775" t="s">
        <v>576</v>
      </c>
      <c r="C401" s="825">
        <v>6760</v>
      </c>
      <c r="D401" s="825" t="s">
        <v>893</v>
      </c>
      <c r="E401" s="825">
        <v>0</v>
      </c>
      <c r="F401" s="825">
        <v>502.24</v>
      </c>
      <c r="G401" s="775">
        <v>0</v>
      </c>
      <c r="H401" s="775">
        <v>0</v>
      </c>
    </row>
    <row r="402" spans="1:8">
      <c r="A402" s="775">
        <v>500</v>
      </c>
      <c r="B402" s="775" t="s">
        <v>576</v>
      </c>
      <c r="C402" s="825">
        <v>6772</v>
      </c>
      <c r="D402" s="825" t="s">
        <v>847</v>
      </c>
      <c r="E402" s="825">
        <v>0</v>
      </c>
      <c r="F402" s="825">
        <v>313.89999999999998</v>
      </c>
      <c r="G402" s="775">
        <v>0</v>
      </c>
      <c r="H402" s="775">
        <v>0</v>
      </c>
    </row>
    <row r="403" spans="1:8">
      <c r="A403" s="775">
        <v>500</v>
      </c>
      <c r="B403" s="775" t="s">
        <v>576</v>
      </c>
      <c r="C403" s="825">
        <v>6776</v>
      </c>
      <c r="D403" s="825" t="s">
        <v>881</v>
      </c>
      <c r="E403" s="825">
        <v>0</v>
      </c>
      <c r="F403" s="825">
        <v>156.94999999999999</v>
      </c>
      <c r="G403" s="775">
        <v>0</v>
      </c>
      <c r="H403" s="775">
        <v>0</v>
      </c>
    </row>
    <row r="404" spans="1:8">
      <c r="A404" s="775">
        <v>500</v>
      </c>
      <c r="B404" s="775" t="s">
        <v>576</v>
      </c>
      <c r="C404" s="825">
        <v>6791</v>
      </c>
      <c r="D404" s="825" t="s">
        <v>816</v>
      </c>
      <c r="E404" s="825">
        <v>0</v>
      </c>
      <c r="F404" s="825">
        <v>357.84</v>
      </c>
      <c r="G404" s="775">
        <v>0</v>
      </c>
      <c r="H404" s="775">
        <v>0</v>
      </c>
    </row>
    <row r="405" spans="1:8">
      <c r="A405" s="775">
        <v>500</v>
      </c>
      <c r="B405" s="775" t="s">
        <v>576</v>
      </c>
      <c r="C405" s="825">
        <v>6808</v>
      </c>
      <c r="D405" s="825" t="s">
        <v>930</v>
      </c>
      <c r="E405" s="825">
        <v>131.83000000000001</v>
      </c>
      <c r="F405" s="825">
        <v>56.5</v>
      </c>
      <c r="G405" s="775">
        <v>0</v>
      </c>
      <c r="H405" s="775">
        <v>0</v>
      </c>
    </row>
    <row r="406" spans="1:8">
      <c r="A406" s="775">
        <v>500</v>
      </c>
      <c r="B406" s="775" t="s">
        <v>576</v>
      </c>
      <c r="C406" s="825">
        <v>6811</v>
      </c>
      <c r="D406" s="825" t="s">
        <v>901</v>
      </c>
      <c r="E406" s="825">
        <v>329.59</v>
      </c>
      <c r="F406" s="825">
        <v>141.25</v>
      </c>
      <c r="G406" s="775">
        <v>0</v>
      </c>
      <c r="H406" s="775">
        <v>0</v>
      </c>
    </row>
    <row r="407" spans="1:8">
      <c r="A407" s="775">
        <v>500</v>
      </c>
      <c r="B407" s="775" t="s">
        <v>576</v>
      </c>
      <c r="C407" s="825">
        <v>6814</v>
      </c>
      <c r="D407" s="825" t="s">
        <v>849</v>
      </c>
      <c r="E407" s="825">
        <v>188.34</v>
      </c>
      <c r="F407" s="825">
        <v>78.47</v>
      </c>
      <c r="G407" s="775">
        <v>0</v>
      </c>
      <c r="H407" s="775">
        <v>0</v>
      </c>
    </row>
    <row r="408" spans="1:8">
      <c r="A408" s="775">
        <v>500</v>
      </c>
      <c r="B408" s="775" t="s">
        <v>576</v>
      </c>
      <c r="C408" s="825">
        <v>6825</v>
      </c>
      <c r="D408" s="825" t="s">
        <v>761</v>
      </c>
      <c r="E408" s="825">
        <v>116.14</v>
      </c>
      <c r="F408" s="825">
        <v>50.23</v>
      </c>
      <c r="G408" s="775">
        <v>0</v>
      </c>
      <c r="H408" s="775">
        <v>0</v>
      </c>
    </row>
    <row r="409" spans="1:8">
      <c r="A409" s="775">
        <v>500</v>
      </c>
      <c r="B409" s="775" t="s">
        <v>576</v>
      </c>
      <c r="C409" s="825">
        <v>6827</v>
      </c>
      <c r="D409" s="825" t="s">
        <v>903</v>
      </c>
      <c r="E409" s="825">
        <v>116.14</v>
      </c>
      <c r="F409" s="825">
        <v>50.23</v>
      </c>
      <c r="G409" s="775">
        <v>0</v>
      </c>
      <c r="H409" s="775">
        <v>0</v>
      </c>
    </row>
    <row r="410" spans="1:8">
      <c r="A410" s="775">
        <v>150</v>
      </c>
      <c r="B410" s="775" t="s">
        <v>579</v>
      </c>
      <c r="C410" s="825">
        <v>6828</v>
      </c>
      <c r="D410" s="825" t="s">
        <v>791</v>
      </c>
      <c r="E410" s="825">
        <v>106.72</v>
      </c>
      <c r="F410" s="825">
        <v>43.94</v>
      </c>
      <c r="G410" s="775">
        <v>0</v>
      </c>
      <c r="H410" s="775">
        <v>0</v>
      </c>
    </row>
    <row r="411" spans="1:8">
      <c r="A411" s="775">
        <v>500</v>
      </c>
      <c r="B411" s="775" t="s">
        <v>576</v>
      </c>
      <c r="C411" s="825">
        <v>6833</v>
      </c>
      <c r="D411" s="825" t="s">
        <v>824</v>
      </c>
      <c r="E411" s="825">
        <v>546.17999999999995</v>
      </c>
      <c r="F411" s="825">
        <v>0</v>
      </c>
      <c r="G411" s="775">
        <v>0</v>
      </c>
      <c r="H411" s="775">
        <v>0</v>
      </c>
    </row>
    <row r="412" spans="1:8">
      <c r="A412" s="775">
        <v>500</v>
      </c>
      <c r="B412" s="775" t="s">
        <v>576</v>
      </c>
      <c r="C412" s="825">
        <v>6844</v>
      </c>
      <c r="D412" s="825" t="s">
        <v>866</v>
      </c>
      <c r="E412" s="825">
        <v>285.64999999999998</v>
      </c>
      <c r="F412" s="825">
        <v>122.42</v>
      </c>
      <c r="G412" s="775">
        <v>0</v>
      </c>
      <c r="H412" s="775">
        <v>0</v>
      </c>
    </row>
    <row r="413" spans="1:8">
      <c r="A413" s="775">
        <v>500</v>
      </c>
      <c r="B413" s="775" t="s">
        <v>576</v>
      </c>
      <c r="C413" s="825">
        <v>6848</v>
      </c>
      <c r="D413" s="825" t="s">
        <v>867</v>
      </c>
      <c r="E413" s="825">
        <v>285.64999999999998</v>
      </c>
      <c r="F413" s="825">
        <v>122.42</v>
      </c>
      <c r="G413" s="775">
        <v>0</v>
      </c>
      <c r="H413" s="775">
        <v>0</v>
      </c>
    </row>
    <row r="414" spans="1:8">
      <c r="A414" s="775">
        <v>500</v>
      </c>
      <c r="B414" s="775" t="s">
        <v>576</v>
      </c>
      <c r="C414" s="825">
        <v>6855</v>
      </c>
      <c r="D414" s="825" t="s">
        <v>954</v>
      </c>
      <c r="E414" s="825">
        <v>373.54</v>
      </c>
      <c r="F414" s="825">
        <v>160.08000000000001</v>
      </c>
      <c r="G414" s="775">
        <v>0</v>
      </c>
      <c r="H414" s="775">
        <v>0</v>
      </c>
    </row>
    <row r="415" spans="1:8">
      <c r="A415" s="775">
        <v>500</v>
      </c>
      <c r="B415" s="775" t="s">
        <v>576</v>
      </c>
      <c r="C415" s="825">
        <v>6861</v>
      </c>
      <c r="D415" s="825" t="s">
        <v>782</v>
      </c>
      <c r="E415" s="825">
        <v>100.45</v>
      </c>
      <c r="F415" s="825">
        <v>40.81</v>
      </c>
      <c r="G415" s="775">
        <v>0</v>
      </c>
      <c r="H415" s="775">
        <v>0</v>
      </c>
    </row>
    <row r="416" spans="1:8">
      <c r="A416" s="775">
        <v>500</v>
      </c>
      <c r="B416" s="775" t="s">
        <v>576</v>
      </c>
      <c r="C416" s="825">
        <v>6923</v>
      </c>
      <c r="D416" s="825" t="s">
        <v>390</v>
      </c>
      <c r="E416" s="825">
        <v>140.72</v>
      </c>
      <c r="F416" s="825">
        <v>60.31</v>
      </c>
      <c r="G416" s="775">
        <v>0</v>
      </c>
      <c r="H416" s="775">
        <v>0</v>
      </c>
    </row>
    <row r="417" spans="1:8">
      <c r="A417" s="775">
        <v>500</v>
      </c>
      <c r="B417" s="775" t="s">
        <v>576</v>
      </c>
      <c r="C417" s="825">
        <v>6955</v>
      </c>
      <c r="D417" s="825" t="s">
        <v>110</v>
      </c>
      <c r="E417" s="825">
        <v>0</v>
      </c>
      <c r="F417" s="825">
        <v>52.64</v>
      </c>
      <c r="G417" s="775">
        <v>0</v>
      </c>
      <c r="H417" s="775">
        <v>0</v>
      </c>
    </row>
    <row r="418" spans="1:8">
      <c r="A418" s="775">
        <v>500</v>
      </c>
      <c r="B418" s="775" t="s">
        <v>576</v>
      </c>
      <c r="C418" s="825">
        <v>6972</v>
      </c>
      <c r="D418" s="825" t="s">
        <v>148</v>
      </c>
      <c r="E418" s="825">
        <v>0</v>
      </c>
      <c r="F418" s="825">
        <v>191.44</v>
      </c>
      <c r="G418" s="775">
        <v>0</v>
      </c>
      <c r="H418" s="775">
        <v>0</v>
      </c>
    </row>
    <row r="419" spans="1:8">
      <c r="A419" s="775">
        <v>500</v>
      </c>
      <c r="B419" s="775" t="s">
        <v>576</v>
      </c>
      <c r="C419" s="825">
        <v>7043</v>
      </c>
      <c r="D419" s="825" t="s">
        <v>299</v>
      </c>
      <c r="E419" s="825">
        <v>28.72</v>
      </c>
      <c r="F419" s="825">
        <v>0</v>
      </c>
      <c r="G419" s="775">
        <v>0</v>
      </c>
      <c r="H419" s="775">
        <v>0</v>
      </c>
    </row>
    <row r="420" spans="1:8">
      <c r="A420" s="775">
        <v>500</v>
      </c>
      <c r="B420" s="775" t="s">
        <v>576</v>
      </c>
      <c r="C420" s="825">
        <v>7049</v>
      </c>
      <c r="D420" s="825" t="s">
        <v>444</v>
      </c>
      <c r="E420" s="825">
        <v>47.86</v>
      </c>
      <c r="F420" s="825">
        <v>0</v>
      </c>
      <c r="G420" s="775">
        <v>0</v>
      </c>
      <c r="H420" s="775">
        <v>0</v>
      </c>
    </row>
    <row r="421" spans="1:8">
      <c r="A421" s="775">
        <v>500</v>
      </c>
      <c r="B421" s="775" t="s">
        <v>576</v>
      </c>
      <c r="C421" s="825">
        <v>7090</v>
      </c>
      <c r="D421" s="825" t="s">
        <v>98</v>
      </c>
      <c r="E421" s="825">
        <v>0</v>
      </c>
      <c r="F421" s="825">
        <v>191.44</v>
      </c>
      <c r="G421" s="775">
        <v>0</v>
      </c>
      <c r="H421" s="775">
        <v>0</v>
      </c>
    </row>
    <row r="422" spans="1:8">
      <c r="A422" s="775">
        <v>500</v>
      </c>
      <c r="B422" s="775" t="s">
        <v>576</v>
      </c>
      <c r="C422" s="825">
        <v>7100</v>
      </c>
      <c r="D422" s="825" t="s">
        <v>100</v>
      </c>
      <c r="E422" s="825">
        <v>0</v>
      </c>
      <c r="F422" s="825">
        <v>5.75</v>
      </c>
      <c r="G422" s="775">
        <v>0</v>
      </c>
      <c r="H422" s="775">
        <v>0</v>
      </c>
    </row>
    <row r="423" spans="1:8">
      <c r="A423" s="775">
        <v>500</v>
      </c>
      <c r="B423" s="775" t="s">
        <v>576</v>
      </c>
      <c r="C423" s="825">
        <v>7176</v>
      </c>
      <c r="D423" s="825" t="s">
        <v>155</v>
      </c>
      <c r="E423" s="825">
        <v>0</v>
      </c>
      <c r="F423" s="825">
        <v>287.17</v>
      </c>
      <c r="G423" s="775">
        <v>0</v>
      </c>
      <c r="H423" s="775">
        <v>0</v>
      </c>
    </row>
    <row r="424" spans="1:8">
      <c r="A424" s="775">
        <v>500</v>
      </c>
      <c r="B424" s="775" t="s">
        <v>576</v>
      </c>
      <c r="C424" s="825">
        <v>7186</v>
      </c>
      <c r="D424" s="825" t="s">
        <v>159</v>
      </c>
      <c r="E424" s="825">
        <v>0</v>
      </c>
      <c r="F424" s="825">
        <v>191.44</v>
      </c>
      <c r="G424" s="775">
        <v>0</v>
      </c>
      <c r="H424" s="775">
        <v>0</v>
      </c>
    </row>
    <row r="425" spans="1:8">
      <c r="A425" s="775">
        <v>500</v>
      </c>
      <c r="B425" s="775" t="s">
        <v>576</v>
      </c>
      <c r="C425" s="825">
        <v>7339</v>
      </c>
      <c r="D425" s="825" t="s">
        <v>250</v>
      </c>
      <c r="E425" s="825">
        <v>638.47</v>
      </c>
      <c r="F425" s="825">
        <v>0</v>
      </c>
      <c r="G425" s="775">
        <v>0</v>
      </c>
      <c r="H425" s="775">
        <v>0</v>
      </c>
    </row>
    <row r="426" spans="1:8">
      <c r="A426" s="775">
        <v>500</v>
      </c>
      <c r="B426" s="775" t="s">
        <v>576</v>
      </c>
      <c r="C426" s="825">
        <v>7595</v>
      </c>
      <c r="D426" s="825" t="s">
        <v>403</v>
      </c>
      <c r="E426" s="825">
        <v>30.63</v>
      </c>
      <c r="F426" s="825">
        <v>13.4</v>
      </c>
      <c r="G426" s="775">
        <v>0</v>
      </c>
      <c r="H426" s="775">
        <v>0</v>
      </c>
    </row>
    <row r="427" spans="1:8">
      <c r="A427" s="775">
        <v>500</v>
      </c>
      <c r="B427" s="775" t="s">
        <v>576</v>
      </c>
      <c r="C427" s="825">
        <v>7896</v>
      </c>
      <c r="D427" s="825" t="s">
        <v>905</v>
      </c>
      <c r="E427" s="825">
        <v>0</v>
      </c>
      <c r="F427" s="825">
        <v>134.97</v>
      </c>
      <c r="G427" s="775">
        <v>0</v>
      </c>
      <c r="H427" s="775">
        <v>0</v>
      </c>
    </row>
    <row r="428" spans="1:8">
      <c r="A428" s="775">
        <v>500</v>
      </c>
      <c r="B428" s="775" t="s">
        <v>576</v>
      </c>
      <c r="C428" s="825">
        <v>26376</v>
      </c>
      <c r="D428" s="825" t="s">
        <v>452</v>
      </c>
      <c r="E428" s="825">
        <v>1</v>
      </c>
      <c r="F428" s="825">
        <v>0</v>
      </c>
      <c r="G428" s="775">
        <v>0</v>
      </c>
      <c r="H428" s="775">
        <v>0</v>
      </c>
    </row>
    <row r="429" spans="1:8">
      <c r="A429" s="775">
        <v>500</v>
      </c>
      <c r="B429" s="775" t="s">
        <v>576</v>
      </c>
      <c r="C429" s="825">
        <v>6043</v>
      </c>
      <c r="D429" s="825" t="s">
        <v>115</v>
      </c>
      <c r="E429" s="825">
        <v>0</v>
      </c>
      <c r="F429" s="825">
        <v>28.72</v>
      </c>
      <c r="G429" s="775">
        <v>0</v>
      </c>
      <c r="H429" s="775">
        <v>0</v>
      </c>
    </row>
    <row r="430" spans="1:8">
      <c r="A430" s="775">
        <v>500</v>
      </c>
      <c r="B430" s="775" t="s">
        <v>576</v>
      </c>
      <c r="C430" s="825">
        <v>6055</v>
      </c>
      <c r="D430" s="825" t="s">
        <v>178</v>
      </c>
      <c r="E430" s="825">
        <v>0</v>
      </c>
      <c r="F430" s="825">
        <v>28.72</v>
      </c>
      <c r="G430" s="775">
        <v>0</v>
      </c>
      <c r="H430" s="775">
        <v>0</v>
      </c>
    </row>
    <row r="431" spans="1:8">
      <c r="A431" s="775">
        <v>500</v>
      </c>
      <c r="B431" s="775" t="s">
        <v>576</v>
      </c>
      <c r="C431" s="825">
        <v>6061</v>
      </c>
      <c r="D431" s="825" t="s">
        <v>188</v>
      </c>
      <c r="E431" s="825">
        <v>0</v>
      </c>
      <c r="F431" s="825">
        <v>287.17</v>
      </c>
      <c r="G431" s="775">
        <v>0</v>
      </c>
      <c r="H431" s="775">
        <v>0</v>
      </c>
    </row>
    <row r="432" spans="1:8">
      <c r="A432" s="775">
        <v>500</v>
      </c>
      <c r="B432" s="775" t="s">
        <v>576</v>
      </c>
      <c r="C432" s="825">
        <v>6062</v>
      </c>
      <c r="D432" s="825" t="s">
        <v>189</v>
      </c>
      <c r="E432" s="825">
        <v>0</v>
      </c>
      <c r="F432" s="825">
        <v>28.72</v>
      </c>
      <c r="G432" s="775">
        <v>0</v>
      </c>
      <c r="H432" s="775">
        <v>0</v>
      </c>
    </row>
    <row r="433" spans="1:8">
      <c r="A433" s="775">
        <v>500</v>
      </c>
      <c r="B433" s="775" t="s">
        <v>576</v>
      </c>
      <c r="C433" s="825">
        <v>6151</v>
      </c>
      <c r="D433" s="825" t="s">
        <v>1157</v>
      </c>
      <c r="E433" s="825">
        <v>5.75</v>
      </c>
      <c r="F433" s="825">
        <v>0</v>
      </c>
      <c r="G433" s="775">
        <v>0</v>
      </c>
      <c r="H433" s="775">
        <v>0</v>
      </c>
    </row>
    <row r="434" spans="1:8">
      <c r="A434" s="775">
        <v>500</v>
      </c>
      <c r="B434" s="775" t="s">
        <v>576</v>
      </c>
      <c r="C434" s="825">
        <v>6155</v>
      </c>
      <c r="D434" s="825" t="s">
        <v>442</v>
      </c>
      <c r="E434" s="825">
        <v>67</v>
      </c>
      <c r="F434" s="825">
        <v>0</v>
      </c>
      <c r="G434" s="775">
        <v>0</v>
      </c>
      <c r="H434" s="775">
        <v>0</v>
      </c>
    </row>
    <row r="435" spans="1:8">
      <c r="A435" s="775">
        <v>500</v>
      </c>
      <c r="B435" s="775" t="s">
        <v>576</v>
      </c>
      <c r="C435" s="825">
        <v>6195</v>
      </c>
      <c r="D435" s="825" t="s">
        <v>311</v>
      </c>
      <c r="E435" s="825">
        <v>1052.94</v>
      </c>
      <c r="F435" s="825">
        <v>0</v>
      </c>
      <c r="G435" s="775">
        <v>0</v>
      </c>
      <c r="H435" s="775">
        <v>0</v>
      </c>
    </row>
    <row r="436" spans="1:8">
      <c r="A436" s="775">
        <v>500</v>
      </c>
      <c r="B436" s="775" t="s">
        <v>576</v>
      </c>
      <c r="C436" s="825">
        <v>6229</v>
      </c>
      <c r="D436" s="825" t="s">
        <v>128</v>
      </c>
      <c r="E436" s="825">
        <v>0</v>
      </c>
      <c r="F436" s="825">
        <v>382.89</v>
      </c>
      <c r="G436" s="775">
        <v>0</v>
      </c>
      <c r="H436" s="775">
        <v>0</v>
      </c>
    </row>
    <row r="437" spans="1:8">
      <c r="A437" s="775">
        <v>500</v>
      </c>
      <c r="B437" s="775" t="s">
        <v>576</v>
      </c>
      <c r="C437" s="825">
        <v>6288</v>
      </c>
      <c r="D437" s="825" t="s">
        <v>431</v>
      </c>
      <c r="E437" s="825">
        <v>0</v>
      </c>
      <c r="F437" s="825">
        <v>28.72</v>
      </c>
      <c r="G437" s="775">
        <v>0</v>
      </c>
      <c r="H437" s="775">
        <v>0</v>
      </c>
    </row>
    <row r="438" spans="1:8">
      <c r="A438" s="775">
        <v>500</v>
      </c>
      <c r="B438" s="775" t="s">
        <v>576</v>
      </c>
      <c r="C438" s="825">
        <v>6297</v>
      </c>
      <c r="D438" s="825" t="s">
        <v>183</v>
      </c>
      <c r="E438" s="825">
        <v>0</v>
      </c>
      <c r="F438" s="825">
        <v>19.14</v>
      </c>
      <c r="G438" s="775">
        <v>0</v>
      </c>
      <c r="H438" s="775">
        <v>0</v>
      </c>
    </row>
    <row r="439" spans="1:8">
      <c r="A439" s="775">
        <v>500</v>
      </c>
      <c r="B439" s="775" t="s">
        <v>576</v>
      </c>
      <c r="C439" s="825">
        <v>6327</v>
      </c>
      <c r="D439" s="825" t="s">
        <v>279</v>
      </c>
      <c r="E439" s="825">
        <v>478.61</v>
      </c>
      <c r="F439" s="825">
        <v>0</v>
      </c>
      <c r="G439" s="775">
        <v>0</v>
      </c>
      <c r="H439" s="775">
        <v>0</v>
      </c>
    </row>
    <row r="440" spans="1:8">
      <c r="A440" s="775">
        <v>500</v>
      </c>
      <c r="B440" s="775" t="s">
        <v>576</v>
      </c>
      <c r="C440" s="825">
        <v>6353</v>
      </c>
      <c r="D440" s="825" t="s">
        <v>150</v>
      </c>
      <c r="E440" s="825">
        <v>0</v>
      </c>
      <c r="F440" s="825">
        <v>95.72</v>
      </c>
      <c r="G440" s="775">
        <v>0</v>
      </c>
      <c r="H440" s="775">
        <v>0</v>
      </c>
    </row>
    <row r="441" spans="1:8">
      <c r="A441" s="775">
        <v>500</v>
      </c>
      <c r="B441" s="775" t="s">
        <v>576</v>
      </c>
      <c r="C441" s="825">
        <v>6360</v>
      </c>
      <c r="D441" s="825" t="s">
        <v>102</v>
      </c>
      <c r="E441" s="825">
        <v>0</v>
      </c>
      <c r="F441" s="825">
        <v>287.17</v>
      </c>
      <c r="G441" s="775">
        <v>0</v>
      </c>
      <c r="H441" s="775">
        <v>0</v>
      </c>
    </row>
    <row r="442" spans="1:8">
      <c r="A442" s="775">
        <v>500</v>
      </c>
      <c r="B442" s="775" t="s">
        <v>576</v>
      </c>
      <c r="C442" s="825">
        <v>6362</v>
      </c>
      <c r="D442" s="825" t="s">
        <v>111</v>
      </c>
      <c r="E442" s="825">
        <v>0</v>
      </c>
      <c r="F442" s="825">
        <v>57.44</v>
      </c>
      <c r="G442" s="775">
        <v>0</v>
      </c>
      <c r="H442" s="775">
        <v>0</v>
      </c>
    </row>
    <row r="443" spans="1:8">
      <c r="A443" s="775">
        <v>500</v>
      </c>
      <c r="B443" s="775" t="s">
        <v>576</v>
      </c>
      <c r="C443" s="825">
        <v>6374</v>
      </c>
      <c r="D443" s="825" t="s">
        <v>161</v>
      </c>
      <c r="E443" s="825">
        <v>0</v>
      </c>
      <c r="F443" s="825">
        <v>47.86</v>
      </c>
      <c r="G443" s="775">
        <v>0</v>
      </c>
      <c r="H443" s="775">
        <v>0</v>
      </c>
    </row>
    <row r="444" spans="1:8">
      <c r="A444" s="775">
        <v>500</v>
      </c>
      <c r="B444" s="775" t="s">
        <v>576</v>
      </c>
      <c r="C444" s="825">
        <v>6382</v>
      </c>
      <c r="D444" s="825" t="s">
        <v>207</v>
      </c>
      <c r="E444" s="825">
        <v>95.72</v>
      </c>
      <c r="F444" s="825">
        <v>0</v>
      </c>
      <c r="G444" s="775">
        <v>0</v>
      </c>
      <c r="H444" s="775">
        <v>0</v>
      </c>
    </row>
    <row r="445" spans="1:8">
      <c r="A445" s="775">
        <v>500</v>
      </c>
      <c r="B445" s="775" t="s">
        <v>576</v>
      </c>
      <c r="C445" s="825">
        <v>6383</v>
      </c>
      <c r="D445" s="825" t="s">
        <v>271</v>
      </c>
      <c r="E445" s="825">
        <v>478.61</v>
      </c>
      <c r="F445" s="825">
        <v>0</v>
      </c>
      <c r="G445" s="775">
        <v>0</v>
      </c>
      <c r="H445" s="775">
        <v>0</v>
      </c>
    </row>
    <row r="446" spans="1:8">
      <c r="A446" s="775">
        <v>500</v>
      </c>
      <c r="B446" s="775" t="s">
        <v>576</v>
      </c>
      <c r="C446" s="825">
        <v>6385</v>
      </c>
      <c r="D446" s="825" t="s">
        <v>226</v>
      </c>
      <c r="E446" s="825">
        <v>2201.61</v>
      </c>
      <c r="F446" s="825">
        <v>0</v>
      </c>
      <c r="G446" s="775">
        <v>0</v>
      </c>
      <c r="H446" s="775">
        <v>0</v>
      </c>
    </row>
    <row r="447" spans="1:8">
      <c r="A447" s="775">
        <v>500</v>
      </c>
      <c r="B447" s="775" t="s">
        <v>576</v>
      </c>
      <c r="C447" s="825">
        <v>6398</v>
      </c>
      <c r="D447" s="825" t="s">
        <v>233</v>
      </c>
      <c r="E447" s="825">
        <v>95.72</v>
      </c>
      <c r="F447" s="825">
        <v>0</v>
      </c>
      <c r="G447" s="775">
        <v>0</v>
      </c>
      <c r="H447" s="775">
        <v>0</v>
      </c>
    </row>
    <row r="448" spans="1:8">
      <c r="A448" s="775">
        <v>500</v>
      </c>
      <c r="B448" s="775" t="s">
        <v>576</v>
      </c>
      <c r="C448" s="825">
        <v>6399</v>
      </c>
      <c r="D448" s="825" t="s">
        <v>235</v>
      </c>
      <c r="E448" s="825">
        <v>4403.22</v>
      </c>
      <c r="F448" s="825">
        <v>0</v>
      </c>
      <c r="G448" s="775">
        <v>0</v>
      </c>
      <c r="H448" s="775">
        <v>0</v>
      </c>
    </row>
    <row r="449" spans="1:8">
      <c r="A449" s="775">
        <v>500</v>
      </c>
      <c r="B449" s="775" t="s">
        <v>576</v>
      </c>
      <c r="C449" s="825">
        <v>6413</v>
      </c>
      <c r="D449" s="825" t="s">
        <v>216</v>
      </c>
      <c r="E449" s="825">
        <v>26.8</v>
      </c>
      <c r="F449" s="825">
        <v>0</v>
      </c>
      <c r="G449" s="775">
        <v>0</v>
      </c>
      <c r="H449" s="775">
        <v>0</v>
      </c>
    </row>
    <row r="450" spans="1:8">
      <c r="A450" s="775">
        <v>500</v>
      </c>
      <c r="B450" s="775" t="s">
        <v>576</v>
      </c>
      <c r="C450" s="825">
        <v>6434</v>
      </c>
      <c r="D450" s="825" t="s">
        <v>422</v>
      </c>
      <c r="E450" s="825">
        <v>938.08</v>
      </c>
      <c r="F450" s="825">
        <v>402.03</v>
      </c>
      <c r="G450" s="775">
        <v>0</v>
      </c>
      <c r="H450" s="775">
        <v>0</v>
      </c>
    </row>
    <row r="451" spans="1:8">
      <c r="A451" s="775">
        <v>500</v>
      </c>
      <c r="B451" s="775" t="s">
        <v>576</v>
      </c>
      <c r="C451" s="825">
        <v>6448</v>
      </c>
      <c r="D451" s="825" t="s">
        <v>355</v>
      </c>
      <c r="E451" s="825">
        <v>47.86</v>
      </c>
      <c r="F451" s="825">
        <v>0</v>
      </c>
      <c r="G451" s="775">
        <v>0</v>
      </c>
      <c r="H451" s="775">
        <v>0</v>
      </c>
    </row>
    <row r="452" spans="1:8">
      <c r="A452" s="775">
        <v>500</v>
      </c>
      <c r="B452" s="775" t="s">
        <v>576</v>
      </c>
      <c r="C452" s="825">
        <v>6449</v>
      </c>
      <c r="D452" s="825" t="s">
        <v>426</v>
      </c>
      <c r="E452" s="825">
        <v>191.44</v>
      </c>
      <c r="F452" s="825">
        <v>0</v>
      </c>
      <c r="G452" s="775">
        <v>0</v>
      </c>
      <c r="H452" s="775">
        <v>0</v>
      </c>
    </row>
    <row r="453" spans="1:8">
      <c r="A453" s="775">
        <v>500</v>
      </c>
      <c r="B453" s="775" t="s">
        <v>576</v>
      </c>
      <c r="C453" s="825">
        <v>6459</v>
      </c>
      <c r="D453" s="825" t="s">
        <v>337</v>
      </c>
      <c r="E453" s="825">
        <v>191.44</v>
      </c>
      <c r="F453" s="825">
        <v>0</v>
      </c>
      <c r="G453" s="775">
        <v>0</v>
      </c>
      <c r="H453" s="775">
        <v>0</v>
      </c>
    </row>
    <row r="454" spans="1:8">
      <c r="A454" s="775">
        <v>500</v>
      </c>
      <c r="B454" s="775" t="s">
        <v>576</v>
      </c>
      <c r="C454" s="825">
        <v>6481</v>
      </c>
      <c r="D454" s="825" t="s">
        <v>446</v>
      </c>
      <c r="E454" s="825">
        <v>191.44</v>
      </c>
      <c r="F454" s="825">
        <v>0</v>
      </c>
      <c r="G454" s="775">
        <v>0</v>
      </c>
      <c r="H454" s="775">
        <v>0</v>
      </c>
    </row>
    <row r="455" spans="1:8">
      <c r="A455" s="775">
        <v>500</v>
      </c>
      <c r="B455" s="775" t="s">
        <v>576</v>
      </c>
      <c r="C455" s="825">
        <v>6523</v>
      </c>
      <c r="D455" s="825" t="s">
        <v>408</v>
      </c>
      <c r="E455" s="825">
        <v>32.549999999999997</v>
      </c>
      <c r="F455" s="825">
        <v>14.36</v>
      </c>
      <c r="G455" s="775">
        <v>0</v>
      </c>
      <c r="H455" s="775">
        <v>0</v>
      </c>
    </row>
    <row r="456" spans="1:8">
      <c r="A456" s="775">
        <v>500</v>
      </c>
      <c r="B456" s="775" t="s">
        <v>576</v>
      </c>
      <c r="C456" s="825">
        <v>6540</v>
      </c>
      <c r="D456" s="825" t="s">
        <v>167</v>
      </c>
      <c r="E456" s="825">
        <v>0</v>
      </c>
      <c r="F456" s="825">
        <v>15.31</v>
      </c>
      <c r="G456" s="775">
        <v>0</v>
      </c>
      <c r="H456" s="775">
        <v>0</v>
      </c>
    </row>
    <row r="457" spans="1:8">
      <c r="A457" s="775">
        <v>500</v>
      </c>
      <c r="B457" s="775" t="s">
        <v>576</v>
      </c>
      <c r="C457" s="825">
        <v>6560</v>
      </c>
      <c r="D457" s="825" t="s">
        <v>262</v>
      </c>
      <c r="E457" s="825">
        <v>909.36</v>
      </c>
      <c r="F457" s="825">
        <v>0</v>
      </c>
      <c r="G457" s="775">
        <v>0</v>
      </c>
      <c r="H457" s="775">
        <v>0</v>
      </c>
    </row>
    <row r="458" spans="1:8">
      <c r="A458" s="775">
        <v>500</v>
      </c>
      <c r="B458" s="775" t="s">
        <v>576</v>
      </c>
      <c r="C458" s="825">
        <v>6572</v>
      </c>
      <c r="D458" s="825" t="s">
        <v>256</v>
      </c>
      <c r="E458" s="825">
        <v>14.36</v>
      </c>
      <c r="F458" s="825">
        <v>0</v>
      </c>
      <c r="G458" s="775">
        <v>0</v>
      </c>
      <c r="H458" s="775">
        <v>0</v>
      </c>
    </row>
    <row r="459" spans="1:8">
      <c r="A459" s="775">
        <v>500</v>
      </c>
      <c r="B459" s="775" t="s">
        <v>576</v>
      </c>
      <c r="C459" s="825">
        <v>6573</v>
      </c>
      <c r="D459" s="825" t="s">
        <v>266</v>
      </c>
      <c r="E459" s="825">
        <v>191.44</v>
      </c>
      <c r="F459" s="825">
        <v>0</v>
      </c>
      <c r="G459" s="775">
        <v>0</v>
      </c>
      <c r="H459" s="775">
        <v>0</v>
      </c>
    </row>
    <row r="460" spans="1:8">
      <c r="A460" s="775">
        <v>500</v>
      </c>
      <c r="B460" s="775" t="s">
        <v>576</v>
      </c>
      <c r="C460" s="825">
        <v>6635</v>
      </c>
      <c r="D460" s="825" t="s">
        <v>323</v>
      </c>
      <c r="E460" s="825">
        <v>5743.33</v>
      </c>
      <c r="F460" s="825">
        <v>0</v>
      </c>
      <c r="G460" s="775">
        <v>0</v>
      </c>
      <c r="H460" s="775">
        <v>0</v>
      </c>
    </row>
    <row r="461" spans="1:8">
      <c r="A461" s="775">
        <v>500</v>
      </c>
      <c r="B461" s="775" t="s">
        <v>576</v>
      </c>
      <c r="C461" s="825">
        <v>6636</v>
      </c>
      <c r="D461" s="825" t="s">
        <v>337</v>
      </c>
      <c r="E461" s="825">
        <v>191.44</v>
      </c>
      <c r="F461" s="825">
        <v>0</v>
      </c>
      <c r="G461" s="775">
        <v>0</v>
      </c>
      <c r="H461" s="775">
        <v>0</v>
      </c>
    </row>
    <row r="462" spans="1:8">
      <c r="A462" s="775">
        <v>500</v>
      </c>
      <c r="B462" s="775" t="s">
        <v>576</v>
      </c>
      <c r="C462" s="825">
        <v>6665</v>
      </c>
      <c r="D462" s="825" t="s">
        <v>88</v>
      </c>
      <c r="E462" s="825">
        <v>684.41</v>
      </c>
      <c r="F462" s="825">
        <v>0</v>
      </c>
      <c r="G462" s="775">
        <v>0</v>
      </c>
      <c r="H462" s="775">
        <v>0</v>
      </c>
    </row>
    <row r="463" spans="1:8">
      <c r="A463" s="775">
        <v>500</v>
      </c>
      <c r="B463" s="775" t="s">
        <v>576</v>
      </c>
      <c r="C463" s="825">
        <v>6675</v>
      </c>
      <c r="D463" s="825" t="s">
        <v>927</v>
      </c>
      <c r="E463" s="825">
        <v>188.34</v>
      </c>
      <c r="F463" s="825">
        <v>0</v>
      </c>
      <c r="G463" s="775">
        <v>0</v>
      </c>
      <c r="H463" s="775">
        <v>0</v>
      </c>
    </row>
    <row r="464" spans="1:8">
      <c r="A464" s="775">
        <v>500</v>
      </c>
      <c r="B464" s="775" t="s">
        <v>576</v>
      </c>
      <c r="C464" s="825">
        <v>6678</v>
      </c>
      <c r="D464" s="825" t="s">
        <v>776</v>
      </c>
      <c r="E464" s="825">
        <v>87.89</v>
      </c>
      <c r="F464" s="825">
        <v>37.659999999999997</v>
      </c>
      <c r="G464" s="775">
        <v>0</v>
      </c>
      <c r="H464" s="775">
        <v>0</v>
      </c>
    </row>
    <row r="465" spans="1:8">
      <c r="A465" s="775">
        <v>500</v>
      </c>
      <c r="B465" s="775" t="s">
        <v>576</v>
      </c>
      <c r="C465" s="825">
        <v>6680</v>
      </c>
      <c r="D465" s="825" t="s">
        <v>894</v>
      </c>
      <c r="E465" s="825">
        <v>703.13</v>
      </c>
      <c r="F465" s="825">
        <v>0</v>
      </c>
      <c r="G465" s="775">
        <v>0</v>
      </c>
      <c r="H465" s="775">
        <v>0</v>
      </c>
    </row>
    <row r="466" spans="1:8">
      <c r="A466" s="775">
        <v>500</v>
      </c>
      <c r="B466" s="775" t="s">
        <v>576</v>
      </c>
      <c r="C466" s="825">
        <v>6703</v>
      </c>
      <c r="D466" s="825" t="s">
        <v>837</v>
      </c>
      <c r="E466" s="825">
        <v>251.12</v>
      </c>
      <c r="F466" s="825">
        <v>0</v>
      </c>
      <c r="G466" s="775">
        <v>0</v>
      </c>
      <c r="H466" s="775">
        <v>0</v>
      </c>
    </row>
    <row r="467" spans="1:8">
      <c r="A467" s="775">
        <v>500</v>
      </c>
      <c r="B467" s="775" t="s">
        <v>576</v>
      </c>
      <c r="C467" s="825">
        <v>6707</v>
      </c>
      <c r="D467" s="825" t="s">
        <v>771</v>
      </c>
      <c r="E467" s="825">
        <v>219.72</v>
      </c>
      <c r="F467" s="825">
        <v>0</v>
      </c>
      <c r="G467" s="775">
        <v>0</v>
      </c>
      <c r="H467" s="775">
        <v>0</v>
      </c>
    </row>
    <row r="468" spans="1:8">
      <c r="A468" s="775">
        <v>500</v>
      </c>
      <c r="B468" s="775" t="s">
        <v>576</v>
      </c>
      <c r="C468" s="825">
        <v>6708</v>
      </c>
      <c r="D468" s="825" t="s">
        <v>951</v>
      </c>
      <c r="E468" s="825">
        <v>420.62</v>
      </c>
      <c r="F468" s="825">
        <v>0</v>
      </c>
      <c r="G468" s="775">
        <v>0</v>
      </c>
      <c r="H468" s="775">
        <v>0</v>
      </c>
    </row>
    <row r="469" spans="1:8">
      <c r="A469" s="775">
        <v>500</v>
      </c>
      <c r="B469" s="775" t="s">
        <v>576</v>
      </c>
      <c r="C469" s="825">
        <v>6713</v>
      </c>
      <c r="D469" s="825" t="s">
        <v>798</v>
      </c>
      <c r="E469" s="825">
        <v>458.29</v>
      </c>
      <c r="F469" s="825">
        <v>0</v>
      </c>
      <c r="G469" s="775">
        <v>0</v>
      </c>
      <c r="H469" s="775">
        <v>0</v>
      </c>
    </row>
    <row r="470" spans="1:8">
      <c r="A470" s="775">
        <v>500</v>
      </c>
      <c r="B470" s="775" t="s">
        <v>576</v>
      </c>
      <c r="C470" s="825">
        <v>6719</v>
      </c>
      <c r="D470" s="825" t="s">
        <v>778</v>
      </c>
      <c r="E470" s="825">
        <v>62.78</v>
      </c>
      <c r="F470" s="825">
        <v>0</v>
      </c>
      <c r="G470" s="775">
        <v>0</v>
      </c>
      <c r="H470" s="775">
        <v>0</v>
      </c>
    </row>
    <row r="471" spans="1:8">
      <c r="A471" s="775">
        <v>500</v>
      </c>
      <c r="B471" s="775" t="s">
        <v>576</v>
      </c>
      <c r="C471" s="825">
        <v>6725</v>
      </c>
      <c r="D471" s="825" t="s">
        <v>950</v>
      </c>
      <c r="E471" s="825">
        <v>910.29</v>
      </c>
      <c r="F471" s="825">
        <v>0</v>
      </c>
      <c r="G471" s="775">
        <v>0</v>
      </c>
      <c r="H471" s="775">
        <v>0</v>
      </c>
    </row>
    <row r="472" spans="1:8">
      <c r="A472" s="775">
        <v>500</v>
      </c>
      <c r="B472" s="775" t="s">
        <v>576</v>
      </c>
      <c r="C472" s="825">
        <v>6727</v>
      </c>
      <c r="D472" s="825" t="s">
        <v>890</v>
      </c>
      <c r="E472" s="825">
        <v>2511.16</v>
      </c>
      <c r="F472" s="825">
        <v>0</v>
      </c>
      <c r="G472" s="775">
        <v>0</v>
      </c>
      <c r="H472" s="775">
        <v>0</v>
      </c>
    </row>
    <row r="473" spans="1:8">
      <c r="A473" s="775">
        <v>500</v>
      </c>
      <c r="B473" s="775" t="s">
        <v>576</v>
      </c>
      <c r="C473" s="825">
        <v>6730</v>
      </c>
      <c r="D473" s="825" t="s">
        <v>848</v>
      </c>
      <c r="E473" s="825">
        <v>141.25</v>
      </c>
      <c r="F473" s="825">
        <v>0</v>
      </c>
      <c r="G473" s="775">
        <v>0</v>
      </c>
      <c r="H473" s="775">
        <v>0</v>
      </c>
    </row>
    <row r="474" spans="1:8">
      <c r="A474" s="775">
        <v>500</v>
      </c>
      <c r="B474" s="775" t="s">
        <v>576</v>
      </c>
      <c r="C474" s="825">
        <v>6749</v>
      </c>
      <c r="D474" s="825" t="s">
        <v>892</v>
      </c>
      <c r="E474" s="825">
        <v>285.64999999999998</v>
      </c>
      <c r="F474" s="825">
        <v>122.42</v>
      </c>
      <c r="G474" s="775">
        <v>0</v>
      </c>
      <c r="H474" s="775">
        <v>0</v>
      </c>
    </row>
    <row r="475" spans="1:8">
      <c r="A475" s="775">
        <v>500</v>
      </c>
      <c r="B475" s="775" t="s">
        <v>576</v>
      </c>
      <c r="C475" s="825">
        <v>6750</v>
      </c>
      <c r="D475" s="825" t="s">
        <v>877</v>
      </c>
      <c r="E475" s="825">
        <v>285.64999999999998</v>
      </c>
      <c r="F475" s="825">
        <v>122.42</v>
      </c>
      <c r="G475" s="775">
        <v>0</v>
      </c>
      <c r="H475" s="775">
        <v>0</v>
      </c>
    </row>
    <row r="476" spans="1:8">
      <c r="A476" s="775">
        <v>500</v>
      </c>
      <c r="B476" s="775" t="s">
        <v>576</v>
      </c>
      <c r="C476" s="825">
        <v>6753</v>
      </c>
      <c r="D476" s="825" t="s">
        <v>933</v>
      </c>
      <c r="E476" s="825">
        <v>3076.18</v>
      </c>
      <c r="F476" s="825">
        <v>1318.36</v>
      </c>
      <c r="G476" s="775">
        <v>0</v>
      </c>
      <c r="H476" s="775">
        <v>0</v>
      </c>
    </row>
    <row r="477" spans="1:8">
      <c r="A477" s="775">
        <v>500</v>
      </c>
      <c r="B477" s="775" t="s">
        <v>576</v>
      </c>
      <c r="C477" s="825">
        <v>6758</v>
      </c>
      <c r="D477" s="825" t="s">
        <v>926</v>
      </c>
      <c r="E477" s="825">
        <v>627.79</v>
      </c>
      <c r="F477" s="825">
        <v>0</v>
      </c>
      <c r="G477" s="775">
        <v>0</v>
      </c>
      <c r="H477" s="775">
        <v>0</v>
      </c>
    </row>
    <row r="478" spans="1:8">
      <c r="A478" s="775">
        <v>500</v>
      </c>
      <c r="B478" s="775" t="s">
        <v>576</v>
      </c>
      <c r="C478" s="825">
        <v>6763</v>
      </c>
      <c r="D478" s="825" t="s">
        <v>939</v>
      </c>
      <c r="E478" s="825">
        <v>0</v>
      </c>
      <c r="F478" s="825">
        <v>116.14</v>
      </c>
      <c r="G478" s="775">
        <v>0</v>
      </c>
      <c r="H478" s="775">
        <v>0</v>
      </c>
    </row>
    <row r="479" spans="1:8">
      <c r="A479" s="775">
        <v>500</v>
      </c>
      <c r="B479" s="775" t="s">
        <v>576</v>
      </c>
      <c r="C479" s="825">
        <v>6766</v>
      </c>
      <c r="D479" s="825" t="s">
        <v>764</v>
      </c>
      <c r="E479" s="825">
        <v>0</v>
      </c>
      <c r="F479" s="825">
        <v>113</v>
      </c>
      <c r="G479" s="775">
        <v>0</v>
      </c>
      <c r="H479" s="775">
        <v>0</v>
      </c>
    </row>
    <row r="480" spans="1:8">
      <c r="A480" s="775">
        <v>500</v>
      </c>
      <c r="B480" s="775" t="s">
        <v>576</v>
      </c>
      <c r="C480" s="825">
        <v>6781</v>
      </c>
      <c r="D480" s="825" t="s">
        <v>857</v>
      </c>
      <c r="E480" s="825">
        <v>0</v>
      </c>
      <c r="F480" s="825">
        <v>313.89999999999998</v>
      </c>
      <c r="G480" s="775">
        <v>0</v>
      </c>
      <c r="H480" s="775">
        <v>0</v>
      </c>
    </row>
    <row r="481" spans="1:8">
      <c r="A481" s="775">
        <v>500</v>
      </c>
      <c r="B481" s="775" t="s">
        <v>576</v>
      </c>
      <c r="C481" s="825">
        <v>6789</v>
      </c>
      <c r="D481" s="825" t="s">
        <v>941</v>
      </c>
      <c r="E481" s="825">
        <v>0</v>
      </c>
      <c r="F481" s="825">
        <v>326.45</v>
      </c>
      <c r="G481" s="775">
        <v>0</v>
      </c>
      <c r="H481" s="775">
        <v>0</v>
      </c>
    </row>
    <row r="482" spans="1:8">
      <c r="A482" s="775">
        <v>500</v>
      </c>
      <c r="B482" s="775" t="s">
        <v>576</v>
      </c>
      <c r="C482" s="825">
        <v>6796</v>
      </c>
      <c r="D482" s="825" t="s">
        <v>883</v>
      </c>
      <c r="E482" s="825">
        <v>0</v>
      </c>
      <c r="F482" s="825">
        <v>91.02</v>
      </c>
      <c r="G482" s="775">
        <v>0</v>
      </c>
      <c r="H482" s="775">
        <v>0</v>
      </c>
    </row>
    <row r="483" spans="1:8">
      <c r="A483" s="775">
        <v>500</v>
      </c>
      <c r="B483" s="775" t="s">
        <v>576</v>
      </c>
      <c r="C483" s="825">
        <v>6797</v>
      </c>
      <c r="D483" s="825" t="s">
        <v>859</v>
      </c>
      <c r="E483" s="825">
        <v>0</v>
      </c>
      <c r="F483" s="825">
        <v>62.78</v>
      </c>
      <c r="G483" s="775">
        <v>0</v>
      </c>
      <c r="H483" s="775">
        <v>0</v>
      </c>
    </row>
    <row r="484" spans="1:8">
      <c r="A484" s="775">
        <v>500</v>
      </c>
      <c r="B484" s="775" t="s">
        <v>576</v>
      </c>
      <c r="C484" s="825">
        <v>6799</v>
      </c>
      <c r="D484" s="825" t="s">
        <v>817</v>
      </c>
      <c r="E484" s="825">
        <v>0</v>
      </c>
      <c r="F484" s="825">
        <v>100.45</v>
      </c>
      <c r="G484" s="775">
        <v>0</v>
      </c>
      <c r="H484" s="775">
        <v>0</v>
      </c>
    </row>
    <row r="485" spans="1:8">
      <c r="A485" s="775">
        <v>500</v>
      </c>
      <c r="B485" s="775" t="s">
        <v>576</v>
      </c>
      <c r="C485" s="825">
        <v>6826</v>
      </c>
      <c r="D485" s="825" t="s">
        <v>853</v>
      </c>
      <c r="E485" s="825">
        <v>100.45</v>
      </c>
      <c r="F485" s="825">
        <v>40.81</v>
      </c>
      <c r="G485" s="775">
        <v>0</v>
      </c>
      <c r="H485" s="775">
        <v>0</v>
      </c>
    </row>
    <row r="486" spans="1:8">
      <c r="A486" s="775">
        <v>500</v>
      </c>
      <c r="B486" s="775" t="s">
        <v>576</v>
      </c>
      <c r="C486" s="825">
        <v>6845</v>
      </c>
      <c r="D486" s="825" t="s">
        <v>775</v>
      </c>
      <c r="E486" s="825">
        <v>373.54</v>
      </c>
      <c r="F486" s="825">
        <v>160.08000000000001</v>
      </c>
      <c r="G486" s="775">
        <v>0</v>
      </c>
      <c r="H486" s="775">
        <v>0</v>
      </c>
    </row>
    <row r="487" spans="1:8">
      <c r="A487" s="775">
        <v>500</v>
      </c>
      <c r="B487" s="775" t="s">
        <v>576</v>
      </c>
      <c r="C487" s="825">
        <v>6846</v>
      </c>
      <c r="D487" s="825" t="s">
        <v>841</v>
      </c>
      <c r="E487" s="825">
        <v>3295.9</v>
      </c>
      <c r="F487" s="825">
        <v>1412.53</v>
      </c>
      <c r="G487" s="775">
        <v>0</v>
      </c>
      <c r="H487" s="775">
        <v>0</v>
      </c>
    </row>
    <row r="488" spans="1:8">
      <c r="A488" s="775">
        <v>500</v>
      </c>
      <c r="B488" s="775" t="s">
        <v>576</v>
      </c>
      <c r="C488" s="825">
        <v>6853</v>
      </c>
      <c r="D488" s="825" t="s">
        <v>804</v>
      </c>
      <c r="E488" s="825">
        <v>285.64999999999998</v>
      </c>
      <c r="F488" s="825">
        <v>122.42</v>
      </c>
      <c r="G488" s="775">
        <v>0</v>
      </c>
      <c r="H488" s="775">
        <v>0</v>
      </c>
    </row>
    <row r="489" spans="1:8">
      <c r="A489" s="775">
        <v>500</v>
      </c>
      <c r="B489" s="775" t="s">
        <v>576</v>
      </c>
      <c r="C489" s="825">
        <v>6864</v>
      </c>
      <c r="D489" s="825" t="s">
        <v>93</v>
      </c>
      <c r="E489" s="825">
        <v>191.44</v>
      </c>
      <c r="F489" s="825">
        <v>0</v>
      </c>
      <c r="G489" s="775">
        <v>0</v>
      </c>
      <c r="H489" s="775">
        <v>0</v>
      </c>
    </row>
    <row r="490" spans="1:8">
      <c r="A490" s="775">
        <v>500</v>
      </c>
      <c r="B490" s="775" t="s">
        <v>576</v>
      </c>
      <c r="C490" s="825">
        <v>6878</v>
      </c>
      <c r="D490" s="825" t="s">
        <v>234</v>
      </c>
      <c r="E490" s="825">
        <v>5233.13</v>
      </c>
      <c r="F490" s="825">
        <v>0</v>
      </c>
      <c r="G490" s="775">
        <v>0</v>
      </c>
      <c r="H490" s="775">
        <v>0</v>
      </c>
    </row>
    <row r="491" spans="1:8">
      <c r="A491" s="775">
        <v>500</v>
      </c>
      <c r="B491" s="775" t="s">
        <v>576</v>
      </c>
      <c r="C491" s="825">
        <v>6925</v>
      </c>
      <c r="D491" s="825" t="s">
        <v>391</v>
      </c>
      <c r="E491" s="825">
        <v>562.84</v>
      </c>
      <c r="F491" s="825">
        <v>241.22</v>
      </c>
      <c r="G491" s="775">
        <v>0</v>
      </c>
      <c r="H491" s="775">
        <v>0</v>
      </c>
    </row>
    <row r="492" spans="1:8">
      <c r="A492" s="775">
        <v>500</v>
      </c>
      <c r="B492" s="775" t="s">
        <v>576</v>
      </c>
      <c r="C492" s="825">
        <v>6947</v>
      </c>
      <c r="D492" s="825" t="s">
        <v>378</v>
      </c>
      <c r="E492" s="825">
        <v>1782.35</v>
      </c>
      <c r="F492" s="825">
        <v>763.86</v>
      </c>
      <c r="G492" s="775">
        <v>0</v>
      </c>
      <c r="H492" s="775">
        <v>0</v>
      </c>
    </row>
    <row r="493" spans="1:8">
      <c r="A493" s="775">
        <v>505</v>
      </c>
      <c r="B493" s="775" t="s">
        <v>757</v>
      </c>
      <c r="C493" s="825">
        <v>6950</v>
      </c>
      <c r="D493" s="825" t="s">
        <v>379</v>
      </c>
      <c r="E493" s="825">
        <v>1782.35</v>
      </c>
      <c r="F493" s="825">
        <v>763.86</v>
      </c>
      <c r="G493" s="775">
        <v>0</v>
      </c>
      <c r="H493" s="775">
        <v>0</v>
      </c>
    </row>
    <row r="494" spans="1:8">
      <c r="A494" s="775">
        <v>150</v>
      </c>
      <c r="B494" s="775" t="s">
        <v>579</v>
      </c>
      <c r="C494" s="825">
        <v>6960</v>
      </c>
      <c r="D494" s="825" t="s">
        <v>284</v>
      </c>
      <c r="E494" s="825">
        <v>229.73</v>
      </c>
      <c r="F494" s="825">
        <v>0</v>
      </c>
      <c r="G494" s="775">
        <v>0</v>
      </c>
      <c r="H494" s="775">
        <v>0</v>
      </c>
    </row>
    <row r="495" spans="1:8">
      <c r="A495" s="775">
        <v>500</v>
      </c>
      <c r="B495" s="775" t="s">
        <v>576</v>
      </c>
      <c r="C495" s="825">
        <v>7036</v>
      </c>
      <c r="D495" s="825" t="s">
        <v>197</v>
      </c>
      <c r="E495" s="825">
        <v>95.72</v>
      </c>
      <c r="F495" s="825">
        <v>0</v>
      </c>
      <c r="G495" s="775">
        <v>0</v>
      </c>
      <c r="H495" s="775">
        <v>0</v>
      </c>
    </row>
    <row r="496" spans="1:8">
      <c r="A496" s="775">
        <v>500</v>
      </c>
      <c r="B496" s="775" t="s">
        <v>576</v>
      </c>
      <c r="C496" s="825">
        <v>7182</v>
      </c>
      <c r="D496" s="825" t="s">
        <v>157</v>
      </c>
      <c r="E496" s="825">
        <v>0</v>
      </c>
      <c r="F496" s="825">
        <v>47.86</v>
      </c>
      <c r="G496" s="775">
        <v>0</v>
      </c>
      <c r="H496" s="775">
        <v>0</v>
      </c>
    </row>
    <row r="497" spans="1:8">
      <c r="A497" s="775">
        <v>500</v>
      </c>
      <c r="B497" s="775" t="s">
        <v>576</v>
      </c>
      <c r="C497" s="825">
        <v>7183</v>
      </c>
      <c r="D497" s="825" t="s">
        <v>158</v>
      </c>
      <c r="E497" s="825">
        <v>0</v>
      </c>
      <c r="F497" s="825">
        <v>47.86</v>
      </c>
      <c r="G497" s="775">
        <v>0</v>
      </c>
      <c r="H497" s="775">
        <v>0</v>
      </c>
    </row>
    <row r="498" spans="1:8">
      <c r="A498" s="775">
        <v>500</v>
      </c>
      <c r="B498" s="775" t="s">
        <v>576</v>
      </c>
      <c r="C498" s="825">
        <v>7423</v>
      </c>
      <c r="D498" s="825" t="s">
        <v>313</v>
      </c>
      <c r="E498" s="825">
        <v>286.20999999999998</v>
      </c>
      <c r="F498" s="825">
        <v>0</v>
      </c>
      <c r="G498" s="775">
        <v>0</v>
      </c>
      <c r="H498" s="775">
        <v>0</v>
      </c>
    </row>
    <row r="499" spans="1:8">
      <c r="A499" s="775">
        <v>500</v>
      </c>
      <c r="B499" s="775" t="s">
        <v>576</v>
      </c>
      <c r="C499" s="825">
        <v>7429</v>
      </c>
      <c r="D499" s="825" t="s">
        <v>314</v>
      </c>
      <c r="E499" s="825">
        <v>717.92</v>
      </c>
      <c r="F499" s="825">
        <v>0</v>
      </c>
      <c r="G499" s="775">
        <v>0</v>
      </c>
      <c r="H499" s="775">
        <v>0</v>
      </c>
    </row>
    <row r="500" spans="1:8">
      <c r="A500" s="775">
        <v>500</v>
      </c>
      <c r="B500" s="775" t="s">
        <v>576</v>
      </c>
      <c r="C500" s="825">
        <v>7558</v>
      </c>
      <c r="D500" s="825" t="s">
        <v>383</v>
      </c>
      <c r="E500" s="825">
        <v>126.36</v>
      </c>
      <c r="F500" s="825">
        <v>54.56</v>
      </c>
      <c r="G500" s="775">
        <v>0</v>
      </c>
      <c r="H500" s="775">
        <v>0</v>
      </c>
    </row>
    <row r="501" spans="1:8">
      <c r="A501" s="775">
        <v>500</v>
      </c>
      <c r="B501" s="775" t="s">
        <v>576</v>
      </c>
      <c r="C501" s="825">
        <v>7582</v>
      </c>
      <c r="D501" s="825" t="s">
        <v>388</v>
      </c>
      <c r="E501" s="825">
        <v>439.36</v>
      </c>
      <c r="F501" s="825">
        <v>187.61</v>
      </c>
      <c r="G501" s="775">
        <v>0</v>
      </c>
      <c r="H501" s="775">
        <v>0</v>
      </c>
    </row>
    <row r="502" spans="1:8">
      <c r="A502" s="775">
        <v>500</v>
      </c>
      <c r="B502" s="775" t="s">
        <v>576</v>
      </c>
      <c r="C502" s="825">
        <v>7640</v>
      </c>
      <c r="D502" s="825" t="s">
        <v>433</v>
      </c>
      <c r="E502" s="825">
        <v>0</v>
      </c>
      <c r="F502" s="825">
        <v>19.14</v>
      </c>
      <c r="G502" s="775">
        <v>0</v>
      </c>
      <c r="H502" s="775">
        <v>0</v>
      </c>
    </row>
    <row r="503" spans="1:8">
      <c r="A503" s="775">
        <v>500</v>
      </c>
      <c r="B503" s="775" t="s">
        <v>576</v>
      </c>
      <c r="C503" s="825">
        <v>7801</v>
      </c>
      <c r="D503" s="825" t="s">
        <v>87</v>
      </c>
      <c r="E503" s="825">
        <v>1148.67</v>
      </c>
      <c r="F503" s="825">
        <v>0</v>
      </c>
      <c r="G503" s="775">
        <v>0</v>
      </c>
      <c r="H503" s="775">
        <v>0</v>
      </c>
    </row>
    <row r="504" spans="1:8">
      <c r="A504" s="775">
        <v>500</v>
      </c>
      <c r="B504" s="775" t="s">
        <v>576</v>
      </c>
      <c r="C504" s="825">
        <v>9433</v>
      </c>
      <c r="D504" s="825" t="s">
        <v>113</v>
      </c>
      <c r="E504" s="825">
        <v>0</v>
      </c>
      <c r="F504" s="825">
        <v>382.89</v>
      </c>
      <c r="G504" s="775">
        <v>0</v>
      </c>
      <c r="H504" s="775">
        <v>0</v>
      </c>
    </row>
    <row r="505" spans="1:8">
      <c r="A505" s="775">
        <v>500</v>
      </c>
      <c r="B505" s="775" t="s">
        <v>576</v>
      </c>
      <c r="C505" s="825">
        <v>6069</v>
      </c>
      <c r="D505" s="825" t="s">
        <v>238</v>
      </c>
      <c r="E505" s="825">
        <v>95.72</v>
      </c>
      <c r="F505" s="825">
        <v>0</v>
      </c>
      <c r="G505" s="775">
        <v>0</v>
      </c>
      <c r="H505" s="775">
        <v>0</v>
      </c>
    </row>
    <row r="506" spans="1:8">
      <c r="A506" s="775">
        <v>500</v>
      </c>
      <c r="B506" s="775" t="s">
        <v>576</v>
      </c>
      <c r="C506" s="825">
        <v>6156</v>
      </c>
      <c r="D506" s="825" t="s">
        <v>358</v>
      </c>
      <c r="E506" s="825">
        <v>67</v>
      </c>
      <c r="F506" s="825">
        <v>0</v>
      </c>
      <c r="G506" s="775">
        <v>0</v>
      </c>
      <c r="H506" s="775">
        <v>0</v>
      </c>
    </row>
    <row r="507" spans="1:8">
      <c r="A507" s="775">
        <v>500</v>
      </c>
      <c r="B507" s="775" t="s">
        <v>576</v>
      </c>
      <c r="C507" s="825">
        <v>6169</v>
      </c>
      <c r="D507" s="825" t="s">
        <v>343</v>
      </c>
      <c r="E507" s="825">
        <v>1052.94</v>
      </c>
      <c r="F507" s="825">
        <v>0</v>
      </c>
      <c r="G507" s="775">
        <v>0</v>
      </c>
      <c r="H507" s="775">
        <v>0</v>
      </c>
    </row>
    <row r="508" spans="1:8">
      <c r="A508" s="775">
        <v>500</v>
      </c>
      <c r="B508" s="775" t="s">
        <v>576</v>
      </c>
      <c r="C508" s="825">
        <v>6212</v>
      </c>
      <c r="D508" s="825" t="s">
        <v>171</v>
      </c>
      <c r="E508" s="825">
        <v>0</v>
      </c>
      <c r="F508" s="825">
        <v>81.36</v>
      </c>
      <c r="G508" s="775">
        <v>0</v>
      </c>
      <c r="H508" s="775">
        <v>0</v>
      </c>
    </row>
    <row r="509" spans="1:8">
      <c r="A509" s="775">
        <v>500</v>
      </c>
      <c r="B509" s="775" t="s">
        <v>576</v>
      </c>
      <c r="C509" s="825">
        <v>6242</v>
      </c>
      <c r="D509" s="825" t="s">
        <v>319</v>
      </c>
      <c r="E509" s="825">
        <v>191.44</v>
      </c>
      <c r="F509" s="825">
        <v>0</v>
      </c>
      <c r="G509" s="775">
        <v>0</v>
      </c>
      <c r="H509" s="775">
        <v>0</v>
      </c>
    </row>
    <row r="510" spans="1:8">
      <c r="A510" s="775">
        <v>500</v>
      </c>
      <c r="B510" s="775" t="s">
        <v>576</v>
      </c>
      <c r="C510" s="825">
        <v>6245</v>
      </c>
      <c r="D510" s="825" t="s">
        <v>419</v>
      </c>
      <c r="E510" s="825">
        <v>402.03</v>
      </c>
      <c r="F510" s="825">
        <v>172.3</v>
      </c>
      <c r="G510" s="775">
        <v>0</v>
      </c>
      <c r="H510" s="775">
        <v>0</v>
      </c>
    </row>
    <row r="511" spans="1:8">
      <c r="A511" s="775">
        <v>500</v>
      </c>
      <c r="B511" s="775" t="s">
        <v>576</v>
      </c>
      <c r="C511" s="825">
        <v>6253</v>
      </c>
      <c r="D511" s="825" t="s">
        <v>329</v>
      </c>
      <c r="E511" s="825">
        <v>47.86</v>
      </c>
      <c r="F511" s="825">
        <v>0</v>
      </c>
      <c r="G511" s="775">
        <v>0</v>
      </c>
      <c r="H511" s="775">
        <v>0</v>
      </c>
    </row>
    <row r="512" spans="1:8">
      <c r="A512" s="775">
        <v>500</v>
      </c>
      <c r="B512" s="775" t="s">
        <v>576</v>
      </c>
      <c r="C512" s="825">
        <v>6254</v>
      </c>
      <c r="D512" s="825" t="s">
        <v>331</v>
      </c>
      <c r="E512" s="825">
        <v>47.86</v>
      </c>
      <c r="F512" s="825">
        <v>0</v>
      </c>
      <c r="G512" s="775">
        <v>0</v>
      </c>
      <c r="H512" s="775">
        <v>0</v>
      </c>
    </row>
    <row r="513" spans="1:8">
      <c r="A513" s="775">
        <v>500</v>
      </c>
      <c r="B513" s="775" t="s">
        <v>576</v>
      </c>
      <c r="C513" s="825">
        <v>6255</v>
      </c>
      <c r="D513" s="825" t="s">
        <v>196</v>
      </c>
      <c r="E513" s="825">
        <v>124.44</v>
      </c>
      <c r="F513" s="825">
        <v>0</v>
      </c>
      <c r="G513" s="775">
        <v>0</v>
      </c>
      <c r="H513" s="775">
        <v>0</v>
      </c>
    </row>
    <row r="514" spans="1:8">
      <c r="A514" s="775">
        <v>500</v>
      </c>
      <c r="B514" s="775" t="s">
        <v>576</v>
      </c>
      <c r="C514" s="825">
        <v>6287</v>
      </c>
      <c r="D514" s="825" t="s">
        <v>133</v>
      </c>
      <c r="E514" s="825">
        <v>0</v>
      </c>
      <c r="F514" s="825">
        <v>191.44</v>
      </c>
      <c r="G514" s="775">
        <v>0</v>
      </c>
      <c r="H514" s="775">
        <v>0</v>
      </c>
    </row>
    <row r="515" spans="1:8">
      <c r="A515" s="775">
        <v>500</v>
      </c>
      <c r="B515" s="775" t="s">
        <v>576</v>
      </c>
      <c r="C515" s="825">
        <v>6291</v>
      </c>
      <c r="D515" s="825" t="s">
        <v>186</v>
      </c>
      <c r="E515" s="825">
        <v>0</v>
      </c>
      <c r="F515" s="825">
        <v>287.17</v>
      </c>
      <c r="G515" s="775">
        <v>0</v>
      </c>
      <c r="H515" s="775">
        <v>0</v>
      </c>
    </row>
    <row r="516" spans="1:8">
      <c r="A516" s="775">
        <v>500</v>
      </c>
      <c r="B516" s="775" t="s">
        <v>576</v>
      </c>
      <c r="C516" s="825">
        <v>6295</v>
      </c>
      <c r="D516" s="825" t="s">
        <v>363</v>
      </c>
      <c r="E516" s="825">
        <v>9.58</v>
      </c>
      <c r="F516" s="825">
        <v>0</v>
      </c>
      <c r="G516" s="775">
        <v>0</v>
      </c>
      <c r="H516" s="775">
        <v>0</v>
      </c>
    </row>
    <row r="517" spans="1:8">
      <c r="A517" s="775">
        <v>500</v>
      </c>
      <c r="B517" s="775" t="s">
        <v>576</v>
      </c>
      <c r="C517" s="825">
        <v>6296</v>
      </c>
      <c r="D517" s="825" t="s">
        <v>182</v>
      </c>
      <c r="E517" s="825">
        <v>0</v>
      </c>
      <c r="F517" s="825">
        <v>19.14</v>
      </c>
      <c r="G517" s="775">
        <v>0</v>
      </c>
      <c r="H517" s="775">
        <v>0</v>
      </c>
    </row>
    <row r="518" spans="1:8">
      <c r="A518" s="775">
        <v>500</v>
      </c>
      <c r="B518" s="775" t="s">
        <v>576</v>
      </c>
      <c r="C518" s="825">
        <v>6315</v>
      </c>
      <c r="D518" s="825" t="s">
        <v>338</v>
      </c>
      <c r="E518" s="825">
        <v>47.86</v>
      </c>
      <c r="F518" s="825">
        <v>0</v>
      </c>
      <c r="G518" s="775">
        <v>0</v>
      </c>
      <c r="H518" s="775">
        <v>0</v>
      </c>
    </row>
    <row r="519" spans="1:8">
      <c r="A519" s="775">
        <v>500</v>
      </c>
      <c r="B519" s="775" t="s">
        <v>576</v>
      </c>
      <c r="C519" s="825">
        <v>6316</v>
      </c>
      <c r="D519" s="825" t="s">
        <v>96</v>
      </c>
      <c r="E519" s="825">
        <v>239.31</v>
      </c>
      <c r="F519" s="825">
        <v>0</v>
      </c>
      <c r="G519" s="775">
        <v>0</v>
      </c>
      <c r="H519" s="775">
        <v>0</v>
      </c>
    </row>
    <row r="520" spans="1:8">
      <c r="A520" s="775">
        <v>500</v>
      </c>
      <c r="B520" s="775" t="s">
        <v>576</v>
      </c>
      <c r="C520" s="825">
        <v>6351</v>
      </c>
      <c r="D520" s="825" t="s">
        <v>119</v>
      </c>
      <c r="E520" s="825">
        <v>0</v>
      </c>
      <c r="F520" s="825">
        <v>9.58</v>
      </c>
      <c r="G520" s="775">
        <v>0</v>
      </c>
      <c r="H520" s="775">
        <v>0</v>
      </c>
    </row>
    <row r="521" spans="1:8">
      <c r="A521" s="775">
        <v>500</v>
      </c>
      <c r="B521" s="775" t="s">
        <v>576</v>
      </c>
      <c r="C521" s="825">
        <v>6369</v>
      </c>
      <c r="D521" s="825" t="s">
        <v>164</v>
      </c>
      <c r="E521" s="825">
        <v>0</v>
      </c>
      <c r="F521" s="825">
        <v>47.86</v>
      </c>
      <c r="G521" s="775">
        <v>0</v>
      </c>
      <c r="H521" s="775">
        <v>0</v>
      </c>
    </row>
    <row r="522" spans="1:8">
      <c r="A522" s="775">
        <v>500</v>
      </c>
      <c r="B522" s="775" t="s">
        <v>576</v>
      </c>
      <c r="C522" s="825">
        <v>6380</v>
      </c>
      <c r="D522" s="825" t="s">
        <v>205</v>
      </c>
      <c r="E522" s="825">
        <v>1244.3900000000001</v>
      </c>
      <c r="F522" s="825">
        <v>0</v>
      </c>
      <c r="G522" s="775">
        <v>0</v>
      </c>
      <c r="H522" s="775">
        <v>0</v>
      </c>
    </row>
    <row r="523" spans="1:8">
      <c r="A523" s="775">
        <v>500</v>
      </c>
      <c r="B523" s="775" t="s">
        <v>576</v>
      </c>
      <c r="C523" s="825">
        <v>6411</v>
      </c>
      <c r="D523" s="825" t="s">
        <v>307</v>
      </c>
      <c r="E523" s="825">
        <v>323.54000000000002</v>
      </c>
      <c r="F523" s="825">
        <v>0</v>
      </c>
      <c r="G523" s="775">
        <v>0</v>
      </c>
      <c r="H523" s="775">
        <v>0</v>
      </c>
    </row>
    <row r="524" spans="1:8">
      <c r="A524" s="775">
        <v>500</v>
      </c>
      <c r="B524" s="775" t="s">
        <v>576</v>
      </c>
      <c r="C524" s="825">
        <v>6422</v>
      </c>
      <c r="D524" s="825" t="s">
        <v>263</v>
      </c>
      <c r="E524" s="825">
        <v>239.31</v>
      </c>
      <c r="F524" s="825">
        <v>0</v>
      </c>
      <c r="G524" s="775">
        <v>0</v>
      </c>
      <c r="H524" s="775">
        <v>0</v>
      </c>
    </row>
    <row r="525" spans="1:8">
      <c r="A525" s="775">
        <v>500</v>
      </c>
      <c r="B525" s="775" t="s">
        <v>576</v>
      </c>
      <c r="C525" s="825">
        <v>6423</v>
      </c>
      <c r="D525" s="825" t="s">
        <v>316</v>
      </c>
      <c r="E525" s="825">
        <v>191.44</v>
      </c>
      <c r="F525" s="825">
        <v>0</v>
      </c>
      <c r="G525" s="775">
        <v>0</v>
      </c>
      <c r="H525" s="775">
        <v>0</v>
      </c>
    </row>
    <row r="526" spans="1:8">
      <c r="A526" s="775">
        <v>500</v>
      </c>
      <c r="B526" s="775" t="s">
        <v>576</v>
      </c>
      <c r="C526" s="825">
        <v>6443</v>
      </c>
      <c r="D526" s="825" t="s">
        <v>366</v>
      </c>
      <c r="E526" s="825">
        <v>19.14</v>
      </c>
      <c r="F526" s="825">
        <v>0</v>
      </c>
      <c r="G526" s="775">
        <v>0</v>
      </c>
      <c r="H526" s="775">
        <v>0</v>
      </c>
    </row>
    <row r="527" spans="1:8">
      <c r="A527" s="775">
        <v>500</v>
      </c>
      <c r="B527" s="775" t="s">
        <v>576</v>
      </c>
      <c r="C527" s="825">
        <v>6444</v>
      </c>
      <c r="D527" s="825" t="s">
        <v>365</v>
      </c>
      <c r="E527" s="825">
        <v>9.58</v>
      </c>
      <c r="F527" s="825">
        <v>0</v>
      </c>
      <c r="G527" s="775">
        <v>0</v>
      </c>
      <c r="H527" s="775">
        <v>0</v>
      </c>
    </row>
    <row r="528" spans="1:8">
      <c r="A528" s="775">
        <v>500</v>
      </c>
      <c r="B528" s="775" t="s">
        <v>576</v>
      </c>
      <c r="C528" s="825">
        <v>6445</v>
      </c>
      <c r="D528" s="825" t="s">
        <v>347</v>
      </c>
      <c r="E528" s="825">
        <v>47.86</v>
      </c>
      <c r="F528" s="825">
        <v>0</v>
      </c>
      <c r="G528" s="775">
        <v>0</v>
      </c>
      <c r="H528" s="775">
        <v>0</v>
      </c>
    </row>
    <row r="529" spans="1:8">
      <c r="A529" s="775">
        <v>500</v>
      </c>
      <c r="B529" s="775" t="s">
        <v>576</v>
      </c>
      <c r="C529" s="825">
        <v>6458</v>
      </c>
      <c r="D529" s="825" t="s">
        <v>333</v>
      </c>
      <c r="E529" s="825">
        <v>1052.94</v>
      </c>
      <c r="F529" s="825">
        <v>0</v>
      </c>
      <c r="G529" s="775">
        <v>0</v>
      </c>
      <c r="H529" s="775">
        <v>0</v>
      </c>
    </row>
    <row r="530" spans="1:8">
      <c r="A530" s="775">
        <v>500</v>
      </c>
      <c r="B530" s="775" t="s">
        <v>576</v>
      </c>
      <c r="C530" s="825">
        <v>6463</v>
      </c>
      <c r="D530" s="825" t="s">
        <v>404</v>
      </c>
      <c r="E530" s="825">
        <v>87.11</v>
      </c>
      <c r="F530" s="825">
        <v>37.33</v>
      </c>
      <c r="G530" s="775">
        <v>0</v>
      </c>
      <c r="H530" s="775">
        <v>0</v>
      </c>
    </row>
    <row r="531" spans="1:8">
      <c r="A531" s="775">
        <v>500</v>
      </c>
      <c r="B531" s="775" t="s">
        <v>576</v>
      </c>
      <c r="C531" s="825">
        <v>6466</v>
      </c>
      <c r="D531" s="825" t="s">
        <v>445</v>
      </c>
      <c r="E531" s="825">
        <v>287.17</v>
      </c>
      <c r="F531" s="825">
        <v>0</v>
      </c>
      <c r="G531" s="775">
        <v>0</v>
      </c>
      <c r="H531" s="775">
        <v>0</v>
      </c>
    </row>
    <row r="532" spans="1:8">
      <c r="A532" s="775">
        <v>500</v>
      </c>
      <c r="B532" s="775" t="s">
        <v>576</v>
      </c>
      <c r="C532" s="825">
        <v>6467</v>
      </c>
      <c r="D532" s="825" t="s">
        <v>106</v>
      </c>
      <c r="E532" s="825">
        <v>0</v>
      </c>
      <c r="F532" s="825">
        <v>1914.44</v>
      </c>
      <c r="G532" s="775">
        <v>0</v>
      </c>
      <c r="H532" s="775">
        <v>0</v>
      </c>
    </row>
    <row r="533" spans="1:8">
      <c r="A533" s="775">
        <v>500</v>
      </c>
      <c r="B533" s="775" t="s">
        <v>576</v>
      </c>
      <c r="C533" s="825">
        <v>6474</v>
      </c>
      <c r="D533" s="825" t="s">
        <v>236</v>
      </c>
      <c r="E533" s="825">
        <v>5360.44</v>
      </c>
      <c r="F533" s="825">
        <v>0</v>
      </c>
      <c r="G533" s="775">
        <v>0</v>
      </c>
      <c r="H533" s="775">
        <v>0</v>
      </c>
    </row>
    <row r="534" spans="1:8">
      <c r="A534" s="775">
        <v>500</v>
      </c>
      <c r="B534" s="775" t="s">
        <v>576</v>
      </c>
      <c r="C534" s="825">
        <v>6501</v>
      </c>
      <c r="D534" s="825" t="s">
        <v>458</v>
      </c>
      <c r="E534" s="825">
        <v>33.5</v>
      </c>
      <c r="F534" s="825">
        <v>14.36</v>
      </c>
      <c r="G534" s="775">
        <v>0</v>
      </c>
      <c r="H534" s="775">
        <v>0</v>
      </c>
    </row>
    <row r="535" spans="1:8">
      <c r="A535" s="775">
        <v>500</v>
      </c>
      <c r="B535" s="775" t="s">
        <v>576</v>
      </c>
      <c r="C535" s="825">
        <v>6506</v>
      </c>
      <c r="D535" s="825" t="s">
        <v>461</v>
      </c>
      <c r="E535" s="825">
        <v>33.5</v>
      </c>
      <c r="F535" s="825">
        <v>14.36</v>
      </c>
      <c r="G535" s="775">
        <v>0</v>
      </c>
      <c r="H535" s="775">
        <v>0</v>
      </c>
    </row>
    <row r="536" spans="1:8">
      <c r="A536" s="775">
        <v>500</v>
      </c>
      <c r="B536" s="775" t="s">
        <v>576</v>
      </c>
      <c r="C536" s="825">
        <v>6517</v>
      </c>
      <c r="D536" s="825" t="s">
        <v>386</v>
      </c>
      <c r="E536" s="825">
        <v>134.97</v>
      </c>
      <c r="F536" s="825">
        <v>58.39</v>
      </c>
      <c r="G536" s="775">
        <v>0</v>
      </c>
      <c r="H536" s="775">
        <v>0</v>
      </c>
    </row>
    <row r="537" spans="1:8">
      <c r="A537" s="775">
        <v>500</v>
      </c>
      <c r="B537" s="775" t="s">
        <v>576</v>
      </c>
      <c r="C537" s="825">
        <v>6527</v>
      </c>
      <c r="D537" s="825" t="s">
        <v>447</v>
      </c>
      <c r="E537" s="825">
        <v>526.47</v>
      </c>
      <c r="F537" s="825">
        <v>0</v>
      </c>
      <c r="G537" s="775">
        <v>0</v>
      </c>
      <c r="H537" s="775">
        <v>0</v>
      </c>
    </row>
    <row r="538" spans="1:8">
      <c r="A538" s="775">
        <v>500</v>
      </c>
      <c r="B538" s="775" t="s">
        <v>576</v>
      </c>
      <c r="C538" s="825">
        <v>6579</v>
      </c>
      <c r="D538" s="825" t="s">
        <v>264</v>
      </c>
      <c r="E538" s="825">
        <v>478.61</v>
      </c>
      <c r="F538" s="825">
        <v>0</v>
      </c>
      <c r="G538" s="775">
        <v>0</v>
      </c>
      <c r="H538" s="775">
        <v>0</v>
      </c>
    </row>
    <row r="539" spans="1:8">
      <c r="A539" s="775">
        <v>500</v>
      </c>
      <c r="B539" s="775" t="s">
        <v>576</v>
      </c>
      <c r="C539" s="825">
        <v>6581</v>
      </c>
      <c r="D539" s="825" t="s">
        <v>272</v>
      </c>
      <c r="E539" s="825">
        <v>478.61</v>
      </c>
      <c r="F539" s="825">
        <v>0</v>
      </c>
      <c r="G539" s="775">
        <v>0</v>
      </c>
      <c r="H539" s="775">
        <v>0</v>
      </c>
    </row>
    <row r="540" spans="1:8">
      <c r="A540" s="775">
        <v>500</v>
      </c>
      <c r="B540" s="775" t="s">
        <v>576</v>
      </c>
      <c r="C540" s="825">
        <v>6594</v>
      </c>
      <c r="D540" s="825" t="s">
        <v>282</v>
      </c>
      <c r="E540" s="825">
        <v>670.06</v>
      </c>
      <c r="F540" s="825">
        <v>0</v>
      </c>
      <c r="G540" s="775">
        <v>0</v>
      </c>
      <c r="H540" s="775">
        <v>0</v>
      </c>
    </row>
    <row r="541" spans="1:8">
      <c r="A541" s="775">
        <v>500</v>
      </c>
      <c r="B541" s="775" t="s">
        <v>576</v>
      </c>
      <c r="C541" s="825">
        <v>6612</v>
      </c>
      <c r="D541" s="825" t="s">
        <v>865</v>
      </c>
      <c r="E541" s="825">
        <v>156.94999999999999</v>
      </c>
      <c r="F541" s="825">
        <v>0</v>
      </c>
      <c r="G541" s="775">
        <v>0</v>
      </c>
      <c r="H541" s="775">
        <v>0</v>
      </c>
    </row>
    <row r="542" spans="1:8">
      <c r="A542" s="775">
        <v>500</v>
      </c>
      <c r="B542" s="775" t="s">
        <v>576</v>
      </c>
      <c r="C542" s="825">
        <v>6642</v>
      </c>
      <c r="D542" s="825" t="s">
        <v>193</v>
      </c>
      <c r="E542" s="825">
        <v>47.86</v>
      </c>
      <c r="F542" s="825">
        <v>0</v>
      </c>
      <c r="G542" s="775">
        <v>0</v>
      </c>
      <c r="H542" s="775">
        <v>0</v>
      </c>
    </row>
    <row r="543" spans="1:8">
      <c r="A543" s="775">
        <v>500</v>
      </c>
      <c r="B543" s="775" t="s">
        <v>576</v>
      </c>
      <c r="C543" s="825">
        <v>6655</v>
      </c>
      <c r="D543" s="825" t="s">
        <v>412</v>
      </c>
      <c r="E543" s="825">
        <v>13.4</v>
      </c>
      <c r="F543" s="825">
        <v>5.75</v>
      </c>
      <c r="G543" s="775">
        <v>0</v>
      </c>
      <c r="H543" s="775">
        <v>0</v>
      </c>
    </row>
    <row r="544" spans="1:8">
      <c r="A544" s="775">
        <v>500</v>
      </c>
      <c r="B544" s="775" t="s">
        <v>576</v>
      </c>
      <c r="C544" s="825">
        <v>6670</v>
      </c>
      <c r="D544" s="825" t="s">
        <v>108</v>
      </c>
      <c r="E544" s="825">
        <v>0</v>
      </c>
      <c r="F544" s="825">
        <v>957.22</v>
      </c>
      <c r="G544" s="775">
        <v>0</v>
      </c>
      <c r="H544" s="775">
        <v>0</v>
      </c>
    </row>
    <row r="545" spans="1:8">
      <c r="A545" s="775">
        <v>500</v>
      </c>
      <c r="B545" s="775" t="s">
        <v>576</v>
      </c>
      <c r="C545" s="825">
        <v>6674</v>
      </c>
      <c r="D545" s="825" t="s">
        <v>823</v>
      </c>
      <c r="E545" s="825">
        <v>188.34</v>
      </c>
      <c r="F545" s="825">
        <v>0</v>
      </c>
      <c r="G545" s="775">
        <v>0</v>
      </c>
      <c r="H545" s="775">
        <v>0</v>
      </c>
    </row>
    <row r="546" spans="1:8">
      <c r="A546" s="775">
        <v>500</v>
      </c>
      <c r="B546" s="775" t="s">
        <v>576</v>
      </c>
      <c r="C546" s="825">
        <v>6682</v>
      </c>
      <c r="D546" s="825" t="s">
        <v>768</v>
      </c>
      <c r="E546" s="825">
        <v>150.66999999999999</v>
      </c>
      <c r="F546" s="825">
        <v>0</v>
      </c>
      <c r="G546" s="775">
        <v>0</v>
      </c>
      <c r="H546" s="775">
        <v>0</v>
      </c>
    </row>
    <row r="547" spans="1:8">
      <c r="A547" s="775">
        <v>500</v>
      </c>
      <c r="B547" s="775" t="s">
        <v>576</v>
      </c>
      <c r="C547" s="825">
        <v>6711</v>
      </c>
      <c r="D547" s="825" t="s">
        <v>888</v>
      </c>
      <c r="E547" s="825">
        <v>401.79</v>
      </c>
      <c r="F547" s="825">
        <v>0</v>
      </c>
      <c r="G547" s="775">
        <v>0</v>
      </c>
      <c r="H547" s="775">
        <v>0</v>
      </c>
    </row>
    <row r="548" spans="1:8">
      <c r="A548" s="775">
        <v>500</v>
      </c>
      <c r="B548" s="775" t="s">
        <v>576</v>
      </c>
      <c r="C548" s="825">
        <v>6722</v>
      </c>
      <c r="D548" s="825" t="s">
        <v>839</v>
      </c>
      <c r="E548" s="825">
        <v>113</v>
      </c>
      <c r="F548" s="825">
        <v>0</v>
      </c>
      <c r="G548" s="775">
        <v>0</v>
      </c>
      <c r="H548" s="775">
        <v>0</v>
      </c>
    </row>
    <row r="549" spans="1:8">
      <c r="A549" s="775">
        <v>500</v>
      </c>
      <c r="B549" s="775" t="s">
        <v>576</v>
      </c>
      <c r="C549" s="825">
        <v>6728</v>
      </c>
      <c r="D549" s="825" t="s">
        <v>864</v>
      </c>
      <c r="E549" s="825">
        <v>3452.85</v>
      </c>
      <c r="F549" s="825">
        <v>0</v>
      </c>
      <c r="G549" s="775">
        <v>0</v>
      </c>
      <c r="H549" s="775">
        <v>0</v>
      </c>
    </row>
    <row r="550" spans="1:8">
      <c r="A550" s="775">
        <v>500</v>
      </c>
      <c r="B550" s="775" t="s">
        <v>576</v>
      </c>
      <c r="C550" s="825">
        <v>6746</v>
      </c>
      <c r="D550" s="825" t="s">
        <v>923</v>
      </c>
      <c r="E550" s="825">
        <v>373.54</v>
      </c>
      <c r="F550" s="825">
        <v>160.08000000000001</v>
      </c>
      <c r="G550" s="775">
        <v>0</v>
      </c>
      <c r="H550" s="775">
        <v>0</v>
      </c>
    </row>
    <row r="551" spans="1:8">
      <c r="A551" s="775">
        <v>500</v>
      </c>
      <c r="B551" s="775" t="s">
        <v>576</v>
      </c>
      <c r="C551" s="825">
        <v>6755</v>
      </c>
      <c r="D551" s="825" t="s">
        <v>811</v>
      </c>
      <c r="E551" s="825">
        <v>3076.18</v>
      </c>
      <c r="F551" s="825">
        <v>1318.36</v>
      </c>
      <c r="G551" s="775">
        <v>0</v>
      </c>
      <c r="H551" s="775">
        <v>0</v>
      </c>
    </row>
    <row r="552" spans="1:8">
      <c r="A552" s="775">
        <v>500</v>
      </c>
      <c r="B552" s="775" t="s">
        <v>576</v>
      </c>
      <c r="C552" s="825">
        <v>6768</v>
      </c>
      <c r="D552" s="825" t="s">
        <v>763</v>
      </c>
      <c r="E552" s="825">
        <v>0</v>
      </c>
      <c r="F552" s="825">
        <v>6.28</v>
      </c>
      <c r="G552" s="775">
        <v>0</v>
      </c>
      <c r="H552" s="775">
        <v>0</v>
      </c>
    </row>
    <row r="553" spans="1:8">
      <c r="A553" s="775">
        <v>500</v>
      </c>
      <c r="B553" s="775" t="s">
        <v>576</v>
      </c>
      <c r="C553" s="825">
        <v>6771</v>
      </c>
      <c r="D553" s="825" t="s">
        <v>762</v>
      </c>
      <c r="E553" s="825">
        <v>0</v>
      </c>
      <c r="F553" s="825">
        <v>3.14</v>
      </c>
      <c r="G553" s="775">
        <v>0</v>
      </c>
      <c r="H553" s="775">
        <v>0</v>
      </c>
    </row>
    <row r="554" spans="1:8">
      <c r="A554" s="775">
        <v>500</v>
      </c>
      <c r="B554" s="775" t="s">
        <v>576</v>
      </c>
      <c r="C554" s="825">
        <v>6773</v>
      </c>
      <c r="D554" s="825" t="s">
        <v>906</v>
      </c>
      <c r="E554" s="825">
        <v>0</v>
      </c>
      <c r="F554" s="825">
        <v>109.87</v>
      </c>
      <c r="G554" s="775">
        <v>0</v>
      </c>
      <c r="H554" s="775">
        <v>0</v>
      </c>
    </row>
    <row r="555" spans="1:8">
      <c r="A555" s="775">
        <v>500</v>
      </c>
      <c r="B555" s="775" t="s">
        <v>576</v>
      </c>
      <c r="C555" s="825">
        <v>6779</v>
      </c>
      <c r="D555" s="825" t="s">
        <v>825</v>
      </c>
      <c r="E555" s="825">
        <v>0</v>
      </c>
      <c r="F555" s="825">
        <v>627.79</v>
      </c>
      <c r="G555" s="775">
        <v>0</v>
      </c>
      <c r="H555" s="775">
        <v>0</v>
      </c>
    </row>
    <row r="556" spans="1:8">
      <c r="A556" s="775">
        <v>500</v>
      </c>
      <c r="B556" s="775" t="s">
        <v>576</v>
      </c>
      <c r="C556" s="825">
        <v>6780</v>
      </c>
      <c r="D556" s="825" t="s">
        <v>855</v>
      </c>
      <c r="E556" s="825">
        <v>0</v>
      </c>
      <c r="F556" s="825">
        <v>627.79</v>
      </c>
      <c r="G556" s="775">
        <v>0</v>
      </c>
      <c r="H556" s="775">
        <v>0</v>
      </c>
    </row>
    <row r="557" spans="1:8">
      <c r="A557" s="775">
        <v>500</v>
      </c>
      <c r="B557" s="775" t="s">
        <v>576</v>
      </c>
      <c r="C557" s="825">
        <v>6801</v>
      </c>
      <c r="D557" s="825" t="s">
        <v>908</v>
      </c>
      <c r="E557" s="825">
        <v>0</v>
      </c>
      <c r="F557" s="825">
        <v>1412.53</v>
      </c>
      <c r="G557" s="775">
        <v>0</v>
      </c>
      <c r="H557" s="775">
        <v>0</v>
      </c>
    </row>
    <row r="558" spans="1:8">
      <c r="A558" s="775">
        <v>500</v>
      </c>
      <c r="B558" s="775" t="s">
        <v>576</v>
      </c>
      <c r="C558" s="825">
        <v>6803</v>
      </c>
      <c r="D558" s="825" t="s">
        <v>834</v>
      </c>
      <c r="E558" s="825">
        <v>0</v>
      </c>
      <c r="F558" s="825">
        <v>373.54</v>
      </c>
      <c r="G558" s="775">
        <v>0</v>
      </c>
      <c r="H558" s="775">
        <v>0</v>
      </c>
    </row>
    <row r="559" spans="1:8">
      <c r="A559" s="775">
        <v>500</v>
      </c>
      <c r="B559" s="775" t="s">
        <v>576</v>
      </c>
      <c r="C559" s="825">
        <v>6806</v>
      </c>
      <c r="D559" s="825" t="s">
        <v>929</v>
      </c>
      <c r="E559" s="825">
        <v>131.83000000000001</v>
      </c>
      <c r="F559" s="825">
        <v>56.5</v>
      </c>
      <c r="G559" s="775">
        <v>0</v>
      </c>
      <c r="H559" s="775">
        <v>0</v>
      </c>
    </row>
    <row r="560" spans="1:8">
      <c r="A560" s="775">
        <v>500</v>
      </c>
      <c r="B560" s="775" t="s">
        <v>576</v>
      </c>
      <c r="C560" s="825">
        <v>6812</v>
      </c>
      <c r="D560" s="825" t="s">
        <v>828</v>
      </c>
      <c r="E560" s="825">
        <v>144.4</v>
      </c>
      <c r="F560" s="825">
        <v>59.64</v>
      </c>
      <c r="G560" s="775">
        <v>0</v>
      </c>
      <c r="H560" s="775">
        <v>0</v>
      </c>
    </row>
    <row r="561" spans="1:8">
      <c r="A561" s="775">
        <v>500</v>
      </c>
      <c r="B561" s="775" t="s">
        <v>576</v>
      </c>
      <c r="C561" s="825">
        <v>6818</v>
      </c>
      <c r="D561" s="825" t="s">
        <v>850</v>
      </c>
      <c r="E561" s="825">
        <v>131.83000000000001</v>
      </c>
      <c r="F561" s="825">
        <v>56.5</v>
      </c>
      <c r="G561" s="775">
        <v>0</v>
      </c>
      <c r="H561" s="775">
        <v>0</v>
      </c>
    </row>
    <row r="562" spans="1:8">
      <c r="A562" s="775">
        <v>500</v>
      </c>
      <c r="B562" s="775" t="s">
        <v>576</v>
      </c>
      <c r="C562" s="825">
        <v>6822</v>
      </c>
      <c r="D562" s="825" t="s">
        <v>790</v>
      </c>
      <c r="E562" s="825">
        <v>197.76</v>
      </c>
      <c r="F562" s="825">
        <v>84.75</v>
      </c>
      <c r="G562" s="775">
        <v>0</v>
      </c>
      <c r="H562" s="775">
        <v>0</v>
      </c>
    </row>
    <row r="563" spans="1:8">
      <c r="A563" s="775">
        <v>500</v>
      </c>
      <c r="B563" s="775" t="s">
        <v>576</v>
      </c>
      <c r="C563" s="825">
        <v>6824</v>
      </c>
      <c r="D563" s="825" t="s">
        <v>852</v>
      </c>
      <c r="E563" s="825">
        <v>100.45</v>
      </c>
      <c r="F563" s="825">
        <v>40.81</v>
      </c>
      <c r="G563" s="775">
        <v>0</v>
      </c>
      <c r="H563" s="775">
        <v>0</v>
      </c>
    </row>
    <row r="564" spans="1:8">
      <c r="A564" s="775">
        <v>500</v>
      </c>
      <c r="B564" s="775" t="s">
        <v>576</v>
      </c>
      <c r="C564" s="825">
        <v>6829</v>
      </c>
      <c r="D564" s="825" t="s">
        <v>936</v>
      </c>
      <c r="E564" s="825">
        <v>78.47</v>
      </c>
      <c r="F564" s="825">
        <v>31.39</v>
      </c>
      <c r="G564" s="775">
        <v>0</v>
      </c>
      <c r="H564" s="775">
        <v>0</v>
      </c>
    </row>
    <row r="565" spans="1:8">
      <c r="A565" s="775">
        <v>500</v>
      </c>
      <c r="B565" s="775" t="s">
        <v>576</v>
      </c>
      <c r="C565" s="825">
        <v>6830</v>
      </c>
      <c r="D565" s="825" t="s">
        <v>934</v>
      </c>
      <c r="E565" s="825">
        <v>100.45</v>
      </c>
      <c r="F565" s="825">
        <v>40.81</v>
      </c>
      <c r="G565" s="775">
        <v>0</v>
      </c>
      <c r="H565" s="775">
        <v>0</v>
      </c>
    </row>
    <row r="566" spans="1:8">
      <c r="A566" s="775">
        <v>500</v>
      </c>
      <c r="B566" s="775" t="s">
        <v>576</v>
      </c>
      <c r="C566" s="825">
        <v>6851</v>
      </c>
      <c r="D566" s="825" t="s">
        <v>891</v>
      </c>
      <c r="E566" s="825">
        <v>2197.27</v>
      </c>
      <c r="F566" s="825">
        <v>941.69</v>
      </c>
      <c r="G566" s="775">
        <v>0</v>
      </c>
      <c r="H566" s="775">
        <v>0</v>
      </c>
    </row>
    <row r="567" spans="1:8">
      <c r="A567" s="775">
        <v>500</v>
      </c>
      <c r="B567" s="775" t="s">
        <v>576</v>
      </c>
      <c r="C567" s="825">
        <v>6859</v>
      </c>
      <c r="D567" s="825" t="s">
        <v>833</v>
      </c>
      <c r="E567" s="825">
        <v>0</v>
      </c>
      <c r="F567" s="825">
        <v>131.83000000000001</v>
      </c>
      <c r="G567" s="775">
        <v>0</v>
      </c>
      <c r="H567" s="775">
        <v>0</v>
      </c>
    </row>
    <row r="568" spans="1:8">
      <c r="A568" s="775">
        <v>500</v>
      </c>
      <c r="B568" s="775" t="s">
        <v>576</v>
      </c>
      <c r="C568" s="825">
        <v>6884</v>
      </c>
      <c r="D568" s="825" t="s">
        <v>202</v>
      </c>
      <c r="E568" s="825">
        <v>478.61</v>
      </c>
      <c r="F568" s="825">
        <v>0</v>
      </c>
      <c r="G568" s="775">
        <v>0</v>
      </c>
      <c r="H568" s="775">
        <v>0</v>
      </c>
    </row>
    <row r="569" spans="1:8">
      <c r="A569" s="775">
        <v>500</v>
      </c>
      <c r="B569" s="775" t="s">
        <v>576</v>
      </c>
      <c r="C569" s="825">
        <v>6889</v>
      </c>
      <c r="D569" s="825" t="s">
        <v>428</v>
      </c>
      <c r="E569" s="825">
        <v>0</v>
      </c>
      <c r="F569" s="825">
        <v>36.369999999999997</v>
      </c>
      <c r="G569" s="775">
        <v>0</v>
      </c>
      <c r="H569" s="775">
        <v>0</v>
      </c>
    </row>
    <row r="570" spans="1:8">
      <c r="A570" s="775">
        <v>500</v>
      </c>
      <c r="B570" s="775" t="s">
        <v>576</v>
      </c>
      <c r="C570" s="825">
        <v>6918</v>
      </c>
      <c r="D570" s="825" t="s">
        <v>384</v>
      </c>
      <c r="E570" s="825">
        <v>153.16</v>
      </c>
      <c r="F570" s="825">
        <v>65.09</v>
      </c>
      <c r="G570" s="775">
        <v>0</v>
      </c>
      <c r="H570" s="775">
        <v>0</v>
      </c>
    </row>
    <row r="571" spans="1:8">
      <c r="A571" s="775">
        <v>500</v>
      </c>
      <c r="B571" s="775" t="s">
        <v>576</v>
      </c>
      <c r="C571" s="825">
        <v>6933</v>
      </c>
      <c r="D571" s="825" t="s">
        <v>393</v>
      </c>
      <c r="E571" s="825">
        <v>704.52</v>
      </c>
      <c r="F571" s="825">
        <v>301.52999999999997</v>
      </c>
      <c r="G571" s="775">
        <v>0</v>
      </c>
      <c r="H571" s="775">
        <v>0</v>
      </c>
    </row>
    <row r="572" spans="1:8">
      <c r="A572" s="775">
        <v>500</v>
      </c>
      <c r="B572" s="775" t="s">
        <v>576</v>
      </c>
      <c r="C572" s="825">
        <v>6982</v>
      </c>
      <c r="D572" s="825" t="s">
        <v>203</v>
      </c>
      <c r="E572" s="825">
        <v>124.44</v>
      </c>
      <c r="F572" s="825">
        <v>0</v>
      </c>
      <c r="G572" s="775">
        <v>0</v>
      </c>
      <c r="H572" s="775">
        <v>0</v>
      </c>
    </row>
    <row r="573" spans="1:8">
      <c r="A573" s="775">
        <v>500</v>
      </c>
      <c r="B573" s="775" t="s">
        <v>576</v>
      </c>
      <c r="C573" s="825">
        <v>7135</v>
      </c>
      <c r="D573" s="825" t="s">
        <v>124</v>
      </c>
      <c r="E573" s="825">
        <v>0</v>
      </c>
      <c r="F573" s="825">
        <v>124.44</v>
      </c>
      <c r="G573" s="775">
        <v>0</v>
      </c>
      <c r="H573" s="775">
        <v>0</v>
      </c>
    </row>
    <row r="574" spans="1:8">
      <c r="A574" s="775">
        <v>500</v>
      </c>
      <c r="B574" s="775" t="s">
        <v>576</v>
      </c>
      <c r="C574" s="825">
        <v>7175</v>
      </c>
      <c r="D574" s="825" t="s">
        <v>154</v>
      </c>
      <c r="E574" s="825">
        <v>0</v>
      </c>
      <c r="F574" s="825">
        <v>287.17</v>
      </c>
      <c r="G574" s="775">
        <v>0</v>
      </c>
      <c r="H574" s="775">
        <v>0</v>
      </c>
    </row>
    <row r="575" spans="1:8">
      <c r="A575" s="775">
        <v>500</v>
      </c>
      <c r="B575" s="775" t="s">
        <v>576</v>
      </c>
      <c r="C575" s="825">
        <v>7201</v>
      </c>
      <c r="D575" s="825" t="s">
        <v>175</v>
      </c>
      <c r="E575" s="825">
        <v>0</v>
      </c>
      <c r="F575" s="825">
        <v>71.8</v>
      </c>
      <c r="G575" s="775">
        <v>0</v>
      </c>
      <c r="H575" s="775">
        <v>0</v>
      </c>
    </row>
    <row r="576" spans="1:8">
      <c r="A576" s="775">
        <v>500</v>
      </c>
      <c r="B576" s="775" t="s">
        <v>576</v>
      </c>
      <c r="C576" s="825">
        <v>7540</v>
      </c>
      <c r="D576" s="825" t="s">
        <v>371</v>
      </c>
      <c r="E576" s="825">
        <v>122.53</v>
      </c>
      <c r="F576" s="825">
        <v>52.64</v>
      </c>
      <c r="G576" s="775">
        <v>0</v>
      </c>
      <c r="H576" s="775">
        <v>0</v>
      </c>
    </row>
    <row r="577" spans="1:8">
      <c r="A577" s="775">
        <v>500</v>
      </c>
      <c r="B577" s="775" t="s">
        <v>576</v>
      </c>
      <c r="C577" s="825">
        <v>7895</v>
      </c>
      <c r="D577" s="825" t="s">
        <v>957</v>
      </c>
      <c r="E577" s="825">
        <v>100.45</v>
      </c>
      <c r="F577" s="825">
        <v>40.81</v>
      </c>
      <c r="G577" s="775">
        <v>0</v>
      </c>
      <c r="H577" s="775">
        <v>0</v>
      </c>
    </row>
    <row r="578" spans="1:8">
      <c r="A578" s="775">
        <v>500</v>
      </c>
      <c r="B578" s="775" t="s">
        <v>576</v>
      </c>
      <c r="C578" s="825">
        <v>7954</v>
      </c>
      <c r="D578" s="825" t="s">
        <v>803</v>
      </c>
      <c r="E578" s="825">
        <v>150.66999999999999</v>
      </c>
      <c r="F578" s="825">
        <v>0</v>
      </c>
      <c r="G578" s="775">
        <v>0</v>
      </c>
      <c r="H578" s="775">
        <v>0</v>
      </c>
    </row>
    <row r="579" spans="1:8">
      <c r="A579" s="775">
        <v>124</v>
      </c>
      <c r="B579" s="775" t="s">
        <v>758</v>
      </c>
      <c r="C579" s="825">
        <v>8091</v>
      </c>
      <c r="D579" s="825" t="s">
        <v>339</v>
      </c>
      <c r="E579" s="825">
        <v>38.28</v>
      </c>
      <c r="F579" s="825">
        <v>0</v>
      </c>
      <c r="G579" s="775">
        <v>0</v>
      </c>
      <c r="H579" s="775">
        <v>0</v>
      </c>
    </row>
    <row r="580" spans="1:8">
      <c r="C580" s="825">
        <v>8771</v>
      </c>
      <c r="D580" s="825" t="s">
        <v>940</v>
      </c>
      <c r="E580" s="825">
        <v>0</v>
      </c>
      <c r="F580" s="825">
        <v>373.54</v>
      </c>
    </row>
    <row r="581" spans="1:8">
      <c r="C581" s="825">
        <v>92324</v>
      </c>
      <c r="D581" s="825" t="s">
        <v>845</v>
      </c>
      <c r="E581" s="825">
        <v>87.11</v>
      </c>
      <c r="F581" s="825">
        <v>0</v>
      </c>
    </row>
  </sheetData>
  <autoFilter ref="A1:H579" xr:uid="{00000000-0001-0000-0300-000000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D1032"/>
  <sheetViews>
    <sheetView showGridLines="0" tabSelected="1" view="pageLayout" zoomScale="70" zoomScaleNormal="55" zoomScalePageLayoutView="70" workbookViewId="0">
      <selection activeCell="C28" sqref="C28"/>
    </sheetView>
  </sheetViews>
  <sheetFormatPr defaultColWidth="14.44140625" defaultRowHeight="15" customHeight="1"/>
  <cols>
    <col min="2" max="2" width="15.88671875" customWidth="1"/>
    <col min="3" max="3" width="17.88671875" customWidth="1"/>
    <col min="4" max="4" width="8.44140625" customWidth="1"/>
    <col min="5" max="5" width="2.33203125" hidden="1" customWidth="1"/>
    <col min="6" max="6" width="4.6640625" customWidth="1"/>
    <col min="7" max="7" width="13.44140625" customWidth="1"/>
    <col min="8" max="8" width="12.6640625" customWidth="1"/>
    <col min="9" max="9" width="10.109375" customWidth="1"/>
    <col min="10" max="10" width="8.88671875" customWidth="1"/>
    <col min="11" max="11" width="5.88671875" customWidth="1"/>
    <col min="12" max="12" width="7" customWidth="1"/>
    <col min="13" max="13" width="8.6640625" customWidth="1"/>
    <col min="14" max="14" width="5.44140625" customWidth="1"/>
    <col min="15" max="15" width="9.5546875" customWidth="1"/>
    <col min="16" max="16" width="7.6640625" customWidth="1"/>
    <col min="17" max="17" width="8.44140625" customWidth="1"/>
    <col min="18" max="18" width="14.44140625" customWidth="1"/>
    <col min="19" max="19" width="24.6640625" customWidth="1"/>
    <col min="20" max="20" width="10.44140625" customWidth="1"/>
    <col min="21" max="21" width="14" customWidth="1"/>
    <col min="22" max="22" width="7.109375" customWidth="1"/>
    <col min="23" max="23" width="17.88671875" customWidth="1"/>
    <col min="24" max="24" width="11.33203125" customWidth="1"/>
    <col min="25" max="25" width="8.33203125" bestFit="1" customWidth="1"/>
    <col min="26" max="26" width="7.44140625" customWidth="1"/>
    <col min="27" max="27" width="12.6640625" customWidth="1"/>
    <col min="28" max="28" width="15.33203125" customWidth="1"/>
    <col min="29" max="29" width="9.44140625" customWidth="1"/>
  </cols>
  <sheetData>
    <row r="2" spans="2:30" ht="57.75" customHeight="1">
      <c r="B2" s="937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Z2" s="883"/>
      <c r="AA2" s="883"/>
      <c r="AB2" s="883"/>
      <c r="AC2" s="884"/>
    </row>
    <row r="3" spans="2:30" ht="18.75" customHeight="1">
      <c r="B3" s="101" t="s">
        <v>487</v>
      </c>
      <c r="C3" s="102"/>
      <c r="D3" s="908" t="s">
        <v>488</v>
      </c>
      <c r="E3" s="867"/>
      <c r="F3" s="867"/>
      <c r="G3" s="867"/>
      <c r="H3" s="909"/>
      <c r="I3" s="868"/>
      <c r="J3" s="908" t="s">
        <v>489</v>
      </c>
      <c r="K3" s="867"/>
      <c r="L3" s="867"/>
      <c r="M3" s="941"/>
      <c r="N3" s="905"/>
      <c r="O3" s="905"/>
      <c r="P3" s="905"/>
      <c r="Q3" s="905"/>
      <c r="R3" s="905"/>
      <c r="S3" s="815" t="s">
        <v>490</v>
      </c>
      <c r="T3" s="938"/>
      <c r="U3" s="867"/>
      <c r="V3" s="867"/>
      <c r="W3" s="868"/>
      <c r="X3" s="939" t="s">
        <v>738</v>
      </c>
      <c r="Y3" s="867"/>
      <c r="Z3" s="867"/>
      <c r="AA3" s="909"/>
      <c r="AB3" s="867"/>
      <c r="AC3" s="868"/>
    </row>
    <row r="4" spans="2:30" ht="7.5" customHeight="1">
      <c r="B4" s="921"/>
      <c r="C4" s="891"/>
      <c r="D4" s="891"/>
      <c r="E4" s="891"/>
      <c r="F4" s="891"/>
      <c r="G4" s="891"/>
      <c r="H4" s="891"/>
      <c r="I4" s="891"/>
      <c r="J4" s="891"/>
      <c r="K4" s="891"/>
      <c r="L4" s="891"/>
      <c r="M4" s="891"/>
      <c r="N4" s="891"/>
      <c r="O4" s="891"/>
      <c r="P4" s="891"/>
      <c r="Q4" s="891"/>
      <c r="R4" s="891"/>
      <c r="S4" s="891"/>
      <c r="T4" s="891"/>
      <c r="U4" s="891"/>
      <c r="V4" s="891"/>
      <c r="W4" s="891"/>
      <c r="X4" s="891"/>
      <c r="Y4" s="891"/>
      <c r="Z4" s="891"/>
      <c r="AA4" s="891"/>
      <c r="AB4" s="891"/>
      <c r="AC4" s="892"/>
    </row>
    <row r="5" spans="2:30" ht="18.75" customHeight="1">
      <c r="B5" s="893" t="s">
        <v>493</v>
      </c>
      <c r="C5" s="867"/>
      <c r="D5" s="940"/>
      <c r="E5" s="905"/>
      <c r="F5" s="905"/>
      <c r="G5" s="905"/>
      <c r="H5" s="905"/>
      <c r="I5" s="905"/>
      <c r="J5" s="905"/>
      <c r="K5" s="905"/>
      <c r="L5" s="905"/>
      <c r="M5" s="905"/>
      <c r="N5" s="905"/>
      <c r="O5" s="905"/>
      <c r="P5" s="905"/>
      <c r="Q5" s="905"/>
      <c r="R5" s="905"/>
      <c r="S5" s="905"/>
      <c r="T5" s="905"/>
      <c r="U5" s="905"/>
      <c r="V5" s="905"/>
      <c r="W5" s="942" t="s">
        <v>494</v>
      </c>
      <c r="X5" s="884"/>
      <c r="Y5" s="943"/>
      <c r="Z5" s="944"/>
      <c r="AA5" s="944"/>
      <c r="AB5" s="944"/>
      <c r="AC5" s="945"/>
    </row>
    <row r="6" spans="2:30" ht="7.5" customHeight="1">
      <c r="B6" s="921"/>
      <c r="C6" s="891"/>
      <c r="D6" s="891"/>
      <c r="E6" s="891"/>
      <c r="F6" s="891"/>
      <c r="G6" s="891"/>
      <c r="H6" s="891"/>
      <c r="I6" s="891"/>
      <c r="J6" s="891"/>
      <c r="K6" s="891"/>
      <c r="L6" s="891"/>
      <c r="M6" s="891"/>
      <c r="N6" s="891"/>
      <c r="O6" s="891"/>
      <c r="P6" s="891"/>
      <c r="Q6" s="891"/>
      <c r="R6" s="891"/>
      <c r="S6" s="891"/>
      <c r="T6" s="891"/>
      <c r="U6" s="891"/>
      <c r="V6" s="892"/>
      <c r="W6" s="891"/>
      <c r="X6" s="892"/>
      <c r="Y6" s="946"/>
      <c r="Z6" s="947"/>
      <c r="AA6" s="947"/>
      <c r="AB6" s="947"/>
      <c r="AC6" s="948"/>
    </row>
    <row r="7" spans="2:30" ht="18.75" customHeight="1">
      <c r="B7" s="893" t="s">
        <v>495</v>
      </c>
      <c r="C7" s="867"/>
      <c r="D7" s="940"/>
      <c r="E7" s="905"/>
      <c r="F7" s="905"/>
      <c r="G7" s="905"/>
      <c r="H7" s="905"/>
      <c r="I7" s="905"/>
      <c r="J7" s="905"/>
      <c r="K7" s="905"/>
      <c r="L7" s="905"/>
      <c r="M7" s="905"/>
      <c r="N7" s="905"/>
      <c r="O7" s="905"/>
      <c r="P7" s="905"/>
      <c r="Q7" s="905"/>
      <c r="R7" s="905"/>
      <c r="S7" s="905"/>
      <c r="T7" s="905"/>
      <c r="U7" s="905"/>
      <c r="V7" s="905"/>
      <c r="W7" s="886"/>
      <c r="X7" s="887"/>
      <c r="Y7" s="949"/>
      <c r="Z7" s="950"/>
      <c r="AA7" s="950"/>
      <c r="AB7" s="950"/>
      <c r="AC7" s="951"/>
    </row>
    <row r="8" spans="2:30" ht="7.5" customHeight="1">
      <c r="B8" s="890"/>
      <c r="C8" s="891"/>
      <c r="D8" s="891"/>
      <c r="E8" s="891"/>
      <c r="F8" s="891"/>
      <c r="G8" s="891"/>
      <c r="H8" s="891"/>
      <c r="I8" s="891"/>
      <c r="J8" s="891"/>
      <c r="K8" s="891"/>
      <c r="L8" s="891"/>
      <c r="M8" s="891"/>
      <c r="N8" s="891"/>
      <c r="O8" s="891"/>
      <c r="P8" s="891"/>
      <c r="Q8" s="891"/>
      <c r="R8" s="891"/>
      <c r="S8" s="891"/>
      <c r="T8" s="891"/>
      <c r="U8" s="891"/>
      <c r="V8" s="891"/>
      <c r="W8" s="891"/>
      <c r="X8" s="891"/>
      <c r="Y8" s="891"/>
      <c r="Z8" s="891"/>
      <c r="AA8" s="891"/>
      <c r="AB8" s="891"/>
      <c r="AC8" s="892"/>
    </row>
    <row r="9" spans="2:30" ht="18.75" customHeight="1">
      <c r="B9" s="903" t="s">
        <v>496</v>
      </c>
      <c r="C9" s="867"/>
      <c r="D9" s="904"/>
      <c r="E9" s="905"/>
      <c r="F9" s="905"/>
      <c r="G9" s="905"/>
      <c r="H9" s="906" t="s">
        <v>497</v>
      </c>
      <c r="I9" s="867"/>
      <c r="J9" s="867"/>
      <c r="K9" s="867"/>
      <c r="L9" s="910"/>
      <c r="M9" s="905"/>
      <c r="N9" s="905"/>
      <c r="O9" s="905"/>
      <c r="P9" s="907">
        <f>L9-D9+12</f>
        <v>12</v>
      </c>
      <c r="Q9" s="867"/>
      <c r="R9" s="868"/>
      <c r="S9" s="908" t="s">
        <v>498</v>
      </c>
      <c r="T9" s="867"/>
      <c r="U9" s="909"/>
      <c r="V9" s="868"/>
      <c r="W9" s="935"/>
      <c r="X9" s="883"/>
      <c r="Y9" s="883"/>
      <c r="Z9" s="883"/>
      <c r="AA9" s="883"/>
      <c r="AB9" s="883"/>
      <c r="AC9" s="912" t="s">
        <v>105</v>
      </c>
      <c r="AD9" t="s">
        <v>1143</v>
      </c>
    </row>
    <row r="10" spans="2:30" ht="7.5" customHeight="1">
      <c r="B10" s="911"/>
      <c r="C10" s="891"/>
      <c r="D10" s="891"/>
      <c r="E10" s="891"/>
      <c r="F10" s="891"/>
      <c r="G10" s="891"/>
      <c r="H10" s="891"/>
      <c r="I10" s="891"/>
      <c r="J10" s="891"/>
      <c r="K10" s="891"/>
      <c r="L10" s="891"/>
      <c r="M10" s="891"/>
      <c r="N10" s="891"/>
      <c r="O10" s="891"/>
      <c r="P10" s="891"/>
      <c r="Q10" s="891"/>
      <c r="R10" s="891"/>
      <c r="S10" s="891"/>
      <c r="T10" s="891"/>
      <c r="U10" s="891"/>
      <c r="V10" s="891"/>
      <c r="W10" s="936"/>
      <c r="X10" s="891"/>
      <c r="Y10" s="891"/>
      <c r="Z10" s="891"/>
      <c r="AA10" s="891"/>
      <c r="AB10" s="891"/>
      <c r="AC10" s="892"/>
    </row>
    <row r="11" spans="2:30" ht="18.75" customHeight="1">
      <c r="B11" s="903" t="s">
        <v>499</v>
      </c>
      <c r="C11" s="867"/>
      <c r="D11" s="926"/>
      <c r="E11" s="905"/>
      <c r="F11" s="905"/>
      <c r="G11" s="905"/>
      <c r="H11" s="906" t="s">
        <v>500</v>
      </c>
      <c r="I11" s="867"/>
      <c r="J11" s="867"/>
      <c r="K11" s="867"/>
      <c r="L11" s="934"/>
      <c r="M11" s="905"/>
      <c r="N11" s="905"/>
      <c r="O11" s="905"/>
      <c r="P11" s="907">
        <f>L11-D11+12</f>
        <v>12</v>
      </c>
      <c r="Q11" s="867"/>
      <c r="R11" s="868"/>
      <c r="S11" s="908" t="s">
        <v>501</v>
      </c>
      <c r="T11" s="867"/>
      <c r="U11" s="909"/>
      <c r="V11" s="868"/>
      <c r="W11" s="885"/>
      <c r="X11" s="886"/>
      <c r="Y11" s="886"/>
      <c r="Z11" s="886"/>
      <c r="AA11" s="886"/>
      <c r="AB11" s="886"/>
      <c r="AC11" s="887"/>
    </row>
    <row r="12" spans="2:30" ht="8.25" customHeight="1">
      <c r="B12" s="921"/>
      <c r="C12" s="891"/>
      <c r="D12" s="891"/>
      <c r="E12" s="891"/>
      <c r="F12" s="891"/>
      <c r="G12" s="891"/>
      <c r="H12" s="891"/>
      <c r="I12" s="891"/>
      <c r="J12" s="891"/>
      <c r="K12" s="891"/>
      <c r="L12" s="891"/>
      <c r="M12" s="891"/>
      <c r="N12" s="891"/>
      <c r="O12" s="891"/>
      <c r="P12" s="891"/>
      <c r="Q12" s="891"/>
      <c r="R12" s="891"/>
      <c r="S12" s="891"/>
      <c r="T12" s="891"/>
      <c r="U12" s="891"/>
      <c r="V12" s="891"/>
      <c r="W12" s="891"/>
      <c r="X12" s="891"/>
      <c r="Y12" s="891"/>
      <c r="Z12" s="891"/>
      <c r="AA12" s="891"/>
      <c r="AB12" s="891"/>
      <c r="AC12" s="892"/>
    </row>
    <row r="13" spans="2:30" ht="18.75" customHeight="1">
      <c r="B13" s="893" t="s">
        <v>502</v>
      </c>
      <c r="C13" s="867"/>
      <c r="D13" s="926"/>
      <c r="E13" s="905"/>
      <c r="F13" s="905"/>
      <c r="G13" s="905"/>
      <c r="H13" s="927" t="s">
        <v>503</v>
      </c>
      <c r="I13" s="867"/>
      <c r="J13" s="867"/>
      <c r="K13" s="928"/>
      <c r="L13" s="929"/>
      <c r="M13" s="929"/>
      <c r="N13" s="929"/>
      <c r="O13" s="929"/>
      <c r="P13" s="929"/>
      <c r="Q13" s="930"/>
      <c r="R13" s="893" t="s">
        <v>504</v>
      </c>
      <c r="S13" s="867"/>
      <c r="T13" s="931"/>
      <c r="U13" s="867"/>
      <c r="V13" s="867"/>
      <c r="W13" s="868"/>
      <c r="X13" s="879" t="s">
        <v>505</v>
      </c>
      <c r="Y13" s="867"/>
      <c r="Z13" s="867"/>
      <c r="AA13" s="913"/>
      <c r="AB13" s="867"/>
      <c r="AC13" s="868"/>
    </row>
    <row r="14" spans="2:30" ht="9.75" customHeight="1">
      <c r="B14" s="921"/>
      <c r="C14" s="891"/>
      <c r="D14" s="891"/>
      <c r="E14" s="891"/>
      <c r="F14" s="891"/>
      <c r="G14" s="891"/>
      <c r="H14" s="891"/>
      <c r="I14" s="891"/>
      <c r="J14" s="891"/>
      <c r="K14" s="891"/>
      <c r="L14" s="891"/>
      <c r="M14" s="891"/>
      <c r="N14" s="891"/>
      <c r="O14" s="891"/>
      <c r="P14" s="891"/>
      <c r="Q14" s="891"/>
      <c r="R14" s="891"/>
      <c r="S14" s="891"/>
      <c r="T14" s="891"/>
      <c r="U14" s="891"/>
      <c r="V14" s="891"/>
      <c r="W14" s="891"/>
      <c r="X14" s="891"/>
      <c r="Y14" s="891"/>
      <c r="Z14" s="891"/>
      <c r="AA14" s="891"/>
      <c r="AB14" s="891"/>
      <c r="AC14" s="892"/>
    </row>
    <row r="15" spans="2:30" ht="18.75" customHeight="1">
      <c r="B15" s="918" t="s">
        <v>506</v>
      </c>
      <c r="C15" s="867"/>
      <c r="D15" s="914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867"/>
      <c r="P15" s="867"/>
      <c r="Q15" s="867"/>
      <c r="R15" s="867"/>
      <c r="S15" s="867"/>
      <c r="T15" s="867"/>
      <c r="U15" s="867"/>
      <c r="V15" s="867"/>
      <c r="W15" s="867"/>
      <c r="X15" s="867"/>
      <c r="Y15" s="867"/>
      <c r="Z15" s="867"/>
      <c r="AA15" s="867"/>
      <c r="AB15" s="867"/>
      <c r="AC15" s="868"/>
    </row>
    <row r="16" spans="2:30" ht="18.75" customHeight="1">
      <c r="B16" s="890"/>
      <c r="C16" s="891"/>
      <c r="D16" s="891"/>
      <c r="E16" s="891"/>
      <c r="F16" s="891"/>
      <c r="G16" s="891"/>
      <c r="H16" s="891"/>
      <c r="I16" s="891"/>
      <c r="J16" s="891"/>
      <c r="K16" s="891"/>
      <c r="L16" s="891"/>
      <c r="M16" s="891"/>
      <c r="N16" s="891"/>
      <c r="O16" s="891"/>
      <c r="P16" s="891"/>
      <c r="Q16" s="891"/>
      <c r="R16" s="891"/>
      <c r="S16" s="891"/>
      <c r="T16" s="891"/>
      <c r="U16" s="891"/>
      <c r="V16" s="891"/>
      <c r="W16" s="891"/>
      <c r="X16" s="891"/>
      <c r="Y16" s="891"/>
      <c r="Z16" s="891"/>
      <c r="AA16" s="891"/>
      <c r="AB16" s="891"/>
      <c r="AC16" s="892"/>
    </row>
    <row r="17" spans="2:29" ht="18.75" customHeight="1">
      <c r="B17" s="958" t="s">
        <v>507</v>
      </c>
      <c r="C17" s="920"/>
      <c r="D17" s="920"/>
      <c r="E17" s="920"/>
      <c r="F17" s="920"/>
      <c r="G17" s="920"/>
      <c r="H17" s="909"/>
      <c r="I17" s="873"/>
      <c r="J17" s="958" t="s">
        <v>508</v>
      </c>
      <c r="K17" s="920"/>
      <c r="L17" s="920"/>
      <c r="M17" s="931"/>
      <c r="N17" s="867"/>
      <c r="O17" s="867"/>
      <c r="P17" s="873"/>
      <c r="Q17" s="919" t="s">
        <v>509</v>
      </c>
      <c r="R17" s="920"/>
      <c r="S17" s="915"/>
      <c r="T17" s="916"/>
      <c r="U17" s="916"/>
      <c r="V17" s="916"/>
      <c r="W17" s="916"/>
      <c r="X17" s="916"/>
      <c r="Y17" s="916"/>
      <c r="Z17" s="916"/>
      <c r="AA17" s="916"/>
      <c r="AB17" s="916"/>
      <c r="AC17" s="917"/>
    </row>
    <row r="18" spans="2:29" ht="18.75" customHeight="1">
      <c r="B18" s="933" t="s">
        <v>510</v>
      </c>
      <c r="C18" s="920"/>
      <c r="D18" s="953"/>
      <c r="E18" s="954"/>
      <c r="F18" s="954"/>
      <c r="G18" s="782" t="s">
        <v>511</v>
      </c>
      <c r="H18" s="933" t="s">
        <v>512</v>
      </c>
      <c r="I18" s="920"/>
      <c r="J18" s="920"/>
      <c r="K18" s="931"/>
      <c r="L18" s="867"/>
      <c r="M18" s="867"/>
      <c r="N18" s="956" t="s">
        <v>513</v>
      </c>
      <c r="O18" s="957"/>
      <c r="P18" s="958" t="s">
        <v>514</v>
      </c>
      <c r="Q18" s="920"/>
      <c r="R18" s="920"/>
      <c r="S18" s="931"/>
      <c r="T18" s="867"/>
      <c r="U18" s="867"/>
      <c r="V18" s="873"/>
      <c r="W18" s="958" t="s">
        <v>515</v>
      </c>
      <c r="X18" s="920"/>
      <c r="Y18" s="920"/>
      <c r="Z18" s="959"/>
      <c r="AA18" s="867"/>
      <c r="AB18" s="867"/>
      <c r="AC18" s="873"/>
    </row>
    <row r="19" spans="2:29" ht="9.75" customHeight="1">
      <c r="B19" s="890"/>
      <c r="C19" s="891"/>
      <c r="D19" s="891"/>
      <c r="E19" s="891"/>
      <c r="F19" s="891"/>
      <c r="G19" s="891"/>
      <c r="H19" s="891"/>
      <c r="I19" s="891"/>
      <c r="J19" s="891"/>
      <c r="K19" s="891"/>
      <c r="L19" s="891"/>
      <c r="M19" s="891"/>
      <c r="N19" s="891"/>
      <c r="O19" s="891"/>
      <c r="P19" s="891"/>
      <c r="Q19" s="891"/>
      <c r="R19" s="891"/>
      <c r="S19" s="891"/>
      <c r="T19" s="891"/>
      <c r="U19" s="891"/>
      <c r="V19" s="891"/>
      <c r="W19" s="891"/>
      <c r="X19" s="891"/>
      <c r="Y19" s="891"/>
      <c r="Z19" s="891"/>
      <c r="AA19" s="891"/>
      <c r="AB19" s="891"/>
      <c r="AC19" s="892"/>
    </row>
    <row r="20" spans="2:29" ht="18.75" customHeight="1">
      <c r="B20" s="908" t="s">
        <v>516</v>
      </c>
      <c r="C20" s="867"/>
      <c r="D20" s="867"/>
      <c r="E20" s="867"/>
      <c r="F20" s="867"/>
      <c r="G20" s="867"/>
      <c r="H20" s="909"/>
      <c r="I20" s="873"/>
      <c r="J20" s="908" t="s">
        <v>508</v>
      </c>
      <c r="K20" s="867"/>
      <c r="L20" s="867"/>
      <c r="M20" s="931"/>
      <c r="N20" s="867"/>
      <c r="O20" s="867"/>
      <c r="P20" s="873"/>
      <c r="Q20" s="903" t="s">
        <v>509</v>
      </c>
      <c r="R20" s="867"/>
      <c r="S20" s="915"/>
      <c r="T20" s="916"/>
      <c r="U20" s="916"/>
      <c r="V20" s="916"/>
      <c r="W20" s="916"/>
      <c r="X20" s="916"/>
      <c r="Y20" s="916"/>
      <c r="Z20" s="916"/>
      <c r="AA20" s="916"/>
      <c r="AB20" s="916"/>
      <c r="AC20" s="917"/>
    </row>
    <row r="21" spans="2:29" ht="18.75" customHeight="1">
      <c r="B21" s="952" t="s">
        <v>510</v>
      </c>
      <c r="C21" s="867"/>
      <c r="D21" s="953"/>
      <c r="E21" s="954"/>
      <c r="F21" s="954"/>
      <c r="G21" s="783" t="s">
        <v>511</v>
      </c>
      <c r="H21" s="952" t="s">
        <v>512</v>
      </c>
      <c r="I21" s="867"/>
      <c r="J21" s="867"/>
      <c r="K21" s="931"/>
      <c r="L21" s="867"/>
      <c r="M21" s="867"/>
      <c r="N21" s="913" t="s">
        <v>513</v>
      </c>
      <c r="O21" s="873"/>
      <c r="P21" s="908" t="s">
        <v>514</v>
      </c>
      <c r="Q21" s="867"/>
      <c r="R21" s="867"/>
      <c r="S21" s="931"/>
      <c r="T21" s="867"/>
      <c r="U21" s="867"/>
      <c r="V21" s="873"/>
      <c r="W21" s="908" t="s">
        <v>515</v>
      </c>
      <c r="X21" s="867"/>
      <c r="Y21" s="867"/>
      <c r="Z21" s="955"/>
      <c r="AA21" s="867"/>
      <c r="AB21" s="867"/>
      <c r="AC21" s="873"/>
    </row>
    <row r="22" spans="2:29" ht="15.75" customHeight="1">
      <c r="B22" s="104" t="s">
        <v>517</v>
      </c>
      <c r="C22" s="781"/>
      <c r="D22" s="105" t="s">
        <v>518</v>
      </c>
      <c r="E22" s="108"/>
      <c r="F22" s="932"/>
      <c r="G22" s="873"/>
      <c r="H22" s="104" t="s">
        <v>519</v>
      </c>
      <c r="I22" s="784"/>
      <c r="J22" s="105" t="s">
        <v>520</v>
      </c>
      <c r="K22" s="960"/>
      <c r="L22" s="961"/>
      <c r="M22" s="105" t="s">
        <v>521</v>
      </c>
      <c r="N22" s="932"/>
      <c r="O22" s="873"/>
      <c r="P22" s="965" t="s">
        <v>522</v>
      </c>
      <c r="Q22" s="867"/>
      <c r="R22" s="870"/>
      <c r="S22" s="873"/>
      <c r="T22" s="112" t="s">
        <v>523</v>
      </c>
      <c r="U22" s="781"/>
      <c r="V22" s="112" t="s">
        <v>524</v>
      </c>
      <c r="W22" s="781"/>
      <c r="X22" s="113" t="s">
        <v>525</v>
      </c>
      <c r="Y22" s="870"/>
      <c r="Z22" s="873"/>
      <c r="AA22" s="113" t="s">
        <v>526</v>
      </c>
      <c r="AB22" s="870"/>
      <c r="AC22" s="873"/>
    </row>
    <row r="23" spans="2:29" ht="8.25" customHeight="1">
      <c r="B23" s="890"/>
      <c r="C23" s="891"/>
      <c r="D23" s="891"/>
      <c r="E23" s="891"/>
      <c r="F23" s="891"/>
      <c r="G23" s="891"/>
      <c r="H23" s="891"/>
      <c r="I23" s="891"/>
      <c r="J23" s="891"/>
      <c r="K23" s="891"/>
      <c r="L23" s="891"/>
      <c r="M23" s="891"/>
      <c r="N23" s="891"/>
      <c r="O23" s="891"/>
      <c r="P23" s="891"/>
      <c r="Q23" s="891"/>
      <c r="R23" s="891"/>
      <c r="S23" s="891"/>
      <c r="T23" s="891"/>
      <c r="U23" s="891"/>
      <c r="V23" s="891"/>
      <c r="W23" s="891"/>
      <c r="X23" s="891"/>
      <c r="Y23" s="891"/>
      <c r="Z23" s="891"/>
      <c r="AA23" s="891"/>
      <c r="AB23" s="891"/>
      <c r="AC23" s="892"/>
    </row>
    <row r="24" spans="2:29" ht="15.75" customHeight="1">
      <c r="B24" s="893" t="s">
        <v>527</v>
      </c>
      <c r="C24" s="867"/>
      <c r="D24" s="928" t="s">
        <v>1154</v>
      </c>
      <c r="E24" s="867"/>
      <c r="F24" s="867"/>
      <c r="G24" s="873"/>
      <c r="H24" s="880" t="s">
        <v>528</v>
      </c>
      <c r="I24" s="867"/>
      <c r="J24" s="928" t="s">
        <v>1155</v>
      </c>
      <c r="K24" s="867"/>
      <c r="L24" s="873"/>
      <c r="M24" s="962" t="s">
        <v>529</v>
      </c>
      <c r="N24" s="867"/>
      <c r="O24" s="867"/>
      <c r="P24" s="867"/>
      <c r="Q24" s="867"/>
      <c r="R24" s="931"/>
      <c r="S24" s="867"/>
      <c r="T24" s="873"/>
      <c r="U24" s="908" t="s">
        <v>530</v>
      </c>
      <c r="V24" s="867"/>
      <c r="W24" s="909">
        <v>36590316</v>
      </c>
      <c r="X24" s="867"/>
      <c r="Y24" s="867"/>
      <c r="Z24" s="867"/>
      <c r="AA24" s="867"/>
      <c r="AB24" s="867"/>
      <c r="AC24" s="873"/>
    </row>
    <row r="25" spans="2:29" ht="7.5" customHeight="1">
      <c r="B25" s="963"/>
      <c r="C25" s="886"/>
      <c r="D25" s="886"/>
      <c r="E25" s="886"/>
      <c r="F25" s="886"/>
      <c r="G25" s="886"/>
      <c r="H25" s="886"/>
      <c r="I25" s="886"/>
      <c r="J25" s="886"/>
      <c r="K25" s="886"/>
      <c r="L25" s="886"/>
      <c r="M25" s="886"/>
      <c r="N25" s="886"/>
      <c r="O25" s="886"/>
      <c r="P25" s="886"/>
      <c r="Q25" s="886"/>
      <c r="R25" s="886"/>
      <c r="S25" s="886"/>
      <c r="T25" s="886"/>
      <c r="U25" s="886"/>
      <c r="V25" s="886"/>
      <c r="W25" s="886"/>
      <c r="X25" s="886"/>
      <c r="Y25" s="886"/>
      <c r="Z25" s="886"/>
      <c r="AA25" s="886"/>
      <c r="AB25" s="886"/>
      <c r="AC25" s="887"/>
    </row>
    <row r="26" spans="2:29" ht="18.75" customHeight="1">
      <c r="B26" s="881" t="s">
        <v>531</v>
      </c>
      <c r="C26" s="881" t="s">
        <v>532</v>
      </c>
      <c r="D26" s="966" t="s">
        <v>967</v>
      </c>
      <c r="E26" s="967"/>
      <c r="F26" s="967"/>
      <c r="G26" s="967"/>
      <c r="H26" s="967"/>
      <c r="I26" s="967"/>
      <c r="J26" s="967"/>
      <c r="K26" s="967"/>
      <c r="L26" s="967"/>
      <c r="M26" s="967"/>
      <c r="N26" s="967"/>
      <c r="O26" s="967"/>
      <c r="P26" s="967"/>
      <c r="Q26" s="967"/>
      <c r="R26" s="967"/>
      <c r="S26" s="967"/>
      <c r="T26" s="967"/>
      <c r="U26" s="968"/>
      <c r="V26" s="881" t="s">
        <v>533</v>
      </c>
      <c r="W26" s="881" t="s">
        <v>534</v>
      </c>
      <c r="X26" s="879" t="s">
        <v>535</v>
      </c>
      <c r="Y26" s="867"/>
      <c r="Z26" s="867"/>
      <c r="AA26" s="868"/>
      <c r="AB26" s="977"/>
      <c r="AC26" s="978"/>
    </row>
    <row r="27" spans="2:29" ht="18.75" customHeight="1">
      <c r="B27" s="964"/>
      <c r="C27" s="964"/>
      <c r="D27" s="969"/>
      <c r="E27" s="970"/>
      <c r="F27" s="970"/>
      <c r="G27" s="970"/>
      <c r="H27" s="970"/>
      <c r="I27" s="970"/>
      <c r="J27" s="970"/>
      <c r="K27" s="970"/>
      <c r="L27" s="970"/>
      <c r="M27" s="970"/>
      <c r="N27" s="970"/>
      <c r="O27" s="970"/>
      <c r="P27" s="970"/>
      <c r="Q27" s="970"/>
      <c r="R27" s="970"/>
      <c r="S27" s="970"/>
      <c r="T27" s="970"/>
      <c r="U27" s="971"/>
      <c r="V27" s="964"/>
      <c r="W27" s="964"/>
      <c r="X27" s="114"/>
      <c r="Y27" s="114" t="s">
        <v>83</v>
      </c>
      <c r="Z27" s="114" t="s">
        <v>84</v>
      </c>
      <c r="AA27" s="115" t="s">
        <v>536</v>
      </c>
      <c r="AB27" s="880" t="s">
        <v>534</v>
      </c>
      <c r="AC27" s="868"/>
    </row>
    <row r="28" spans="2:29" ht="18.75" customHeight="1">
      <c r="B28" s="116">
        <v>1</v>
      </c>
      <c r="C28" s="47">
        <v>10521</v>
      </c>
      <c r="D28" s="866" t="str">
        <f>IF(C28="","",VLOOKUP(C28,'MÃO OBRA'!A$2:G$581,2,FALSE))</f>
        <v>SERV INSPECAO EM REDE RURAL LM</v>
      </c>
      <c r="E28" s="867"/>
      <c r="F28" s="867"/>
      <c r="G28" s="867"/>
      <c r="H28" s="867"/>
      <c r="I28" s="867"/>
      <c r="J28" s="867"/>
      <c r="K28" s="867"/>
      <c r="L28" s="867"/>
      <c r="M28" s="867"/>
      <c r="N28" s="867"/>
      <c r="O28" s="867"/>
      <c r="P28" s="867"/>
      <c r="Q28" s="867"/>
      <c r="R28" s="867"/>
      <c r="S28" s="867"/>
      <c r="T28" s="867"/>
      <c r="U28" s="868"/>
      <c r="V28" s="143" t="str">
        <f>IF(C28="","",VLOOKUP(C28,'MÃO OBRA'!A$2:F$581,3,FALSE))</f>
        <v>UN</v>
      </c>
      <c r="W28" s="118">
        <f>IF(C28="","",VLOOKUP(C28,'MÃO OBRA'!A$2:F$581,6,FALSE))</f>
        <v>32.549999999999997</v>
      </c>
      <c r="X28" s="119">
        <v>1</v>
      </c>
      <c r="Y28" s="120"/>
      <c r="Z28" s="120"/>
      <c r="AA28" s="121">
        <f t="shared" ref="AA28:AA41" si="0">X28</f>
        <v>1</v>
      </c>
      <c r="AB28" s="894">
        <f>IF(C28="","",(W28*AA28))</f>
        <v>32.549999999999997</v>
      </c>
      <c r="AC28" s="868"/>
    </row>
    <row r="29" spans="2:29" ht="18.75" customHeight="1">
      <c r="B29" s="116">
        <v>2</v>
      </c>
      <c r="C29" s="47"/>
      <c r="D29" s="866" t="str">
        <f>IF(C29="","",VLOOKUP(C29,'MÃO OBRA'!A$2:G$581,2,FALSE))</f>
        <v/>
      </c>
      <c r="E29" s="867"/>
      <c r="F29" s="867"/>
      <c r="G29" s="867"/>
      <c r="H29" s="867"/>
      <c r="I29" s="867"/>
      <c r="J29" s="867"/>
      <c r="K29" s="867"/>
      <c r="L29" s="867"/>
      <c r="M29" s="867"/>
      <c r="N29" s="867"/>
      <c r="O29" s="867"/>
      <c r="P29" s="867"/>
      <c r="Q29" s="867"/>
      <c r="R29" s="867"/>
      <c r="S29" s="867"/>
      <c r="T29" s="867"/>
      <c r="U29" s="868"/>
      <c r="V29" s="143" t="str">
        <f>IF(C29="","",VLOOKUP(C29,'MÃO OBRA'!A$2:F$581,3,FALSE))</f>
        <v/>
      </c>
      <c r="W29" s="118" t="str">
        <f>IF(C29="","",VLOOKUP(C29,'MÃO OBRA'!A$2:F$581,6,FALSE))</f>
        <v/>
      </c>
      <c r="X29" s="119"/>
      <c r="Y29" s="120"/>
      <c r="Z29" s="120"/>
      <c r="AA29" s="121">
        <f t="shared" si="0"/>
        <v>0</v>
      </c>
      <c r="AB29" s="894" t="str">
        <f t="shared" ref="AB29:AB41" si="1">IF(C29="","",(W29*AA29))</f>
        <v/>
      </c>
      <c r="AC29" s="868"/>
    </row>
    <row r="30" spans="2:29" ht="18.75" customHeight="1">
      <c r="B30" s="116">
        <v>3</v>
      </c>
      <c r="C30" s="47"/>
      <c r="D30" s="866" t="str">
        <f>IF(C30="","",VLOOKUP(C30,'MÃO OBRA'!A$2:G$581,2,FALSE))</f>
        <v/>
      </c>
      <c r="E30" s="867"/>
      <c r="F30" s="867"/>
      <c r="G30" s="867"/>
      <c r="H30" s="867"/>
      <c r="I30" s="867"/>
      <c r="J30" s="867"/>
      <c r="K30" s="867"/>
      <c r="L30" s="867"/>
      <c r="M30" s="867"/>
      <c r="N30" s="867"/>
      <c r="O30" s="867"/>
      <c r="P30" s="867"/>
      <c r="Q30" s="867"/>
      <c r="R30" s="867"/>
      <c r="S30" s="867"/>
      <c r="T30" s="867"/>
      <c r="U30" s="868"/>
      <c r="V30" s="143" t="str">
        <f>IF(C30="","",VLOOKUP(C30,'MÃO OBRA'!A$2:F$581,3,FALSE))</f>
        <v/>
      </c>
      <c r="W30" s="118" t="str">
        <f>IF(C30="","",VLOOKUP(C30,'MÃO OBRA'!A$2:F$581,6,FALSE))</f>
        <v/>
      </c>
      <c r="X30" s="119"/>
      <c r="Y30" s="120"/>
      <c r="Z30" s="120"/>
      <c r="AA30" s="121">
        <f t="shared" si="0"/>
        <v>0</v>
      </c>
      <c r="AB30" s="894" t="str">
        <f t="shared" si="1"/>
        <v/>
      </c>
      <c r="AC30" s="868"/>
    </row>
    <row r="31" spans="2:29" ht="18.75" customHeight="1">
      <c r="B31" s="116">
        <v>4</v>
      </c>
      <c r="C31" s="47"/>
      <c r="D31" s="866" t="str">
        <f>IF(C31="","",VLOOKUP(C31,'MÃO OBRA'!A$2:G$581,2,FALSE))</f>
        <v/>
      </c>
      <c r="E31" s="867"/>
      <c r="F31" s="867"/>
      <c r="G31" s="867"/>
      <c r="H31" s="867"/>
      <c r="I31" s="867"/>
      <c r="J31" s="867"/>
      <c r="K31" s="867"/>
      <c r="L31" s="867"/>
      <c r="M31" s="867"/>
      <c r="N31" s="867"/>
      <c r="O31" s="867"/>
      <c r="P31" s="867"/>
      <c r="Q31" s="867"/>
      <c r="R31" s="867"/>
      <c r="S31" s="867"/>
      <c r="T31" s="867"/>
      <c r="U31" s="868"/>
      <c r="V31" s="143" t="str">
        <f>IF(C31="","",VLOOKUP(C31,'MÃO OBRA'!A$2:F$581,3,FALSE))</f>
        <v/>
      </c>
      <c r="W31" s="118" t="str">
        <f>IF(C31="","",VLOOKUP(C31,'MÃO OBRA'!A$2:F$581,6,FALSE))</f>
        <v/>
      </c>
      <c r="X31" s="119"/>
      <c r="Y31" s="120"/>
      <c r="Z31" s="120"/>
      <c r="AA31" s="121">
        <f t="shared" ref="AA31:AA36" si="2">X31</f>
        <v>0</v>
      </c>
      <c r="AB31" s="894" t="str">
        <f t="shared" ref="AB31:AB36" si="3">IF(C31="","",(W31*AA31))</f>
        <v/>
      </c>
      <c r="AC31" s="868"/>
    </row>
    <row r="32" spans="2:29" ht="18.75" customHeight="1">
      <c r="B32" s="116">
        <v>5</v>
      </c>
      <c r="C32" s="47"/>
      <c r="D32" s="866" t="str">
        <f>IF(C32="","",VLOOKUP(C32,'MÃO OBRA'!A$2:G$581,2,FALSE))</f>
        <v/>
      </c>
      <c r="E32" s="867"/>
      <c r="F32" s="867"/>
      <c r="G32" s="867"/>
      <c r="H32" s="867"/>
      <c r="I32" s="867"/>
      <c r="J32" s="867"/>
      <c r="K32" s="867"/>
      <c r="L32" s="867"/>
      <c r="M32" s="867"/>
      <c r="N32" s="867"/>
      <c r="O32" s="867"/>
      <c r="P32" s="867"/>
      <c r="Q32" s="867"/>
      <c r="R32" s="867"/>
      <c r="S32" s="867"/>
      <c r="T32" s="867"/>
      <c r="U32" s="868"/>
      <c r="V32" s="143" t="str">
        <f>IF(C32="","",VLOOKUP(C32,'MÃO OBRA'!A$2:F$581,3,FALSE))</f>
        <v/>
      </c>
      <c r="W32" s="118" t="str">
        <f>IF(C32="","",VLOOKUP(C32,'MÃO OBRA'!A$2:F$581,6,FALSE))</f>
        <v/>
      </c>
      <c r="X32" s="119"/>
      <c r="Y32" s="120"/>
      <c r="Z32" s="120"/>
      <c r="AA32" s="121">
        <f t="shared" si="2"/>
        <v>0</v>
      </c>
      <c r="AB32" s="894" t="str">
        <f t="shared" si="3"/>
        <v/>
      </c>
      <c r="AC32" s="868"/>
    </row>
    <row r="33" spans="2:29" ht="18.75" customHeight="1">
      <c r="B33" s="116">
        <v>6</v>
      </c>
      <c r="C33" s="47"/>
      <c r="D33" s="866" t="str">
        <f>IF(C33="","",VLOOKUP(C33,'MÃO OBRA'!A$2:G$581,2,FALSE))</f>
        <v/>
      </c>
      <c r="E33" s="867"/>
      <c r="F33" s="867"/>
      <c r="G33" s="867"/>
      <c r="H33" s="867"/>
      <c r="I33" s="867"/>
      <c r="J33" s="867"/>
      <c r="K33" s="867"/>
      <c r="L33" s="867"/>
      <c r="M33" s="867"/>
      <c r="N33" s="867"/>
      <c r="O33" s="867"/>
      <c r="P33" s="867"/>
      <c r="Q33" s="867"/>
      <c r="R33" s="867"/>
      <c r="S33" s="867"/>
      <c r="T33" s="867"/>
      <c r="U33" s="868"/>
      <c r="V33" s="143" t="str">
        <f>IF(C33="","",VLOOKUP(C33,'MÃO OBRA'!A$2:F$581,3,FALSE))</f>
        <v/>
      </c>
      <c r="W33" s="118" t="str">
        <f>IF(C33="","",VLOOKUP(C33,'MÃO OBRA'!A$2:F$581,6,FALSE))</f>
        <v/>
      </c>
      <c r="X33" s="119"/>
      <c r="Y33" s="120"/>
      <c r="Z33" s="120"/>
      <c r="AA33" s="121">
        <f t="shared" si="2"/>
        <v>0</v>
      </c>
      <c r="AB33" s="894" t="str">
        <f t="shared" si="3"/>
        <v/>
      </c>
      <c r="AC33" s="868"/>
    </row>
    <row r="34" spans="2:29" ht="18.75" customHeight="1">
      <c r="B34" s="116">
        <v>7</v>
      </c>
      <c r="C34" s="47"/>
      <c r="D34" s="866" t="str">
        <f>IF(C34="","",VLOOKUP(C34,'MÃO OBRA'!A$2:G$581,2,FALSE))</f>
        <v/>
      </c>
      <c r="E34" s="867"/>
      <c r="F34" s="867"/>
      <c r="G34" s="867"/>
      <c r="H34" s="867"/>
      <c r="I34" s="867"/>
      <c r="J34" s="867"/>
      <c r="K34" s="867"/>
      <c r="L34" s="867"/>
      <c r="M34" s="867"/>
      <c r="N34" s="867"/>
      <c r="O34" s="867"/>
      <c r="P34" s="867"/>
      <c r="Q34" s="867"/>
      <c r="R34" s="867"/>
      <c r="S34" s="867"/>
      <c r="T34" s="867"/>
      <c r="U34" s="868"/>
      <c r="V34" s="143" t="str">
        <f>IF(C34="","",VLOOKUP(C34,'MÃO OBRA'!A$2:F$581,3,FALSE))</f>
        <v/>
      </c>
      <c r="W34" s="118" t="str">
        <f>IF(C34="","",VLOOKUP(C34,'MÃO OBRA'!A$2:F$581,6,FALSE))</f>
        <v/>
      </c>
      <c r="X34" s="119"/>
      <c r="Y34" s="120"/>
      <c r="Z34" s="120"/>
      <c r="AA34" s="121">
        <f t="shared" si="2"/>
        <v>0</v>
      </c>
      <c r="AB34" s="894" t="str">
        <f t="shared" si="3"/>
        <v/>
      </c>
      <c r="AC34" s="868"/>
    </row>
    <row r="35" spans="2:29" ht="18.75" customHeight="1">
      <c r="B35" s="116">
        <v>8</v>
      </c>
      <c r="C35" s="47"/>
      <c r="D35" s="866" t="str">
        <f>IF(C35="","",VLOOKUP(C35,'MÃO OBRA'!A$2:G$581,2,FALSE))</f>
        <v/>
      </c>
      <c r="E35" s="867"/>
      <c r="F35" s="867"/>
      <c r="G35" s="867"/>
      <c r="H35" s="867"/>
      <c r="I35" s="867"/>
      <c r="J35" s="867"/>
      <c r="K35" s="867"/>
      <c r="L35" s="867"/>
      <c r="M35" s="867"/>
      <c r="N35" s="867"/>
      <c r="O35" s="867"/>
      <c r="P35" s="867"/>
      <c r="Q35" s="867"/>
      <c r="R35" s="867"/>
      <c r="S35" s="867"/>
      <c r="T35" s="867"/>
      <c r="U35" s="868"/>
      <c r="V35" s="143" t="str">
        <f>IF(C35="","",VLOOKUP(C35,'MÃO OBRA'!A$2:F$581,3,FALSE))</f>
        <v/>
      </c>
      <c r="W35" s="118" t="str">
        <f>IF(C35="","",VLOOKUP(C35,'MÃO OBRA'!A$2:F$581,6,FALSE))</f>
        <v/>
      </c>
      <c r="X35" s="119"/>
      <c r="Y35" s="120"/>
      <c r="Z35" s="120"/>
      <c r="AA35" s="121">
        <f t="shared" si="2"/>
        <v>0</v>
      </c>
      <c r="AB35" s="894" t="str">
        <f t="shared" si="3"/>
        <v/>
      </c>
      <c r="AC35" s="868"/>
    </row>
    <row r="36" spans="2:29" ht="18.75" customHeight="1">
      <c r="B36" s="116">
        <v>9</v>
      </c>
      <c r="C36" s="47"/>
      <c r="D36" s="866" t="str">
        <f>IF(C36="","",VLOOKUP(C36,'MÃO OBRA'!A$2:G$581,2,FALSE))</f>
        <v/>
      </c>
      <c r="E36" s="867"/>
      <c r="F36" s="867"/>
      <c r="G36" s="867"/>
      <c r="H36" s="867"/>
      <c r="I36" s="867"/>
      <c r="J36" s="867"/>
      <c r="K36" s="867"/>
      <c r="L36" s="867"/>
      <c r="M36" s="867"/>
      <c r="N36" s="867"/>
      <c r="O36" s="867"/>
      <c r="P36" s="867"/>
      <c r="Q36" s="867"/>
      <c r="R36" s="867"/>
      <c r="S36" s="867"/>
      <c r="T36" s="867"/>
      <c r="U36" s="868"/>
      <c r="V36" s="143" t="str">
        <f>IF(C36="","",VLOOKUP(C36,'MÃO OBRA'!A$2:F$581,3,FALSE))</f>
        <v/>
      </c>
      <c r="W36" s="118" t="str">
        <f>IF(C36="","",VLOOKUP(C36,'MÃO OBRA'!A$2:F$581,6,FALSE))</f>
        <v/>
      </c>
      <c r="X36" s="119"/>
      <c r="Y36" s="120"/>
      <c r="Z36" s="120"/>
      <c r="AA36" s="121">
        <f t="shared" si="2"/>
        <v>0</v>
      </c>
      <c r="AB36" s="894" t="str">
        <f t="shared" si="3"/>
        <v/>
      </c>
      <c r="AC36" s="868"/>
    </row>
    <row r="37" spans="2:29" ht="18.75" customHeight="1">
      <c r="B37" s="116">
        <v>10</v>
      </c>
      <c r="C37" s="47"/>
      <c r="D37" s="866" t="str">
        <f>IF(C37="","",VLOOKUP(C37,'MÃO OBRA'!A$2:G$581,2,FALSE))</f>
        <v/>
      </c>
      <c r="E37" s="867"/>
      <c r="F37" s="867"/>
      <c r="G37" s="867"/>
      <c r="H37" s="867"/>
      <c r="I37" s="867"/>
      <c r="J37" s="867"/>
      <c r="K37" s="867"/>
      <c r="L37" s="867"/>
      <c r="M37" s="867"/>
      <c r="N37" s="867"/>
      <c r="O37" s="867"/>
      <c r="P37" s="867"/>
      <c r="Q37" s="867"/>
      <c r="R37" s="867"/>
      <c r="S37" s="867"/>
      <c r="T37" s="867"/>
      <c r="U37" s="868"/>
      <c r="V37" s="143" t="str">
        <f>IF(C37="","",VLOOKUP(C37,'MÃO OBRA'!A$2:F$581,3,FALSE))</f>
        <v/>
      </c>
      <c r="W37" s="118" t="str">
        <f>IF(C37="","",VLOOKUP(C37,'MÃO OBRA'!A$2:F$581,6,FALSE))</f>
        <v/>
      </c>
      <c r="X37" s="119"/>
      <c r="Y37" s="120"/>
      <c r="Z37" s="120"/>
      <c r="AA37" s="121">
        <f t="shared" si="0"/>
        <v>0</v>
      </c>
      <c r="AB37" s="894" t="str">
        <f t="shared" si="1"/>
        <v/>
      </c>
      <c r="AC37" s="868"/>
    </row>
    <row r="38" spans="2:29" ht="18.75" customHeight="1">
      <c r="B38" s="116">
        <v>11</v>
      </c>
      <c r="C38" s="47"/>
      <c r="D38" s="866" t="str">
        <f>IF(C38="","",VLOOKUP(C38,'MÃO OBRA'!A$2:G$581,2,FALSE))</f>
        <v/>
      </c>
      <c r="E38" s="867"/>
      <c r="F38" s="867"/>
      <c r="G38" s="867"/>
      <c r="H38" s="867"/>
      <c r="I38" s="867"/>
      <c r="J38" s="867"/>
      <c r="K38" s="867"/>
      <c r="L38" s="867"/>
      <c r="M38" s="867"/>
      <c r="N38" s="867"/>
      <c r="O38" s="867"/>
      <c r="P38" s="867"/>
      <c r="Q38" s="867"/>
      <c r="R38" s="867"/>
      <c r="S38" s="867"/>
      <c r="T38" s="867"/>
      <c r="U38" s="868"/>
      <c r="V38" s="143" t="str">
        <f>IF(C38="","",VLOOKUP(C38,'MÃO OBRA'!A$2:F$581,3,FALSE))</f>
        <v/>
      </c>
      <c r="W38" s="118" t="str">
        <f>IF(C38="","",VLOOKUP(C38,'MÃO OBRA'!A$2:F$581,6,FALSE))</f>
        <v/>
      </c>
      <c r="X38" s="122"/>
      <c r="Y38" s="120"/>
      <c r="Z38" s="120"/>
      <c r="AA38" s="121">
        <f t="shared" si="0"/>
        <v>0</v>
      </c>
      <c r="AB38" s="894" t="str">
        <f t="shared" si="1"/>
        <v/>
      </c>
      <c r="AC38" s="868"/>
    </row>
    <row r="39" spans="2:29" ht="18.75" customHeight="1">
      <c r="B39" s="116">
        <v>12</v>
      </c>
      <c r="C39" s="47"/>
      <c r="D39" s="866" t="str">
        <f>IF(C39="","",VLOOKUP(C39,'MÃO OBRA'!A$2:G$581,2,FALSE))</f>
        <v/>
      </c>
      <c r="E39" s="870"/>
      <c r="F39" s="870"/>
      <c r="G39" s="870"/>
      <c r="H39" s="870"/>
      <c r="I39" s="870"/>
      <c r="J39" s="870"/>
      <c r="K39" s="870"/>
      <c r="L39" s="870"/>
      <c r="M39" s="870"/>
      <c r="N39" s="870"/>
      <c r="O39" s="870"/>
      <c r="P39" s="870"/>
      <c r="Q39" s="870"/>
      <c r="R39" s="870"/>
      <c r="S39" s="870"/>
      <c r="T39" s="870"/>
      <c r="U39" s="871"/>
      <c r="V39" s="143" t="str">
        <f>IF(C39="","",VLOOKUP(C39,'MÃO OBRA'!A$2:F$581,3,FALSE))</f>
        <v/>
      </c>
      <c r="W39" s="118" t="str">
        <f>IF(C39="","",VLOOKUP(C39,'MÃO OBRA'!A$2:F$581,6,FALSE))</f>
        <v/>
      </c>
      <c r="X39" s="122"/>
      <c r="Y39" s="120"/>
      <c r="Z39" s="120"/>
      <c r="AA39" s="121">
        <f t="shared" si="0"/>
        <v>0</v>
      </c>
      <c r="AB39" s="894" t="str">
        <f t="shared" si="1"/>
        <v/>
      </c>
      <c r="AC39" s="979"/>
    </row>
    <row r="40" spans="2:29" ht="18.75" customHeight="1">
      <c r="B40" s="116">
        <v>13</v>
      </c>
      <c r="C40" s="47"/>
      <c r="D40" s="866" t="str">
        <f>IF(C40="","",VLOOKUP(C40,'MÃO OBRA'!A$2:G$581,2,FALSE))</f>
        <v/>
      </c>
      <c r="E40" s="870"/>
      <c r="F40" s="870"/>
      <c r="G40" s="870"/>
      <c r="H40" s="870"/>
      <c r="I40" s="870"/>
      <c r="J40" s="870"/>
      <c r="K40" s="870"/>
      <c r="L40" s="870"/>
      <c r="M40" s="870"/>
      <c r="N40" s="870"/>
      <c r="O40" s="870"/>
      <c r="P40" s="870"/>
      <c r="Q40" s="870"/>
      <c r="R40" s="870"/>
      <c r="S40" s="870"/>
      <c r="T40" s="870"/>
      <c r="U40" s="871"/>
      <c r="V40" s="143" t="str">
        <f>IF(C40="","",VLOOKUP(C40,'MÃO OBRA'!A$2:F$581,3,FALSE))</f>
        <v/>
      </c>
      <c r="W40" s="118" t="str">
        <f>IF(C40="","",VLOOKUP(C40,'MÃO OBRA'!A$2:F$581,6,FALSE))</f>
        <v/>
      </c>
      <c r="X40" s="119"/>
      <c r="Y40" s="120"/>
      <c r="Z40" s="120"/>
      <c r="AA40" s="121">
        <f t="shared" si="0"/>
        <v>0</v>
      </c>
      <c r="AB40" s="894" t="str">
        <f t="shared" si="1"/>
        <v/>
      </c>
      <c r="AC40" s="979"/>
    </row>
    <row r="41" spans="2:29" ht="18.75" customHeight="1">
      <c r="B41" s="116">
        <v>14</v>
      </c>
      <c r="C41" s="47"/>
      <c r="D41" s="866" t="str">
        <f>IF(C41="","",VLOOKUP(C41,'MÃO OBRA'!A$2:G$581,2,FALSE))</f>
        <v/>
      </c>
      <c r="E41" s="870"/>
      <c r="F41" s="870"/>
      <c r="G41" s="870"/>
      <c r="H41" s="870"/>
      <c r="I41" s="870"/>
      <c r="J41" s="870"/>
      <c r="K41" s="870"/>
      <c r="L41" s="870"/>
      <c r="M41" s="870"/>
      <c r="N41" s="870"/>
      <c r="O41" s="870"/>
      <c r="P41" s="870"/>
      <c r="Q41" s="870"/>
      <c r="R41" s="870"/>
      <c r="S41" s="870"/>
      <c r="T41" s="870"/>
      <c r="U41" s="871"/>
      <c r="V41" s="143" t="str">
        <f>IF(C41="","",VLOOKUP(C41,'MÃO OBRA'!A$2:F$581,3,FALSE))</f>
        <v/>
      </c>
      <c r="W41" s="118" t="str">
        <f>IF(C41="","",VLOOKUP(C41,'MÃO OBRA'!A$2:F$581,6,FALSE))</f>
        <v/>
      </c>
      <c r="X41" s="119"/>
      <c r="Y41" s="120"/>
      <c r="Z41" s="120"/>
      <c r="AA41" s="121">
        <f t="shared" si="0"/>
        <v>0</v>
      </c>
      <c r="AB41" s="894" t="str">
        <f t="shared" si="1"/>
        <v/>
      </c>
      <c r="AC41" s="979"/>
    </row>
    <row r="42" spans="2:29" ht="18.75" customHeight="1">
      <c r="B42" s="872"/>
      <c r="C42" s="867"/>
      <c r="D42" s="867"/>
      <c r="E42" s="867"/>
      <c r="F42" s="867"/>
      <c r="G42" s="867"/>
      <c r="H42" s="867"/>
      <c r="I42" s="867"/>
      <c r="J42" s="867"/>
      <c r="K42" s="867"/>
      <c r="L42" s="867"/>
      <c r="M42" s="867"/>
      <c r="N42" s="867"/>
      <c r="O42" s="867"/>
      <c r="P42" s="867"/>
      <c r="Q42" s="867"/>
      <c r="R42" s="867"/>
      <c r="S42" s="867"/>
      <c r="T42" s="867"/>
      <c r="U42" s="867"/>
      <c r="V42" s="867"/>
      <c r="W42" s="867"/>
      <c r="X42" s="867"/>
      <c r="Y42" s="867"/>
      <c r="Z42" s="867"/>
      <c r="AA42" s="873"/>
      <c r="AB42" s="895">
        <f>SUM(AB28:AC41)</f>
        <v>32.549999999999997</v>
      </c>
      <c r="AC42" s="873"/>
    </row>
    <row r="43" spans="2:29" ht="18.75" customHeight="1">
      <c r="B43" s="897"/>
      <c r="C43" s="898"/>
      <c r="D43" s="866"/>
      <c r="E43" s="870"/>
      <c r="F43" s="870"/>
      <c r="G43" s="870"/>
      <c r="H43" s="870"/>
      <c r="I43" s="870"/>
      <c r="J43" s="870"/>
      <c r="K43" s="870"/>
      <c r="L43" s="870"/>
      <c r="M43" s="870"/>
      <c r="N43" s="870"/>
      <c r="O43" s="870"/>
      <c r="P43" s="870"/>
      <c r="Q43" s="870"/>
      <c r="R43" s="870"/>
      <c r="S43" s="870"/>
      <c r="T43" s="870"/>
      <c r="U43" s="871"/>
      <c r="V43" s="117"/>
      <c r="W43" s="126" t="str">
        <f>IF(X43&gt;0,(243.02),"")</f>
        <v/>
      </c>
      <c r="X43" s="974"/>
      <c r="Y43" s="975"/>
      <c r="Z43" s="976"/>
      <c r="AA43" s="123"/>
      <c r="AB43" s="895"/>
      <c r="AC43" s="896"/>
    </row>
    <row r="44" spans="2:29" ht="18.75" customHeight="1">
      <c r="B44" s="889">
        <v>26376</v>
      </c>
      <c r="C44" s="973"/>
      <c r="D44" s="866" t="s">
        <v>452</v>
      </c>
      <c r="E44" s="870"/>
      <c r="F44" s="870"/>
      <c r="G44" s="870"/>
      <c r="H44" s="870"/>
      <c r="I44" s="870"/>
      <c r="J44" s="870"/>
      <c r="K44" s="870"/>
      <c r="L44" s="870"/>
      <c r="M44" s="870"/>
      <c r="N44" s="870"/>
      <c r="O44" s="870"/>
      <c r="P44" s="870"/>
      <c r="Q44" s="870"/>
      <c r="R44" s="870"/>
      <c r="S44" s="870"/>
      <c r="T44" s="870"/>
      <c r="U44" s="871"/>
      <c r="V44" s="117" t="s">
        <v>451</v>
      </c>
      <c r="W44" s="127" t="str">
        <f>IF(X44&gt;0,(AB42*0.3),"0")</f>
        <v>0</v>
      </c>
      <c r="X44" s="900"/>
      <c r="Y44" s="901"/>
      <c r="Z44" s="902"/>
      <c r="AA44" s="123"/>
      <c r="AB44" s="895">
        <f>X44*W44</f>
        <v>0</v>
      </c>
      <c r="AC44" s="896"/>
    </row>
    <row r="45" spans="2:29" ht="18.75" customHeight="1">
      <c r="B45" s="889">
        <v>92525</v>
      </c>
      <c r="C45" s="873"/>
      <c r="D45" s="866" t="s">
        <v>897</v>
      </c>
      <c r="E45" s="867"/>
      <c r="F45" s="867"/>
      <c r="G45" s="867"/>
      <c r="H45" s="867"/>
      <c r="I45" s="867"/>
      <c r="J45" s="867"/>
      <c r="K45" s="867"/>
      <c r="L45" s="867"/>
      <c r="M45" s="867"/>
      <c r="N45" s="867"/>
      <c r="O45" s="867"/>
      <c r="P45" s="867"/>
      <c r="Q45" s="867"/>
      <c r="R45" s="867"/>
      <c r="S45" s="867"/>
      <c r="T45" s="867"/>
      <c r="U45" s="873"/>
      <c r="V45" s="117" t="s">
        <v>451</v>
      </c>
      <c r="W45" s="128">
        <f>IF(X45&gt;0,(AB42*0.12),"0")</f>
        <v>3.9059999999999997</v>
      </c>
      <c r="X45" s="972">
        <v>1</v>
      </c>
      <c r="Y45" s="867"/>
      <c r="Z45" s="873"/>
      <c r="AA45" s="123"/>
      <c r="AB45" s="895">
        <f>X45*W45</f>
        <v>3.9059999999999997</v>
      </c>
      <c r="AC45" s="896"/>
    </row>
    <row r="46" spans="2:29" ht="18.75" customHeight="1">
      <c r="B46" s="872">
        <v>0</v>
      </c>
      <c r="C46" s="867"/>
      <c r="D46" s="867"/>
      <c r="E46" s="867"/>
      <c r="F46" s="867"/>
      <c r="G46" s="867"/>
      <c r="H46" s="867"/>
      <c r="I46" s="867"/>
      <c r="J46" s="867"/>
      <c r="K46" s="867"/>
      <c r="L46" s="867"/>
      <c r="M46" s="867"/>
      <c r="N46" s="867"/>
      <c r="O46" s="867"/>
      <c r="P46" s="867"/>
      <c r="Q46" s="867"/>
      <c r="R46" s="867"/>
      <c r="S46" s="867"/>
      <c r="T46" s="867"/>
      <c r="U46" s="867"/>
      <c r="V46" s="867"/>
      <c r="W46" s="867"/>
      <c r="X46" s="867"/>
      <c r="Y46" s="867"/>
      <c r="Z46" s="867"/>
      <c r="AA46" s="868"/>
      <c r="AB46" s="895">
        <f>SUM(AB42:AC45)</f>
        <v>36.455999999999996</v>
      </c>
      <c r="AC46" s="868"/>
    </row>
    <row r="47" spans="2:29" ht="18.75" customHeight="1">
      <c r="B47" s="881" t="s">
        <v>531</v>
      </c>
      <c r="C47" s="876" t="s">
        <v>532</v>
      </c>
      <c r="D47" s="882" t="s">
        <v>538</v>
      </c>
      <c r="E47" s="883"/>
      <c r="F47" s="883"/>
      <c r="G47" s="883"/>
      <c r="H47" s="883"/>
      <c r="I47" s="883"/>
      <c r="J47" s="883"/>
      <c r="K47" s="883"/>
      <c r="L47" s="883"/>
      <c r="M47" s="883"/>
      <c r="N47" s="883"/>
      <c r="O47" s="883"/>
      <c r="P47" s="883"/>
      <c r="Q47" s="883"/>
      <c r="R47" s="883"/>
      <c r="S47" s="883"/>
      <c r="T47" s="883"/>
      <c r="U47" s="883"/>
      <c r="V47" s="884"/>
      <c r="W47" s="876" t="s">
        <v>13</v>
      </c>
      <c r="X47" s="899" t="s">
        <v>535</v>
      </c>
      <c r="Y47" s="891"/>
      <c r="Z47" s="891"/>
      <c r="AA47" s="891"/>
      <c r="AB47" s="888"/>
      <c r="AC47" s="887"/>
    </row>
    <row r="48" spans="2:29" ht="18.75" customHeight="1">
      <c r="B48" s="877"/>
      <c r="C48" s="877"/>
      <c r="D48" s="885"/>
      <c r="E48" s="886"/>
      <c r="F48" s="886"/>
      <c r="G48" s="886"/>
      <c r="H48" s="886"/>
      <c r="I48" s="886"/>
      <c r="J48" s="886"/>
      <c r="K48" s="886"/>
      <c r="L48" s="886"/>
      <c r="M48" s="886"/>
      <c r="N48" s="886"/>
      <c r="O48" s="886"/>
      <c r="P48" s="886"/>
      <c r="Q48" s="886"/>
      <c r="R48" s="886"/>
      <c r="S48" s="886"/>
      <c r="T48" s="886"/>
      <c r="U48" s="886"/>
      <c r="V48" s="887"/>
      <c r="W48" s="877"/>
      <c r="X48" s="129"/>
      <c r="Y48" s="129"/>
      <c r="Z48" s="129" t="str">
        <f>Z27</f>
        <v>Ret.</v>
      </c>
      <c r="AA48" s="130" t="s">
        <v>536</v>
      </c>
      <c r="AB48" s="880"/>
      <c r="AC48" s="868"/>
    </row>
    <row r="49" spans="2:29" ht="18.75" customHeight="1">
      <c r="B49" s="116">
        <v>1</v>
      </c>
      <c r="C49" s="131"/>
      <c r="D49" s="866" t="str">
        <f>IF(C49="","",VLOOKUP(C49,MATERIAL!A:C,2,FALSE))</f>
        <v/>
      </c>
      <c r="E49" s="867"/>
      <c r="F49" s="867"/>
      <c r="G49" s="867"/>
      <c r="H49" s="867"/>
      <c r="I49" s="867"/>
      <c r="J49" s="867"/>
      <c r="K49" s="867"/>
      <c r="L49" s="867"/>
      <c r="M49" s="867"/>
      <c r="N49" s="867"/>
      <c r="O49" s="867"/>
      <c r="P49" s="867"/>
      <c r="Q49" s="867"/>
      <c r="R49" s="867"/>
      <c r="S49" s="867"/>
      <c r="T49" s="867"/>
      <c r="U49" s="867"/>
      <c r="V49" s="868"/>
      <c r="W49" s="115" t="str">
        <f>IF(C49="","",VLOOKUP(C49,MATERIAL!A$3:C$528,3,FALSE))</f>
        <v/>
      </c>
      <c r="X49" s="133"/>
      <c r="Y49" s="134"/>
      <c r="Z49" s="134"/>
      <c r="AA49" s="135">
        <f>SUM(X49:Z49)</f>
        <v>0</v>
      </c>
      <c r="AB49" s="874" t="str">
        <f t="shared" ref="AB49:AB53" si="4">IF(C49="","",(X49))</f>
        <v/>
      </c>
      <c r="AC49" s="875"/>
    </row>
    <row r="50" spans="2:29" ht="18.75" customHeight="1">
      <c r="B50" s="116">
        <v>2</v>
      </c>
      <c r="C50" s="131"/>
      <c r="D50" s="866" t="str">
        <f>IF(C50="","",VLOOKUP(C50,MATERIAL!A:C,2,FALSE))</f>
        <v/>
      </c>
      <c r="E50" s="867"/>
      <c r="F50" s="867"/>
      <c r="G50" s="867"/>
      <c r="H50" s="867"/>
      <c r="I50" s="867"/>
      <c r="J50" s="867"/>
      <c r="K50" s="867"/>
      <c r="L50" s="867"/>
      <c r="M50" s="867"/>
      <c r="N50" s="867"/>
      <c r="O50" s="867"/>
      <c r="P50" s="867"/>
      <c r="Q50" s="867"/>
      <c r="R50" s="867"/>
      <c r="S50" s="867"/>
      <c r="T50" s="867"/>
      <c r="U50" s="867"/>
      <c r="V50" s="868"/>
      <c r="W50" s="115" t="str">
        <f>IF(C50="","",VLOOKUP(C50,MATERIAL!A$3:C$528,3,FALSE))</f>
        <v/>
      </c>
      <c r="X50" s="133"/>
      <c r="Y50" s="134"/>
      <c r="Z50" s="134"/>
      <c r="AA50" s="135">
        <f t="shared" ref="AA50" si="5">SUM(X50:Z50)</f>
        <v>0</v>
      </c>
      <c r="AB50" s="874" t="str">
        <f t="shared" si="4"/>
        <v/>
      </c>
      <c r="AC50" s="875"/>
    </row>
    <row r="51" spans="2:29" ht="18.75" customHeight="1">
      <c r="B51" s="116">
        <v>3</v>
      </c>
      <c r="C51" s="131"/>
      <c r="D51" s="866" t="str">
        <f>IF(C51="","",VLOOKUP(C51,MATERIAL!A:C,2,FALSE))</f>
        <v/>
      </c>
      <c r="E51" s="867"/>
      <c r="F51" s="867"/>
      <c r="G51" s="867"/>
      <c r="H51" s="867"/>
      <c r="I51" s="867"/>
      <c r="J51" s="867"/>
      <c r="K51" s="867"/>
      <c r="L51" s="867"/>
      <c r="M51" s="867"/>
      <c r="N51" s="867"/>
      <c r="O51" s="867"/>
      <c r="P51" s="867"/>
      <c r="Q51" s="867"/>
      <c r="R51" s="867"/>
      <c r="S51" s="867"/>
      <c r="T51" s="867"/>
      <c r="U51" s="867"/>
      <c r="V51" s="868"/>
      <c r="W51" s="115" t="str">
        <f>IF(C51="","",VLOOKUP(C51,MATERIAL!A$3:C$528,3,FALSE))</f>
        <v/>
      </c>
      <c r="X51" s="133"/>
      <c r="Y51" s="134"/>
      <c r="Z51" s="134"/>
      <c r="AA51" s="135">
        <f>SUM(X51:Z51)</f>
        <v>0</v>
      </c>
      <c r="AB51" s="874" t="str">
        <f t="shared" si="4"/>
        <v/>
      </c>
      <c r="AC51" s="875"/>
    </row>
    <row r="52" spans="2:29" ht="18.75" customHeight="1">
      <c r="B52" s="116">
        <v>4</v>
      </c>
      <c r="C52" s="131"/>
      <c r="D52" s="866" t="str">
        <f>IF(C52="","",VLOOKUP(C52,MATERIAL!A:C,2,FALSE))</f>
        <v/>
      </c>
      <c r="E52" s="867"/>
      <c r="F52" s="867"/>
      <c r="G52" s="867"/>
      <c r="H52" s="867"/>
      <c r="I52" s="867"/>
      <c r="J52" s="867"/>
      <c r="K52" s="867"/>
      <c r="L52" s="867"/>
      <c r="M52" s="867"/>
      <c r="N52" s="867"/>
      <c r="O52" s="867"/>
      <c r="P52" s="867"/>
      <c r="Q52" s="867"/>
      <c r="R52" s="867"/>
      <c r="S52" s="867"/>
      <c r="T52" s="867"/>
      <c r="U52" s="867"/>
      <c r="V52" s="868"/>
      <c r="W52" s="115" t="str">
        <f>IF(C52="","",VLOOKUP(C52,MATERIAL!A$3:C$528,3,FALSE))</f>
        <v/>
      </c>
      <c r="X52" s="133"/>
      <c r="Y52" s="134"/>
      <c r="Z52" s="134"/>
      <c r="AA52" s="135">
        <f>SUM(X52:Z52)</f>
        <v>0</v>
      </c>
      <c r="AB52" s="874" t="str">
        <f t="shared" si="4"/>
        <v/>
      </c>
      <c r="AC52" s="875"/>
    </row>
    <row r="53" spans="2:29" ht="18.75" customHeight="1">
      <c r="B53" s="116">
        <v>5</v>
      </c>
      <c r="C53" s="131"/>
      <c r="D53" s="866" t="str">
        <f>IF(C53="","",VLOOKUP(C53,MATERIAL!A:C,2,FALSE))</f>
        <v/>
      </c>
      <c r="E53" s="867"/>
      <c r="F53" s="867"/>
      <c r="G53" s="867"/>
      <c r="H53" s="867"/>
      <c r="I53" s="867"/>
      <c r="J53" s="867"/>
      <c r="K53" s="867"/>
      <c r="L53" s="867"/>
      <c r="M53" s="867"/>
      <c r="N53" s="867"/>
      <c r="O53" s="867"/>
      <c r="P53" s="867"/>
      <c r="Q53" s="867"/>
      <c r="R53" s="867"/>
      <c r="S53" s="867"/>
      <c r="T53" s="867"/>
      <c r="U53" s="867"/>
      <c r="V53" s="868"/>
      <c r="W53" s="115" t="str">
        <f>IF(C53="","",VLOOKUP(C53,MATERIAL!A$3:C$528,3,FALSE))</f>
        <v/>
      </c>
      <c r="X53" s="133"/>
      <c r="Y53" s="134"/>
      <c r="Z53" s="134"/>
      <c r="AA53" s="135">
        <f>SUM(X53:Z53)</f>
        <v>0</v>
      </c>
      <c r="AB53" s="874" t="str">
        <f t="shared" si="4"/>
        <v/>
      </c>
      <c r="AC53" s="875"/>
    </row>
    <row r="54" spans="2:29" ht="18.75" customHeight="1">
      <c r="B54" s="881" t="s">
        <v>531</v>
      </c>
      <c r="C54" s="876" t="s">
        <v>532</v>
      </c>
      <c r="D54" s="882" t="s">
        <v>539</v>
      </c>
      <c r="E54" s="922"/>
      <c r="F54" s="922"/>
      <c r="G54" s="922"/>
      <c r="H54" s="922"/>
      <c r="I54" s="922"/>
      <c r="J54" s="922"/>
      <c r="K54" s="922"/>
      <c r="L54" s="922"/>
      <c r="M54" s="922"/>
      <c r="N54" s="922"/>
      <c r="O54" s="922"/>
      <c r="P54" s="922"/>
      <c r="Q54" s="922"/>
      <c r="R54" s="922"/>
      <c r="S54" s="922"/>
      <c r="T54" s="922"/>
      <c r="U54" s="922"/>
      <c r="V54" s="923"/>
      <c r="W54" s="876" t="s">
        <v>13</v>
      </c>
      <c r="X54" s="879" t="s">
        <v>535</v>
      </c>
      <c r="Y54" s="867"/>
      <c r="Z54" s="867"/>
      <c r="AA54" s="867"/>
      <c r="AB54" s="868"/>
      <c r="AC54" s="876" t="s">
        <v>536</v>
      </c>
    </row>
    <row r="55" spans="2:29" ht="18.75" customHeight="1">
      <c r="B55" s="877"/>
      <c r="C55" s="877"/>
      <c r="D55" s="888"/>
      <c r="E55" s="924"/>
      <c r="F55" s="924"/>
      <c r="G55" s="924"/>
      <c r="H55" s="924"/>
      <c r="I55" s="924"/>
      <c r="J55" s="924"/>
      <c r="K55" s="924"/>
      <c r="L55" s="924"/>
      <c r="M55" s="924"/>
      <c r="N55" s="924"/>
      <c r="O55" s="924"/>
      <c r="P55" s="924"/>
      <c r="Q55" s="924"/>
      <c r="R55" s="924"/>
      <c r="S55" s="924"/>
      <c r="T55" s="924"/>
      <c r="U55" s="924"/>
      <c r="V55" s="925"/>
      <c r="W55" s="878"/>
      <c r="X55" s="142" t="s">
        <v>540</v>
      </c>
      <c r="Y55" s="880" t="s">
        <v>541</v>
      </c>
      <c r="Z55" s="868"/>
      <c r="AA55" s="115" t="s">
        <v>542</v>
      </c>
      <c r="AB55" s="115" t="s">
        <v>543</v>
      </c>
      <c r="AC55" s="877"/>
    </row>
    <row r="56" spans="2:29" ht="18.75" customHeight="1">
      <c r="B56" s="116">
        <v>1</v>
      </c>
      <c r="C56" s="131"/>
      <c r="D56" s="866" t="str">
        <f>IF(C56="","",VLOOKUP(C56,MATERIAL!A:C,2,FALSE))</f>
        <v/>
      </c>
      <c r="E56" s="867"/>
      <c r="F56" s="867"/>
      <c r="G56" s="867"/>
      <c r="H56" s="867"/>
      <c r="I56" s="867"/>
      <c r="J56" s="867"/>
      <c r="K56" s="867"/>
      <c r="L56" s="867"/>
      <c r="M56" s="867"/>
      <c r="N56" s="867"/>
      <c r="O56" s="867"/>
      <c r="P56" s="867"/>
      <c r="Q56" s="867"/>
      <c r="R56" s="867"/>
      <c r="S56" s="867"/>
      <c r="T56" s="867"/>
      <c r="U56" s="867"/>
      <c r="V56" s="868"/>
      <c r="W56" s="115" t="str">
        <f>IF(C56="","",VLOOKUP(C56,MATERIAL!A$3:C$528,3,FALSE))</f>
        <v/>
      </c>
      <c r="X56" s="119"/>
      <c r="Y56" s="869"/>
      <c r="Z56" s="868"/>
      <c r="AA56" s="144"/>
      <c r="AB56" s="139"/>
      <c r="AC56" s="145">
        <f>SUM(X56:AB56)</f>
        <v>0</v>
      </c>
    </row>
    <row r="57" spans="2:29" ht="18.75" customHeight="1">
      <c r="B57" s="116">
        <v>2</v>
      </c>
      <c r="C57" s="131"/>
      <c r="D57" s="866" t="str">
        <f>IF(C57="","",VLOOKUP(C57,MATERIAL!A:C,2,FALSE))</f>
        <v/>
      </c>
      <c r="E57" s="867"/>
      <c r="F57" s="867"/>
      <c r="G57" s="867"/>
      <c r="H57" s="867"/>
      <c r="I57" s="867"/>
      <c r="J57" s="867"/>
      <c r="K57" s="867"/>
      <c r="L57" s="867"/>
      <c r="M57" s="867"/>
      <c r="N57" s="867"/>
      <c r="O57" s="867"/>
      <c r="P57" s="867"/>
      <c r="Q57" s="867"/>
      <c r="R57" s="867"/>
      <c r="S57" s="867"/>
      <c r="T57" s="867"/>
      <c r="U57" s="867"/>
      <c r="V57" s="868"/>
      <c r="W57" s="115" t="str">
        <f>IF(C57="","",VLOOKUP(C57,MATERIAL!A$3:C$528,3,FALSE))</f>
        <v/>
      </c>
      <c r="X57" s="119"/>
      <c r="Y57" s="869"/>
      <c r="Z57" s="868"/>
      <c r="AA57" s="144"/>
      <c r="AB57" s="139"/>
      <c r="AC57" s="145">
        <f>SUM(X57:AB57)</f>
        <v>0</v>
      </c>
    </row>
    <row r="58" spans="2:29" ht="18.75" customHeight="1">
      <c r="B58" s="116">
        <v>3</v>
      </c>
      <c r="C58" s="131"/>
      <c r="D58" s="866" t="str">
        <f>IF(C58="","",VLOOKUP(C58,MATERIAL!A:C,2,FALSE))</f>
        <v/>
      </c>
      <c r="E58" s="867"/>
      <c r="F58" s="867"/>
      <c r="G58" s="867"/>
      <c r="H58" s="867"/>
      <c r="I58" s="867"/>
      <c r="J58" s="867"/>
      <c r="K58" s="867"/>
      <c r="L58" s="867"/>
      <c r="M58" s="867"/>
      <c r="N58" s="867"/>
      <c r="O58" s="867"/>
      <c r="P58" s="867"/>
      <c r="Q58" s="867"/>
      <c r="R58" s="867"/>
      <c r="S58" s="867"/>
      <c r="T58" s="867"/>
      <c r="U58" s="867"/>
      <c r="V58" s="868"/>
      <c r="W58" s="115" t="str">
        <f>IF(C58="","",VLOOKUP(C58,MATERIAL!A$3:C$528,3,FALSE))</f>
        <v/>
      </c>
      <c r="X58" s="119"/>
      <c r="Y58" s="869"/>
      <c r="Z58" s="868"/>
      <c r="AA58" s="144"/>
      <c r="AB58" s="139"/>
      <c r="AC58" s="145">
        <f>SUM(X58:AB58)</f>
        <v>0</v>
      </c>
    </row>
    <row r="59" spans="2:29" ht="18.75" customHeight="1">
      <c r="B59" s="116">
        <v>4</v>
      </c>
      <c r="C59" s="131"/>
      <c r="D59" s="866" t="str">
        <f>IF(C59="","",VLOOKUP(C59,MATERIAL!A:C,2,FALSE))</f>
        <v/>
      </c>
      <c r="E59" s="867"/>
      <c r="F59" s="867"/>
      <c r="G59" s="867"/>
      <c r="H59" s="867"/>
      <c r="I59" s="867"/>
      <c r="J59" s="867"/>
      <c r="K59" s="867"/>
      <c r="L59" s="867"/>
      <c r="M59" s="867"/>
      <c r="N59" s="867"/>
      <c r="O59" s="867"/>
      <c r="P59" s="867"/>
      <c r="Q59" s="867"/>
      <c r="R59" s="867"/>
      <c r="S59" s="867"/>
      <c r="T59" s="867"/>
      <c r="U59" s="867"/>
      <c r="V59" s="868"/>
      <c r="W59" s="115" t="str">
        <f>IF(C59="","",VLOOKUP(C59,MATERIAL!A$3:C$528,3,FALSE))</f>
        <v/>
      </c>
      <c r="X59" s="119"/>
      <c r="Y59" s="869"/>
      <c r="Z59" s="868"/>
      <c r="AA59" s="144"/>
      <c r="AB59" s="139"/>
      <c r="AC59" s="145">
        <f t="shared" ref="AC59:AC60" si="6">SUM(X59:AB59)</f>
        <v>0</v>
      </c>
    </row>
    <row r="60" spans="2:29" ht="18.75" customHeight="1">
      <c r="B60" s="116">
        <v>5</v>
      </c>
      <c r="C60" s="131"/>
      <c r="D60" s="866" t="str">
        <f>IF(C60="","",VLOOKUP(C60,MATERIAL!A:C,2,FALSE))</f>
        <v/>
      </c>
      <c r="E60" s="867"/>
      <c r="F60" s="867"/>
      <c r="G60" s="867"/>
      <c r="H60" s="867"/>
      <c r="I60" s="867"/>
      <c r="J60" s="867"/>
      <c r="K60" s="867"/>
      <c r="L60" s="867"/>
      <c r="M60" s="867"/>
      <c r="N60" s="867"/>
      <c r="O60" s="867"/>
      <c r="P60" s="867"/>
      <c r="Q60" s="867"/>
      <c r="R60" s="867"/>
      <c r="S60" s="867"/>
      <c r="T60" s="867"/>
      <c r="U60" s="867"/>
      <c r="V60" s="868"/>
      <c r="W60" s="115" t="str">
        <f>IF(C60="","",VLOOKUP(C60,MATERIAL!A$3:C$528,3,FALSE))</f>
        <v/>
      </c>
      <c r="X60" s="119"/>
      <c r="Y60" s="869"/>
      <c r="Z60" s="868"/>
      <c r="AA60" s="144"/>
      <c r="AB60" s="139"/>
      <c r="AC60" s="145">
        <f t="shared" si="6"/>
        <v>0</v>
      </c>
    </row>
    <row r="61" spans="2:29" ht="18.75" customHeight="1"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</row>
    <row r="62" spans="2:29" ht="18.75" customHeight="1"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</row>
    <row r="63" spans="2:29" ht="18.75" customHeight="1"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</row>
    <row r="64" spans="2:29" ht="18.75" customHeight="1"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</row>
    <row r="65" spans="2:29" ht="18.75" customHeight="1"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</row>
    <row r="66" spans="2:29" ht="18.75" customHeight="1"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</row>
    <row r="67" spans="2:29" ht="18.75" customHeight="1"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</row>
    <row r="68" spans="2:29" ht="18.75" customHeight="1"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</row>
    <row r="69" spans="2:29" ht="18.75" customHeight="1"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</row>
    <row r="70" spans="2:29" ht="18.75" customHeight="1"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</row>
    <row r="71" spans="2:29" ht="18.75" customHeight="1"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</row>
    <row r="72" spans="2:29" ht="18.75" customHeight="1"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</row>
    <row r="73" spans="2:29" ht="18.75" customHeight="1"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</row>
    <row r="74" spans="2:29" ht="18.75" customHeight="1"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</row>
    <row r="75" spans="2:29" ht="18.75" customHeight="1"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</row>
    <row r="76" spans="2:29" ht="18.75" customHeight="1"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</row>
    <row r="77" spans="2:29" ht="18.75" customHeight="1"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</row>
    <row r="78" spans="2:29" ht="18.75" customHeight="1"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</row>
    <row r="79" spans="2:29" ht="18.75" customHeight="1"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</row>
    <row r="80" spans="2:29" ht="18.75" customHeight="1"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</row>
    <row r="81" spans="2:29" ht="18.75" customHeight="1"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</row>
    <row r="82" spans="2:29" ht="18.75" customHeight="1"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</row>
    <row r="83" spans="2:29" ht="18.75" customHeight="1"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</row>
    <row r="84" spans="2:29" ht="18.75" customHeight="1"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2:29" ht="18.75" customHeight="1"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</row>
    <row r="86" spans="2:29" ht="18.75" customHeight="1"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</row>
    <row r="87" spans="2:29" ht="18.75" customHeight="1"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</row>
    <row r="88" spans="2:29" ht="18.75" customHeight="1"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</row>
    <row r="89" spans="2:29" ht="18.75" customHeight="1"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</row>
    <row r="90" spans="2:29" ht="18.75" customHeight="1"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</row>
    <row r="91" spans="2:29" ht="18.75" customHeight="1"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</row>
    <row r="92" spans="2:29" ht="18.75" customHeight="1"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</row>
    <row r="93" spans="2:29" ht="18.75" customHeight="1"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</row>
    <row r="94" spans="2:29" ht="18.75" customHeight="1"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</row>
    <row r="95" spans="2:29" ht="18.75" customHeight="1"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</row>
    <row r="96" spans="2:29" ht="18.75" customHeight="1"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</row>
    <row r="97" spans="2:29" ht="18.75" customHeight="1"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</row>
    <row r="98" spans="2:29" ht="18.75" customHeight="1"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</row>
    <row r="99" spans="2:29" ht="18.75" customHeight="1"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</row>
    <row r="100" spans="2:29" ht="18.75" customHeight="1"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</row>
    <row r="101" spans="2:29" ht="18.75" customHeight="1"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</row>
    <row r="102" spans="2:29" ht="18.75" customHeight="1"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</row>
    <row r="103" spans="2:29" ht="18.75" customHeight="1"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</row>
    <row r="104" spans="2:29" ht="18.75" customHeight="1"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</row>
    <row r="105" spans="2:29" ht="18.75" customHeight="1"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</row>
    <row r="106" spans="2:29" ht="18.75" customHeight="1"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</row>
    <row r="107" spans="2:29" ht="18.75" customHeight="1"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</row>
    <row r="108" spans="2:29" ht="18.75" customHeight="1"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</row>
    <row r="109" spans="2:29" ht="18.75" customHeight="1"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</row>
    <row r="110" spans="2:29" ht="18.75" customHeight="1"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</row>
    <row r="111" spans="2:29" ht="18.75" customHeight="1"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</row>
    <row r="112" spans="2:29" ht="18.75" customHeight="1"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</row>
    <row r="113" spans="2:29" ht="18.75" customHeight="1"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</row>
    <row r="114" spans="2:29" ht="18.75" customHeight="1"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</row>
    <row r="115" spans="2:29" ht="18.75" customHeight="1"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</row>
    <row r="116" spans="2:29" ht="18.75" customHeight="1"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</row>
    <row r="117" spans="2:29" ht="18.75" customHeight="1"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</row>
    <row r="118" spans="2:29" ht="18.75" customHeight="1"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</row>
    <row r="119" spans="2:29" ht="18.75" customHeight="1"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</row>
    <row r="120" spans="2:29" ht="18.75" customHeight="1"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</row>
    <row r="121" spans="2:29" ht="18.75" customHeight="1"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</row>
    <row r="122" spans="2:29" ht="18.75" customHeight="1"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</row>
    <row r="123" spans="2:29" ht="18.75" customHeight="1"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</row>
    <row r="124" spans="2:29" ht="18.75" customHeight="1"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</row>
    <row r="125" spans="2:29" ht="18.75" customHeight="1"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</row>
    <row r="126" spans="2:29" ht="18.75" customHeight="1"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</row>
    <row r="127" spans="2:29" ht="18.75" customHeight="1"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</row>
    <row r="128" spans="2:29" ht="18.75" customHeight="1"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</row>
    <row r="129" spans="2:29" ht="18.75" customHeight="1"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</row>
    <row r="130" spans="2:29" ht="18.75" customHeight="1"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</row>
    <row r="131" spans="2:29" ht="18.75" customHeight="1"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</row>
    <row r="132" spans="2:29" ht="18.75" customHeight="1"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</row>
    <row r="133" spans="2:29" ht="18.75" customHeight="1"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</row>
    <row r="134" spans="2:29" ht="18.75" customHeight="1"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</row>
    <row r="135" spans="2:29" ht="18.75" customHeight="1"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  <c r="AC135" s="148"/>
    </row>
    <row r="136" spans="2:29" ht="18.75" customHeight="1"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</row>
    <row r="137" spans="2:29" ht="18.75" customHeight="1"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</row>
    <row r="138" spans="2:29" ht="18.75" customHeight="1"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</row>
    <row r="139" spans="2:29" ht="18.75" customHeight="1"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</row>
    <row r="140" spans="2:29" ht="18.75" customHeight="1"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</row>
    <row r="141" spans="2:29" ht="18.75" customHeight="1"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</row>
    <row r="142" spans="2:29" ht="18.75" customHeight="1"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</row>
    <row r="143" spans="2:29" ht="18.75" customHeight="1"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</row>
    <row r="144" spans="2:29" ht="18.75" customHeight="1"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</row>
    <row r="145" spans="2:29" ht="18.75" customHeight="1"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</row>
    <row r="146" spans="2:29" ht="18.75" customHeight="1"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</row>
    <row r="147" spans="2:29" ht="18.75" customHeight="1"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</row>
    <row r="148" spans="2:29" ht="18.75" customHeight="1"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</row>
    <row r="149" spans="2:29" ht="18.75" customHeight="1"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</row>
    <row r="150" spans="2:29" ht="18.75" customHeight="1"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  <c r="AC150" s="148"/>
    </row>
    <row r="151" spans="2:29" ht="18.75" customHeight="1"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</row>
    <row r="152" spans="2:29" ht="18.75" customHeight="1"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</row>
    <row r="153" spans="2:29" ht="18.75" customHeight="1"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</row>
    <row r="154" spans="2:29" ht="18.75" customHeight="1"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</row>
    <row r="155" spans="2:29" ht="18.75" customHeight="1"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</row>
    <row r="156" spans="2:29" ht="18.75" customHeight="1"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</row>
    <row r="157" spans="2:29" ht="18.75" customHeight="1"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</row>
    <row r="158" spans="2:29" ht="18.75" customHeight="1"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  <c r="AC158" s="148"/>
    </row>
    <row r="159" spans="2:29" ht="18.75" customHeight="1"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</row>
    <row r="160" spans="2:29" ht="18.75" customHeight="1"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</row>
    <row r="161" spans="2:29" ht="18.75" customHeight="1"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</row>
    <row r="162" spans="2:29" ht="18.75" customHeight="1"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  <c r="AC162" s="148"/>
    </row>
    <row r="163" spans="2:29" ht="18.75" customHeight="1"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</row>
    <row r="164" spans="2:29" ht="18.75" customHeight="1"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  <c r="AC164" s="148"/>
    </row>
    <row r="165" spans="2:29" ht="18.75" customHeight="1"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</row>
    <row r="166" spans="2:29" ht="18.75" customHeight="1"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</row>
    <row r="167" spans="2:29" ht="18.75" customHeight="1"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  <c r="AC167" s="148"/>
    </row>
    <row r="168" spans="2:29" ht="18.75" customHeight="1"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</row>
    <row r="169" spans="2:29" ht="18.75" customHeight="1"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</row>
    <row r="170" spans="2:29" ht="18.75" customHeight="1"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</row>
    <row r="171" spans="2:29" ht="18.75" customHeight="1"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</row>
    <row r="172" spans="2:29" ht="18.75" customHeight="1"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</row>
    <row r="173" spans="2:29" ht="18.75" customHeight="1"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</row>
    <row r="174" spans="2:29" ht="18.75" customHeight="1"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</row>
    <row r="175" spans="2:29" ht="18.75" customHeight="1"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</row>
    <row r="176" spans="2:29" ht="18.75" customHeight="1"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</row>
    <row r="177" spans="2:29" ht="18.75" customHeight="1"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  <c r="AC177" s="148"/>
    </row>
    <row r="178" spans="2:29" ht="18.75" customHeight="1"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</row>
    <row r="179" spans="2:29" ht="18.75" customHeight="1"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  <c r="AC179" s="148"/>
    </row>
    <row r="180" spans="2:29" ht="18.75" customHeight="1"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  <c r="AC180" s="148"/>
    </row>
    <row r="181" spans="2:29" ht="18.75" customHeight="1"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</row>
    <row r="182" spans="2:29" ht="18.75" customHeight="1"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  <c r="AC182" s="148"/>
    </row>
    <row r="183" spans="2:29" ht="18.75" customHeight="1"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</row>
    <row r="184" spans="2:29" ht="18.75" customHeight="1"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  <c r="AC184" s="148"/>
    </row>
    <row r="185" spans="2:29" ht="18.75" customHeight="1"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</row>
    <row r="186" spans="2:29" ht="18.75" customHeight="1"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</row>
    <row r="187" spans="2:29" ht="18.75" customHeight="1"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</row>
    <row r="188" spans="2:29" ht="18.75" customHeight="1"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</row>
    <row r="189" spans="2:29" ht="18.75" customHeight="1"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</row>
    <row r="190" spans="2:29" ht="18.75" customHeight="1"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</row>
    <row r="191" spans="2:29" ht="18.75" customHeight="1"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</row>
    <row r="192" spans="2:29" ht="18.75" customHeight="1"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  <c r="AC192" s="148"/>
    </row>
    <row r="193" spans="2:29" ht="18.75" customHeight="1"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  <c r="AC193" s="148"/>
    </row>
    <row r="194" spans="2:29" ht="18.75" customHeight="1"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  <c r="AC194" s="148"/>
    </row>
    <row r="195" spans="2:29" ht="18.75" customHeight="1"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</row>
    <row r="196" spans="2:29" ht="18.75" customHeight="1"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  <c r="AC196" s="148"/>
    </row>
    <row r="197" spans="2:29" ht="18.75" customHeight="1"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  <c r="AC197" s="148"/>
    </row>
    <row r="198" spans="2:29" ht="18.75" customHeight="1"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</row>
    <row r="199" spans="2:29" ht="18.75" customHeight="1"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</row>
    <row r="200" spans="2:29" ht="18.75" customHeight="1"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  <c r="AC200" s="148"/>
    </row>
    <row r="201" spans="2:29" ht="18.75" customHeight="1"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</row>
    <row r="202" spans="2:29" ht="18.75" customHeight="1"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  <c r="AC202" s="148"/>
    </row>
    <row r="203" spans="2:29" ht="18.75" customHeight="1"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</row>
    <row r="204" spans="2:29" ht="18.75" customHeight="1"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</row>
    <row r="205" spans="2:29" ht="18.75" customHeight="1"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</row>
    <row r="206" spans="2:29" ht="18.75" customHeight="1"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</row>
    <row r="207" spans="2:29" ht="18.75" customHeight="1"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</row>
    <row r="208" spans="2:29" ht="18.75" customHeight="1"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</row>
    <row r="209" spans="2:29" ht="18.75" customHeight="1"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</row>
    <row r="210" spans="2:29" ht="18.75" customHeight="1"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</row>
    <row r="211" spans="2:29" ht="18.75" customHeight="1"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  <c r="AC211" s="148"/>
    </row>
    <row r="212" spans="2:29" ht="18.75" customHeight="1"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  <c r="AC212" s="148"/>
    </row>
    <row r="213" spans="2:29" ht="18.75" customHeight="1"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</row>
    <row r="214" spans="2:29" ht="18.75" customHeight="1"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</row>
    <row r="215" spans="2:29" ht="18.75" customHeight="1"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</row>
    <row r="216" spans="2:29" ht="18.75" customHeight="1"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</row>
    <row r="217" spans="2:29" ht="18.75" customHeight="1"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</row>
    <row r="218" spans="2:29" ht="18.75" customHeight="1"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</row>
    <row r="219" spans="2:29" ht="18.75" customHeight="1"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</row>
    <row r="220" spans="2:29" ht="18.75" customHeight="1"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</row>
    <row r="221" spans="2:29" ht="18.75" customHeight="1"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</row>
    <row r="222" spans="2:29" ht="18.75" customHeight="1"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</row>
    <row r="223" spans="2:29" ht="18.75" customHeight="1"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</row>
    <row r="224" spans="2:29" ht="18.75" customHeight="1"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</row>
    <row r="225" spans="2:29" ht="18.75" customHeight="1"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</row>
    <row r="226" spans="2:29" ht="18.75" customHeight="1"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</row>
    <row r="227" spans="2:29" ht="18.75" customHeight="1"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</row>
    <row r="228" spans="2:29" ht="18.75" customHeight="1"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</row>
    <row r="229" spans="2:29" ht="18.75" customHeight="1"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</row>
    <row r="230" spans="2:29" ht="18.75" customHeight="1"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</row>
    <row r="231" spans="2:29" ht="18.75" customHeight="1"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</row>
    <row r="232" spans="2:29" ht="18.75" customHeight="1"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</row>
    <row r="233" spans="2:29" ht="18.75" customHeight="1"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</row>
    <row r="234" spans="2:29" ht="18.75" customHeight="1"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</row>
    <row r="235" spans="2:29" ht="18.75" customHeight="1"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</row>
    <row r="236" spans="2:29" ht="18.75" customHeight="1"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</row>
    <row r="237" spans="2:29" ht="18.75" customHeight="1"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</row>
    <row r="238" spans="2:29" ht="18.75" customHeight="1"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</row>
    <row r="239" spans="2:29" ht="18.75" customHeight="1"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</row>
    <row r="240" spans="2:29" ht="18.75" customHeight="1"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</row>
    <row r="241" spans="2:29" ht="18.75" customHeight="1"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</row>
    <row r="242" spans="2:29" ht="18.75" customHeight="1"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</row>
    <row r="243" spans="2:29" ht="18.75" customHeight="1"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</row>
    <row r="244" spans="2:29" ht="18.75" customHeight="1"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</row>
    <row r="245" spans="2:29" ht="18.75" customHeight="1"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</row>
    <row r="246" spans="2:29" ht="18.75" customHeight="1"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</row>
    <row r="247" spans="2:29" ht="18.75" customHeight="1"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</row>
    <row r="248" spans="2:29" ht="18.75" customHeight="1"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</row>
    <row r="249" spans="2:29" ht="18.75" customHeight="1"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</row>
    <row r="250" spans="2:29" ht="18.75" customHeight="1"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</row>
    <row r="251" spans="2:29" ht="18.75" customHeight="1"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</row>
    <row r="252" spans="2:29" ht="18.75" customHeight="1"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</row>
    <row r="253" spans="2:29" ht="18.75" customHeight="1"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</row>
    <row r="254" spans="2:29" ht="18.75" customHeight="1"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</row>
    <row r="255" spans="2:29" ht="18.75" customHeight="1"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</row>
    <row r="256" spans="2:29" ht="18.75" customHeight="1"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</row>
    <row r="257" spans="2:29" ht="18.75" customHeight="1"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</row>
    <row r="258" spans="2:29" ht="18.75" customHeight="1"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</row>
    <row r="259" spans="2:29" ht="18.75" customHeight="1"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</row>
    <row r="260" spans="2:29" ht="18.75" customHeight="1"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</row>
    <row r="261" spans="2:29" ht="18.75" customHeight="1"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</row>
    <row r="262" spans="2:29" ht="18.75" customHeight="1"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</row>
    <row r="263" spans="2:29" ht="18.75" customHeight="1"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</row>
    <row r="264" spans="2:29" ht="18.75" customHeight="1"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</row>
    <row r="265" spans="2:29" ht="18.75" customHeight="1"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</row>
    <row r="266" spans="2:29" ht="18.75" customHeight="1"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</row>
    <row r="267" spans="2:29" ht="18.75" customHeight="1"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</row>
    <row r="268" spans="2:29" ht="18.75" customHeight="1"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</row>
    <row r="269" spans="2:29" ht="18.75" customHeight="1"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</row>
    <row r="270" spans="2:29" ht="18.75" customHeight="1"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</row>
    <row r="271" spans="2:29" ht="18.75" customHeight="1"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</row>
    <row r="272" spans="2:29" ht="18.75" customHeight="1"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</row>
    <row r="273" spans="2:29" ht="18.75" customHeight="1"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</row>
    <row r="274" spans="2:29" ht="18.75" customHeight="1"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</row>
    <row r="275" spans="2:29" ht="18.75" customHeight="1"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</row>
    <row r="276" spans="2:29" ht="18.75" customHeight="1"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</row>
    <row r="277" spans="2:29" ht="18.75" customHeight="1"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</row>
    <row r="278" spans="2:29" ht="18.75" customHeight="1"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</row>
    <row r="279" spans="2:29" ht="18.75" customHeight="1"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</row>
    <row r="280" spans="2:29" ht="18.75" customHeight="1"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</row>
    <row r="281" spans="2:29" ht="18.75" customHeight="1"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</row>
    <row r="282" spans="2:29" ht="18.75" customHeight="1"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</row>
    <row r="283" spans="2:29" ht="18.75" customHeight="1"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</row>
    <row r="284" spans="2:29" ht="18.75" customHeight="1"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</row>
    <row r="285" spans="2:29" ht="18.75" customHeight="1"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</row>
    <row r="286" spans="2:29" ht="18.75" customHeight="1"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</row>
    <row r="287" spans="2:29" ht="18.75" customHeight="1"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</row>
    <row r="288" spans="2:29" ht="18.75" customHeight="1"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</row>
    <row r="289" spans="2:29" ht="18.75" customHeight="1"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  <c r="AC289" s="148"/>
    </row>
    <row r="290" spans="2:29" ht="18.75" customHeight="1"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</row>
    <row r="291" spans="2:29" ht="18.75" customHeight="1"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  <c r="AC291" s="148"/>
    </row>
    <row r="292" spans="2:29" ht="18.75" customHeight="1"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</row>
    <row r="293" spans="2:29" ht="18.75" customHeight="1"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</row>
    <row r="294" spans="2:29" ht="18.75" customHeight="1"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</row>
    <row r="295" spans="2:29" ht="18.75" customHeight="1"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</row>
    <row r="296" spans="2:29" ht="18.75" customHeight="1"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</row>
    <row r="297" spans="2:29" ht="18.75" customHeight="1"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</row>
    <row r="298" spans="2:29" ht="18.75" customHeight="1"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</row>
    <row r="299" spans="2:29" ht="18.75" customHeight="1"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</row>
    <row r="300" spans="2:29" ht="18.75" customHeight="1"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  <c r="AC300" s="148"/>
    </row>
    <row r="301" spans="2:29" ht="18.75" customHeight="1"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</row>
    <row r="302" spans="2:29" ht="18.75" customHeight="1"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  <c r="AC302" s="148"/>
    </row>
    <row r="303" spans="2:29" ht="18.75" customHeight="1"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</row>
    <row r="304" spans="2:29" ht="18.75" customHeight="1"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</row>
    <row r="305" spans="2:29" ht="18.75" customHeight="1"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</row>
    <row r="306" spans="2:29" ht="18.75" customHeight="1"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</row>
    <row r="307" spans="2:29" ht="18.75" customHeight="1"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</row>
    <row r="308" spans="2:29" ht="18.75" customHeight="1"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</row>
    <row r="309" spans="2:29" ht="18.75" customHeight="1"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</row>
    <row r="310" spans="2:29" ht="18.75" customHeight="1"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</row>
    <row r="311" spans="2:29" ht="18.75" customHeight="1"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</row>
    <row r="312" spans="2:29" ht="18.75" customHeight="1"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</row>
    <row r="313" spans="2:29" ht="18.75" customHeight="1"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</row>
    <row r="314" spans="2:29" ht="15.75" customHeight="1"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</row>
    <row r="315" spans="2:29" ht="15.75" customHeight="1"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</row>
    <row r="316" spans="2:29" ht="15.75" customHeight="1"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</row>
    <row r="317" spans="2:29" ht="15.75" customHeight="1"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</row>
    <row r="318" spans="2:29" ht="15.75" customHeight="1"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</row>
    <row r="319" spans="2:29" ht="15.75" customHeight="1"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  <c r="AC319" s="148"/>
    </row>
    <row r="320" spans="2:29" ht="15.75" customHeight="1"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</row>
    <row r="321" spans="2:29" ht="15.75" customHeight="1"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  <c r="AC321" s="148"/>
    </row>
    <row r="322" spans="2:29" ht="15.75" customHeight="1"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  <c r="AC322" s="148"/>
    </row>
    <row r="323" spans="2:29" ht="15.75" customHeight="1"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  <c r="AC323" s="148"/>
    </row>
    <row r="324" spans="2:29" ht="15.75" customHeight="1"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  <c r="AC324" s="148"/>
    </row>
    <row r="325" spans="2:29" ht="15.75" customHeight="1"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</row>
    <row r="326" spans="2:29" ht="15.75" customHeight="1"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  <c r="AC326" s="148"/>
    </row>
    <row r="327" spans="2:29" ht="15.75" customHeight="1"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  <c r="AC327" s="148"/>
    </row>
    <row r="328" spans="2:29" ht="15.75" customHeight="1"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  <c r="AC328" s="148"/>
    </row>
    <row r="329" spans="2:29" ht="15.75" customHeight="1"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</row>
    <row r="330" spans="2:29" ht="15.75" customHeight="1"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</row>
    <row r="331" spans="2:29" ht="15.75" customHeight="1"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</row>
    <row r="332" spans="2:29" ht="15.75" customHeight="1"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148"/>
    </row>
    <row r="333" spans="2:29" ht="15.75" customHeight="1"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</row>
    <row r="334" spans="2:29" ht="15.75" customHeight="1"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  <c r="AC334" s="148"/>
    </row>
    <row r="335" spans="2:29" ht="15.75" customHeight="1"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  <c r="AC335" s="148"/>
    </row>
    <row r="336" spans="2:29" ht="15.75" customHeight="1"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</row>
    <row r="337" spans="2:29" ht="15.75" customHeight="1"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</row>
    <row r="338" spans="2:29" ht="15.75" customHeight="1"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  <c r="AC338" s="148"/>
    </row>
    <row r="339" spans="2:29" ht="15.75" customHeight="1"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</row>
    <row r="340" spans="2:29" ht="15.75" customHeight="1"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  <c r="AC340" s="148"/>
    </row>
    <row r="341" spans="2:29" ht="15.75" customHeight="1"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</row>
    <row r="342" spans="2:29" ht="15.75" customHeight="1"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  <c r="AC342" s="148"/>
    </row>
    <row r="343" spans="2:29" ht="15.75" customHeight="1"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  <c r="AC343" s="148"/>
    </row>
    <row r="344" spans="2:29" ht="15.75" customHeight="1"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  <c r="AC344" s="148"/>
    </row>
    <row r="345" spans="2:29" ht="15.75" customHeight="1"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</row>
    <row r="346" spans="2:29" ht="15.75" customHeight="1"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  <c r="AC346" s="148"/>
    </row>
    <row r="347" spans="2:29" ht="15.75" customHeight="1"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  <c r="AC347" s="148"/>
    </row>
    <row r="348" spans="2:29" ht="15.75" customHeight="1"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  <c r="AC348" s="148"/>
    </row>
    <row r="349" spans="2:29" ht="15.75" customHeight="1"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  <c r="AC349" s="148"/>
    </row>
    <row r="350" spans="2:29" ht="15.75" customHeight="1"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</row>
    <row r="351" spans="2:29" ht="15.75" customHeight="1"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</row>
    <row r="352" spans="2:29" ht="15.75" customHeight="1"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  <c r="AC352" s="148"/>
    </row>
    <row r="353" spans="2:29" ht="15.75" customHeight="1"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</row>
    <row r="354" spans="2:29" ht="15.75" customHeight="1"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  <c r="AC354" s="148"/>
    </row>
    <row r="355" spans="2:29" ht="15.75" customHeight="1"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</row>
    <row r="356" spans="2:29" ht="15.75" customHeight="1"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  <c r="AC356" s="148"/>
    </row>
    <row r="357" spans="2:29" ht="15.75" customHeight="1"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  <c r="AC357" s="148"/>
    </row>
    <row r="358" spans="2:29" ht="15.75" customHeight="1"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  <c r="AC358" s="148"/>
    </row>
    <row r="359" spans="2:29" ht="15.75" customHeight="1"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  <c r="AC359" s="148"/>
    </row>
    <row r="360" spans="2:29" ht="15.75" customHeight="1"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  <c r="AC360" s="148"/>
    </row>
    <row r="361" spans="2:29" ht="15.75" customHeight="1"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  <c r="AC361" s="148"/>
    </row>
    <row r="362" spans="2:29" ht="15.75" customHeight="1"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  <c r="AC362" s="148"/>
    </row>
    <row r="363" spans="2:29" ht="15.75" customHeight="1"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  <c r="AC363" s="148"/>
    </row>
    <row r="364" spans="2:29" ht="15.75" customHeight="1"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  <c r="AC364" s="148"/>
    </row>
    <row r="365" spans="2:29" ht="15.75" customHeight="1"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  <c r="AC365" s="148"/>
    </row>
    <row r="366" spans="2:29" ht="15.75" customHeight="1"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  <c r="AC366" s="148"/>
    </row>
    <row r="367" spans="2:29" ht="15.75" customHeight="1"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  <c r="AC367" s="148"/>
    </row>
    <row r="368" spans="2:29" ht="15.75" customHeight="1"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  <c r="AC368" s="148"/>
    </row>
    <row r="369" spans="2:29" ht="15.75" customHeight="1"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  <c r="AC369" s="148"/>
    </row>
    <row r="370" spans="2:29" ht="15.75" customHeight="1"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  <c r="AC370" s="148"/>
    </row>
    <row r="371" spans="2:29" ht="15.75" customHeight="1"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  <c r="AC371" s="148"/>
    </row>
    <row r="372" spans="2:29" ht="15.75" customHeight="1"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  <c r="AC372" s="148"/>
    </row>
    <row r="373" spans="2:29" ht="15.75" customHeight="1"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  <c r="AC373" s="148"/>
    </row>
    <row r="374" spans="2:29" ht="15.75" customHeight="1"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  <c r="AC374" s="148"/>
    </row>
    <row r="375" spans="2:29" ht="15.75" customHeight="1"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  <c r="AC375" s="148"/>
    </row>
    <row r="376" spans="2:29" ht="15.75" customHeight="1"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  <c r="AC376" s="148"/>
    </row>
    <row r="377" spans="2:29" ht="15.75" customHeight="1"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</row>
    <row r="378" spans="2:29" ht="15.75" customHeight="1"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  <c r="AC378" s="148"/>
    </row>
    <row r="379" spans="2:29" ht="15.75" customHeight="1"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  <c r="AC379" s="148"/>
    </row>
    <row r="380" spans="2:29" ht="15.75" customHeight="1"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  <c r="AC380" s="148"/>
    </row>
    <row r="381" spans="2:29" ht="15.75" customHeight="1"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  <c r="AC381" s="148"/>
    </row>
    <row r="382" spans="2:29" ht="15.75" customHeight="1"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  <c r="AC382" s="148"/>
    </row>
    <row r="383" spans="2:29" ht="15.75" customHeight="1"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  <c r="AC383" s="148"/>
    </row>
    <row r="384" spans="2:29" ht="15.75" customHeight="1"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  <c r="AC384" s="148"/>
    </row>
    <row r="385" spans="2:29" ht="15.75" customHeight="1"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  <c r="AC385" s="148"/>
    </row>
    <row r="386" spans="2:29" ht="15.75" customHeight="1"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  <c r="AC386" s="148"/>
    </row>
    <row r="387" spans="2:29" ht="15.75" customHeight="1"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  <c r="AC387" s="148"/>
    </row>
    <row r="388" spans="2:29" ht="15.75" customHeight="1"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  <c r="AC388" s="148"/>
    </row>
    <row r="389" spans="2:29" ht="15.75" customHeight="1"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  <c r="AC389" s="148"/>
    </row>
    <row r="390" spans="2:29" ht="15.75" customHeight="1"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  <c r="AC390" s="148"/>
    </row>
    <row r="391" spans="2:29" ht="15.75" customHeight="1"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  <c r="AC391" s="148"/>
    </row>
    <row r="392" spans="2:29" ht="15.75" customHeight="1"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  <c r="AC392" s="148"/>
    </row>
    <row r="393" spans="2:29" ht="15.75" customHeight="1"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  <c r="AC393" s="148"/>
    </row>
    <row r="394" spans="2:29" ht="15.75" customHeight="1"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  <c r="AC394" s="148"/>
    </row>
    <row r="395" spans="2:29" ht="15.75" customHeight="1"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  <c r="AC395" s="148"/>
    </row>
    <row r="396" spans="2:29" ht="15.75" customHeight="1"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</row>
    <row r="397" spans="2:29" ht="15.75" customHeight="1"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  <c r="AC397" s="148"/>
    </row>
    <row r="398" spans="2:29" ht="15.75" customHeight="1"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  <c r="AC398" s="148"/>
    </row>
    <row r="399" spans="2:29" ht="15.75" customHeight="1"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  <c r="AC399" s="148"/>
    </row>
    <row r="400" spans="2:29" ht="15.75" customHeight="1"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  <c r="AC400" s="148"/>
    </row>
    <row r="401" spans="2:29" ht="15.75" customHeight="1"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  <c r="AC401" s="148"/>
    </row>
    <row r="402" spans="2:29" ht="15.75" customHeight="1"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  <c r="AC402" s="148"/>
    </row>
    <row r="403" spans="2:29" ht="15.75" customHeight="1"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  <c r="AC403" s="148"/>
    </row>
    <row r="404" spans="2:29" ht="15.75" customHeight="1"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  <c r="AC404" s="148"/>
    </row>
    <row r="405" spans="2:29" ht="15.75" customHeight="1"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  <c r="AC405" s="148"/>
    </row>
    <row r="406" spans="2:29" ht="15.75" customHeight="1"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</row>
    <row r="407" spans="2:29" ht="15.75" customHeight="1"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</row>
    <row r="408" spans="2:29" ht="15.75" customHeight="1"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  <c r="AC408" s="148"/>
    </row>
    <row r="409" spans="2:29" ht="15.75" customHeight="1"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  <c r="AC409" s="148"/>
    </row>
    <row r="410" spans="2:29" ht="15.75" customHeight="1"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  <c r="AC410" s="148"/>
    </row>
    <row r="411" spans="2:29" ht="15.75" customHeight="1"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  <c r="AC411" s="148"/>
    </row>
    <row r="412" spans="2:29" ht="15.75" customHeight="1"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</row>
    <row r="413" spans="2:29" ht="15.75" customHeight="1"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  <c r="AC413" s="148"/>
    </row>
    <row r="414" spans="2:29" ht="15.75" customHeight="1"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  <c r="AC414" s="148"/>
    </row>
    <row r="415" spans="2:29" ht="15.75" customHeight="1"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</row>
    <row r="416" spans="2:29" ht="15.75" customHeight="1"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  <c r="AC416" s="148"/>
    </row>
    <row r="417" spans="2:29" ht="15.75" customHeight="1"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  <c r="AC417" s="148"/>
    </row>
    <row r="418" spans="2:29" ht="15.75" customHeight="1"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  <c r="AC418" s="148"/>
    </row>
    <row r="419" spans="2:29" ht="15.75" customHeight="1"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  <c r="AC419" s="148"/>
    </row>
    <row r="420" spans="2:29" ht="15.75" customHeight="1"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  <c r="AC420" s="148"/>
    </row>
    <row r="421" spans="2:29" ht="15.75" customHeight="1"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  <c r="AC421" s="148"/>
    </row>
    <row r="422" spans="2:29" ht="15.75" customHeight="1"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  <c r="AC422" s="148"/>
    </row>
    <row r="423" spans="2:29" ht="15.75" customHeight="1"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  <c r="AC423" s="148"/>
    </row>
    <row r="424" spans="2:29" ht="15.75" customHeight="1"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</row>
    <row r="425" spans="2:29" ht="15.75" customHeight="1"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  <c r="AC425" s="148"/>
    </row>
    <row r="426" spans="2:29" ht="15.75" customHeight="1"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  <c r="AC426" s="148"/>
    </row>
    <row r="427" spans="2:29" ht="15.75" customHeight="1"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  <c r="AC427" s="148"/>
    </row>
    <row r="428" spans="2:29" ht="15.75" customHeight="1"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  <c r="AC428" s="148"/>
    </row>
    <row r="429" spans="2:29" ht="15.75" customHeight="1"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</row>
    <row r="430" spans="2:29" ht="15.75" customHeight="1"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  <c r="AC430" s="148"/>
    </row>
    <row r="431" spans="2:29" ht="15.75" customHeight="1"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  <c r="AC431" s="148"/>
    </row>
    <row r="432" spans="2:29" ht="15.75" customHeight="1"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  <c r="AC432" s="148"/>
    </row>
    <row r="433" spans="2:29" ht="15.75" customHeight="1"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</row>
    <row r="434" spans="2:29" ht="15.75" customHeight="1"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</row>
    <row r="435" spans="2:29" ht="15.75" customHeight="1"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  <c r="AC435" s="148"/>
    </row>
    <row r="436" spans="2:29" ht="15.75" customHeight="1"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</row>
    <row r="437" spans="2:29" ht="15.75" customHeight="1"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  <c r="AC437" s="148"/>
    </row>
    <row r="438" spans="2:29" ht="15.75" customHeight="1"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  <c r="AC438" s="148"/>
    </row>
    <row r="439" spans="2:29" ht="15.75" customHeight="1"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  <c r="AC439" s="148"/>
    </row>
    <row r="440" spans="2:29" ht="15.75" customHeight="1"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  <c r="AC440" s="148"/>
    </row>
    <row r="441" spans="2:29" ht="15.75" customHeight="1"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  <c r="AC441" s="148"/>
    </row>
    <row r="442" spans="2:29" ht="15.75" customHeight="1"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  <c r="AC442" s="148"/>
    </row>
    <row r="443" spans="2:29" ht="15.75" customHeight="1"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</row>
    <row r="444" spans="2:29" ht="15.75" customHeight="1"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</row>
    <row r="445" spans="2:29" ht="15.75" customHeight="1"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</row>
    <row r="446" spans="2:29" ht="15.75" customHeight="1"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</row>
    <row r="447" spans="2:29" ht="15.75" customHeight="1"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</row>
    <row r="448" spans="2:29" ht="15.75" customHeight="1"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  <c r="AC448" s="148"/>
    </row>
    <row r="449" spans="2:29" ht="15.75" customHeight="1"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</row>
    <row r="450" spans="2:29" ht="15.75" customHeight="1"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  <c r="AC450" s="148"/>
    </row>
    <row r="451" spans="2:29" ht="15.75" customHeight="1"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</row>
    <row r="452" spans="2:29" ht="15.75" customHeight="1"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  <c r="AC452" s="148"/>
    </row>
    <row r="453" spans="2:29" ht="15.75" customHeight="1"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</row>
    <row r="454" spans="2:29" ht="15.75" customHeight="1"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  <c r="AC454" s="148"/>
    </row>
    <row r="455" spans="2:29" ht="15.75" customHeight="1"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  <c r="AC455" s="148"/>
    </row>
    <row r="456" spans="2:29" ht="15.75" customHeight="1"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  <c r="AC456" s="148"/>
    </row>
    <row r="457" spans="2:29" ht="15.75" customHeight="1"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  <c r="AC457" s="148"/>
    </row>
    <row r="458" spans="2:29" ht="15.75" customHeight="1"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  <c r="AC458" s="148"/>
    </row>
    <row r="459" spans="2:29" ht="15.75" customHeight="1"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  <c r="AC459" s="148"/>
    </row>
    <row r="460" spans="2:29" ht="15.75" customHeight="1"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</row>
    <row r="461" spans="2:29" ht="15.75" customHeight="1"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  <c r="AC461" s="148"/>
    </row>
    <row r="462" spans="2:29" ht="15.75" customHeight="1"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  <c r="AC462" s="148"/>
    </row>
    <row r="463" spans="2:29" ht="15.75" customHeight="1"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  <c r="AC463" s="148"/>
    </row>
    <row r="464" spans="2:29" ht="15.75" customHeight="1"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  <c r="AC464" s="148"/>
    </row>
    <row r="465" spans="2:29" ht="15.75" customHeight="1"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  <c r="AC465" s="148"/>
    </row>
    <row r="466" spans="2:29" ht="15.75" customHeight="1"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/>
    </row>
    <row r="467" spans="2:29" ht="15.75" customHeight="1"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  <c r="AC467" s="148"/>
    </row>
    <row r="468" spans="2:29" ht="15.75" customHeight="1"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  <c r="AC468" s="148"/>
    </row>
    <row r="469" spans="2:29" ht="15.75" customHeight="1"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  <c r="AC469" s="148"/>
    </row>
    <row r="470" spans="2:29" ht="15.75" customHeight="1"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  <c r="AC470" s="148"/>
    </row>
    <row r="471" spans="2:29" ht="15.75" customHeight="1"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  <c r="AC471" s="148"/>
    </row>
    <row r="472" spans="2:29" ht="15.75" customHeight="1"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  <c r="AC472" s="148"/>
    </row>
    <row r="473" spans="2:29" ht="15.75" customHeight="1"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  <c r="AC473" s="148"/>
    </row>
    <row r="474" spans="2:29" ht="15.75" customHeight="1"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  <c r="AC474" s="148"/>
    </row>
    <row r="475" spans="2:29" ht="15.75" customHeight="1"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  <c r="AC475" s="148"/>
    </row>
    <row r="476" spans="2:29" ht="15.75" customHeight="1"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  <c r="AC476" s="148"/>
    </row>
    <row r="477" spans="2:29" ht="15.75" customHeight="1"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  <c r="AC477" s="148"/>
    </row>
    <row r="478" spans="2:29" ht="15.75" customHeight="1"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  <c r="AC478" s="148"/>
    </row>
    <row r="479" spans="2:29" ht="15.75" customHeight="1"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  <c r="AC479" s="148"/>
    </row>
    <row r="480" spans="2:29" ht="15.75" customHeight="1"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  <c r="AC480" s="148"/>
    </row>
    <row r="481" spans="2:29" ht="15.75" customHeight="1"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</row>
    <row r="482" spans="2:29" ht="15.75" customHeight="1"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</row>
    <row r="483" spans="2:29" ht="15.75" customHeight="1"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  <c r="AC483" s="148"/>
    </row>
    <row r="484" spans="2:29" ht="15.75" customHeight="1"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  <c r="AC484" s="148"/>
    </row>
    <row r="485" spans="2:29" ht="15.75" customHeight="1"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</row>
    <row r="486" spans="2:29" ht="15.75" customHeight="1"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  <c r="AC486" s="148"/>
    </row>
    <row r="487" spans="2:29" ht="15.75" customHeight="1"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  <c r="AC487" s="148"/>
    </row>
    <row r="488" spans="2:29" ht="15.75" customHeight="1"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  <c r="AC488" s="148"/>
    </row>
    <row r="489" spans="2:29" ht="15.75" customHeight="1"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  <c r="AC489" s="148"/>
    </row>
    <row r="490" spans="2:29" ht="15.75" customHeight="1"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  <c r="AC490" s="148"/>
    </row>
    <row r="491" spans="2:29" ht="15.75" customHeight="1"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  <c r="AC491" s="148"/>
    </row>
    <row r="492" spans="2:29" ht="15.75" customHeight="1"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  <c r="AC492" s="148"/>
    </row>
    <row r="493" spans="2:29" ht="15.75" customHeight="1"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  <c r="AC493" s="148"/>
    </row>
    <row r="494" spans="2:29" ht="15.75" customHeight="1"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  <c r="AC494" s="148"/>
    </row>
    <row r="495" spans="2:29" ht="15.75" customHeight="1"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  <c r="AC495" s="148"/>
    </row>
    <row r="496" spans="2:29" ht="15.75" customHeight="1"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  <c r="AC496" s="148"/>
    </row>
    <row r="497" spans="2:29" ht="15.75" customHeight="1"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  <c r="AC497" s="148"/>
    </row>
    <row r="498" spans="2:29" ht="15.75" customHeight="1"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  <c r="AC498" s="148"/>
    </row>
    <row r="499" spans="2:29" ht="15.75" customHeight="1"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  <c r="AC499" s="148"/>
    </row>
    <row r="500" spans="2:29" ht="15.75" customHeight="1"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  <c r="AC500" s="148"/>
    </row>
    <row r="501" spans="2:29" ht="15.75" customHeight="1"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  <c r="AC501" s="148"/>
    </row>
    <row r="502" spans="2:29" ht="15.75" customHeight="1"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/>
    </row>
    <row r="503" spans="2:29" ht="15.75" customHeight="1"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  <c r="AC503" s="148"/>
    </row>
    <row r="504" spans="2:29" ht="15.75" customHeight="1"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  <c r="AC504" s="148"/>
    </row>
    <row r="505" spans="2:29" ht="15.75" customHeight="1"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/>
    </row>
    <row r="506" spans="2:29" ht="15.75" customHeight="1"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</row>
    <row r="507" spans="2:29" ht="15.75" customHeight="1"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</row>
    <row r="508" spans="2:29" ht="15.75" customHeight="1"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</row>
    <row r="509" spans="2:29" ht="15.75" customHeight="1"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</row>
    <row r="510" spans="2:29" ht="15.75" customHeight="1"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</row>
    <row r="511" spans="2:29" ht="15.75" customHeight="1"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</row>
    <row r="512" spans="2:29" ht="15.75" customHeight="1"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</row>
    <row r="513" spans="2:29" ht="15.75" customHeight="1"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</row>
    <row r="514" spans="2:29" ht="15.75" customHeight="1"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</row>
    <row r="515" spans="2:29" ht="15.75" customHeight="1"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</row>
    <row r="516" spans="2:29" ht="15.75" customHeight="1"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</row>
    <row r="517" spans="2:29" ht="15.75" customHeight="1"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</row>
    <row r="518" spans="2:29" ht="15.75" customHeight="1"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</row>
    <row r="519" spans="2:29" ht="15.75" customHeight="1"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</row>
    <row r="520" spans="2:29" ht="15.75" customHeight="1"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</row>
    <row r="521" spans="2:29" ht="15.75" customHeight="1"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</row>
    <row r="522" spans="2:29" ht="15.75" customHeight="1"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</row>
    <row r="523" spans="2:29" ht="15.75" customHeight="1"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</row>
    <row r="524" spans="2:29" ht="15.75" customHeight="1"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</row>
    <row r="525" spans="2:29" ht="15.75" customHeight="1"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</row>
    <row r="526" spans="2:29" ht="15.75" customHeight="1"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</row>
    <row r="527" spans="2:29" ht="15.75" customHeight="1"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</row>
    <row r="528" spans="2:29" ht="15.75" customHeight="1"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</row>
    <row r="529" spans="2:29" ht="15.75" customHeight="1"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</row>
    <row r="530" spans="2:29" ht="15.75" customHeight="1"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</row>
    <row r="531" spans="2:29" ht="15.75" customHeight="1"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</row>
    <row r="532" spans="2:29" ht="15.75" customHeight="1"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</row>
    <row r="533" spans="2:29" ht="15.75" customHeight="1"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</row>
    <row r="534" spans="2:29" ht="15.75" customHeight="1"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</row>
    <row r="535" spans="2:29" ht="15.75" customHeight="1"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</row>
    <row r="536" spans="2:29" ht="15.75" customHeight="1"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</row>
    <row r="537" spans="2:29" ht="15.75" customHeight="1"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</row>
    <row r="538" spans="2:29" ht="15.75" customHeight="1"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</row>
    <row r="539" spans="2:29" ht="15.75" customHeight="1"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</row>
    <row r="540" spans="2:29" ht="15.75" customHeight="1"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</row>
    <row r="541" spans="2:29" ht="15.75" customHeight="1"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</row>
    <row r="542" spans="2:29" ht="15.75" customHeight="1"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</row>
    <row r="543" spans="2:29" ht="15.75" customHeight="1"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</row>
    <row r="544" spans="2:29" ht="15.75" customHeight="1"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</row>
    <row r="545" spans="2:29" ht="15.75" customHeight="1"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</row>
    <row r="546" spans="2:29" ht="15.75" customHeight="1"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</row>
    <row r="547" spans="2:29" ht="15.75" customHeight="1"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</row>
    <row r="548" spans="2:29" ht="15.75" customHeight="1"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</row>
    <row r="549" spans="2:29" ht="15.75" customHeight="1"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</row>
    <row r="550" spans="2:29" ht="15.75" customHeight="1"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</row>
    <row r="551" spans="2:29" ht="15.75" customHeight="1"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</row>
    <row r="552" spans="2:29" ht="15.75" customHeight="1"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</row>
    <row r="553" spans="2:29" ht="15.75" customHeight="1"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</row>
    <row r="554" spans="2:29" ht="15.75" customHeight="1"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</row>
    <row r="555" spans="2:29" ht="15.75" customHeight="1"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</row>
    <row r="556" spans="2:29" ht="15.75" customHeight="1"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</row>
    <row r="557" spans="2:29" ht="15.75" customHeight="1"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</row>
    <row r="558" spans="2:29" ht="15.75" customHeight="1"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</row>
    <row r="559" spans="2:29" ht="15.75" customHeight="1"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</row>
    <row r="560" spans="2:29" ht="15.75" customHeight="1"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</row>
    <row r="561" spans="2:29" ht="15.75" customHeight="1"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</row>
    <row r="562" spans="2:29" ht="15.75" customHeight="1"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</row>
    <row r="563" spans="2:29" ht="15.75" customHeight="1"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</row>
    <row r="564" spans="2:29" ht="15.75" customHeight="1"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</row>
    <row r="565" spans="2:29" ht="15.75" customHeight="1"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</row>
    <row r="566" spans="2:29" ht="15.75" customHeight="1"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</row>
    <row r="567" spans="2:29" ht="15.75" customHeight="1"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</row>
    <row r="568" spans="2:29" ht="15.75" customHeight="1"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</row>
    <row r="569" spans="2:29" ht="15.75" customHeight="1"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</row>
    <row r="570" spans="2:29" ht="15.75" customHeight="1"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</row>
    <row r="571" spans="2:29" ht="15.75" customHeight="1"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</row>
    <row r="572" spans="2:29" ht="15.75" customHeight="1"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</row>
    <row r="573" spans="2:29" ht="15.75" customHeight="1"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</row>
    <row r="574" spans="2:29" ht="15.75" customHeight="1"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</row>
    <row r="575" spans="2:29" ht="15.75" customHeight="1"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</row>
    <row r="576" spans="2:29" ht="15.75" customHeight="1"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</row>
    <row r="577" spans="2:29" ht="15.75" customHeight="1"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</row>
    <row r="578" spans="2:29" ht="15.75" customHeight="1"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</row>
    <row r="579" spans="2:29" ht="15.75" customHeight="1"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</row>
    <row r="580" spans="2:29" ht="15.75" customHeight="1"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</row>
    <row r="581" spans="2:29" ht="15.75" customHeight="1"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</row>
    <row r="582" spans="2:29" ht="15.75" customHeight="1"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</row>
    <row r="583" spans="2:29" ht="15.75" customHeight="1"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</row>
    <row r="584" spans="2:29" ht="15.75" customHeight="1"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</row>
    <row r="585" spans="2:29" ht="15.75" customHeight="1"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</row>
    <row r="586" spans="2:29" ht="15.75" customHeight="1"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</row>
    <row r="587" spans="2:29" ht="15.75" customHeight="1"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</row>
    <row r="588" spans="2:29" ht="15.75" customHeight="1"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</row>
    <row r="589" spans="2:29" ht="15.75" customHeight="1"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</row>
    <row r="590" spans="2:29" ht="15.75" customHeight="1"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</row>
    <row r="591" spans="2:29" ht="15.75" customHeight="1"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</row>
    <row r="592" spans="2:29" ht="15.75" customHeight="1"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</row>
    <row r="593" spans="2:29" ht="15.75" customHeight="1"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</row>
    <row r="594" spans="2:29" ht="15.75" customHeight="1"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</row>
    <row r="595" spans="2:29" ht="15.75" customHeight="1"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</row>
    <row r="596" spans="2:29" ht="15.75" customHeight="1"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</row>
    <row r="597" spans="2:29" ht="15.75" customHeight="1"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</row>
    <row r="598" spans="2:29" ht="15.75" customHeight="1"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</row>
    <row r="599" spans="2:29" ht="15.75" customHeight="1"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</row>
    <row r="600" spans="2:29" ht="15.75" customHeight="1"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</row>
    <row r="601" spans="2:29" ht="15.75" customHeight="1"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</row>
    <row r="602" spans="2:29" ht="15.75" customHeight="1"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</row>
    <row r="603" spans="2:29" ht="15.75" customHeight="1"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</row>
    <row r="604" spans="2:29" ht="15.75" customHeight="1"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</row>
    <row r="605" spans="2:29" ht="15.75" customHeight="1"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</row>
    <row r="606" spans="2:29" ht="15.75" customHeight="1"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</row>
    <row r="607" spans="2:29" ht="15.75" customHeight="1"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</row>
    <row r="608" spans="2:29" ht="15.75" customHeight="1"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</row>
    <row r="609" spans="2:29" ht="15.75" customHeight="1"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</row>
    <row r="610" spans="2:29" ht="15.75" customHeight="1"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</row>
    <row r="611" spans="2:29" ht="15.75" customHeight="1"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</row>
    <row r="612" spans="2:29" ht="15.75" customHeight="1"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</row>
    <row r="613" spans="2:29" ht="15.75" customHeight="1"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</row>
    <row r="614" spans="2:29" ht="15.75" customHeight="1"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</row>
    <row r="615" spans="2:29" ht="15.75" customHeight="1"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</row>
    <row r="616" spans="2:29" ht="15.75" customHeight="1"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</row>
    <row r="617" spans="2:29" ht="15.75" customHeight="1"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</row>
    <row r="618" spans="2:29" ht="15.75" customHeight="1"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</row>
    <row r="619" spans="2:29" ht="15.75" customHeight="1"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</row>
    <row r="620" spans="2:29" ht="15.75" customHeight="1"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</row>
    <row r="621" spans="2:29" ht="15.75" customHeight="1"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</row>
    <row r="622" spans="2:29" ht="15.75" customHeight="1"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</row>
    <row r="623" spans="2:29" ht="15.75" customHeight="1"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</row>
    <row r="624" spans="2:29" ht="15.75" customHeight="1"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</row>
    <row r="625" spans="2:29" ht="15.75" customHeight="1"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</row>
    <row r="626" spans="2:29" ht="15.75" customHeight="1"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</row>
    <row r="627" spans="2:29" ht="15.75" customHeight="1"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</row>
    <row r="628" spans="2:29" ht="15.75" customHeight="1"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</row>
    <row r="629" spans="2:29" ht="15.75" customHeight="1"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</row>
    <row r="630" spans="2:29" ht="15.75" customHeight="1"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</row>
    <row r="631" spans="2:29" ht="15.75" customHeight="1"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</row>
    <row r="632" spans="2:29" ht="15.75" customHeight="1"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</row>
    <row r="633" spans="2:29" ht="15.75" customHeight="1"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</row>
    <row r="634" spans="2:29" ht="15.75" customHeight="1"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</row>
    <row r="635" spans="2:29" ht="15.75" customHeight="1"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</row>
    <row r="636" spans="2:29" ht="15.75" customHeight="1"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</row>
    <row r="637" spans="2:29" ht="15.75" customHeight="1"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</row>
    <row r="638" spans="2:29" ht="15.75" customHeight="1"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</row>
    <row r="639" spans="2:29" ht="15.75" customHeight="1"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</row>
    <row r="640" spans="2:29" ht="15.75" customHeight="1"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</row>
    <row r="641" spans="2:29" ht="15.75" customHeight="1"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</row>
    <row r="642" spans="2:29" ht="15.75" customHeight="1"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</row>
    <row r="643" spans="2:29" ht="15.75" customHeight="1"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</row>
    <row r="644" spans="2:29" ht="15.75" customHeight="1"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</row>
    <row r="645" spans="2:29" ht="15.75" customHeight="1"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</row>
    <row r="646" spans="2:29" ht="15.75" customHeight="1"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</row>
    <row r="647" spans="2:29" ht="15.75" customHeight="1"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</row>
    <row r="648" spans="2:29" ht="15.75" customHeight="1"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</row>
    <row r="649" spans="2:29" ht="15.75" customHeight="1"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</row>
    <row r="650" spans="2:29" ht="15.75" customHeight="1"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</row>
    <row r="651" spans="2:29" ht="15.75" customHeight="1"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</row>
    <row r="652" spans="2:29" ht="15.75" customHeight="1"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</row>
    <row r="653" spans="2:29" ht="15.75" customHeight="1"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</row>
    <row r="654" spans="2:29" ht="15.75" customHeight="1"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</row>
    <row r="655" spans="2:29" ht="15.75" customHeight="1"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</row>
    <row r="656" spans="2:29" ht="15.75" customHeight="1"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</row>
    <row r="657" spans="2:29" ht="15.75" customHeight="1"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</row>
    <row r="658" spans="2:29" ht="15.75" customHeight="1"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</row>
    <row r="659" spans="2:29" ht="15.75" customHeight="1"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</row>
    <row r="660" spans="2:29" ht="15.75" customHeight="1"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</row>
    <row r="661" spans="2:29" ht="15.75" customHeight="1"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</row>
    <row r="662" spans="2:29" ht="15.75" customHeight="1"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</row>
    <row r="663" spans="2:29" ht="15.75" customHeight="1"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</row>
    <row r="664" spans="2:29" ht="15.75" customHeight="1"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</row>
    <row r="665" spans="2:29" ht="15.75" customHeight="1"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</row>
    <row r="666" spans="2:29" ht="15.75" customHeight="1"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</row>
    <row r="667" spans="2:29" ht="15.75" customHeight="1"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</row>
    <row r="668" spans="2:29" ht="15.75" customHeight="1"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</row>
    <row r="669" spans="2:29" ht="15.75" customHeight="1"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</row>
    <row r="670" spans="2:29" ht="15.75" customHeight="1"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</row>
    <row r="671" spans="2:29" ht="15.75" customHeight="1"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</row>
    <row r="672" spans="2:29" ht="15.75" customHeight="1"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</row>
    <row r="673" spans="2:29" ht="15.75" customHeight="1"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</row>
    <row r="674" spans="2:29" ht="15.75" customHeight="1"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</row>
    <row r="675" spans="2:29" ht="15.75" customHeight="1"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</row>
    <row r="676" spans="2:29" ht="15.75" customHeight="1"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</row>
    <row r="677" spans="2:29" ht="15.75" customHeight="1"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</row>
    <row r="678" spans="2:29" ht="15.75" customHeight="1"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</row>
    <row r="679" spans="2:29" ht="15.75" customHeight="1"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</row>
    <row r="680" spans="2:29" ht="15.75" customHeight="1"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</row>
    <row r="681" spans="2:29" ht="15.75" customHeight="1"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</row>
    <row r="682" spans="2:29" ht="15.75" customHeight="1"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</row>
    <row r="683" spans="2:29" ht="15.75" customHeight="1"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</row>
    <row r="684" spans="2:29" ht="15.75" customHeight="1"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</row>
    <row r="685" spans="2:29" ht="15.75" customHeight="1"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</row>
    <row r="686" spans="2:29" ht="15.75" customHeight="1"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</row>
    <row r="687" spans="2:29" ht="15.75" customHeight="1"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</row>
    <row r="688" spans="2:29" ht="15.75" customHeight="1"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</row>
    <row r="689" spans="2:29" ht="15.75" customHeight="1"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</row>
    <row r="690" spans="2:29" ht="15.75" customHeight="1"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</row>
    <row r="691" spans="2:29" ht="15.75" customHeight="1"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</row>
    <row r="692" spans="2:29" ht="15.75" customHeight="1"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</row>
    <row r="693" spans="2:29" ht="15.75" customHeight="1"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</row>
    <row r="694" spans="2:29" ht="15.75" customHeight="1"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</row>
    <row r="695" spans="2:29" ht="15.75" customHeight="1"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</row>
    <row r="696" spans="2:29" ht="15.75" customHeight="1"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</row>
    <row r="697" spans="2:29" ht="15.75" customHeight="1"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</row>
    <row r="698" spans="2:29" ht="15.75" customHeight="1"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</row>
    <row r="699" spans="2:29" ht="15.75" customHeight="1"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</row>
    <row r="700" spans="2:29" ht="15.75" customHeight="1"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</row>
    <row r="701" spans="2:29" ht="15.75" customHeight="1"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</row>
    <row r="702" spans="2:29" ht="15.75" customHeight="1"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</row>
    <row r="703" spans="2:29" ht="15.75" customHeight="1"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</row>
    <row r="704" spans="2:29" ht="15.75" customHeight="1"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</row>
    <row r="705" spans="2:29" ht="15.75" customHeight="1"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</row>
    <row r="706" spans="2:29" ht="15.75" customHeight="1"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</row>
    <row r="707" spans="2:29" ht="15.75" customHeight="1"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  <c r="AC707" s="148"/>
    </row>
    <row r="708" spans="2:29" ht="15.75" customHeight="1"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  <c r="AC708" s="148"/>
    </row>
    <row r="709" spans="2:29" ht="15.75" customHeight="1"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  <c r="AC709" s="148"/>
    </row>
    <row r="710" spans="2:29" ht="15.75" customHeight="1"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  <c r="AC710" s="148"/>
    </row>
    <row r="711" spans="2:29" ht="15.75" customHeight="1"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  <c r="AC711" s="148"/>
    </row>
    <row r="712" spans="2:29" ht="15.75" customHeight="1"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</row>
    <row r="713" spans="2:29" ht="15.75" customHeight="1"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  <c r="AC713" s="148"/>
    </row>
    <row r="714" spans="2:29" ht="15.75" customHeight="1"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  <c r="AC714" s="148"/>
    </row>
    <row r="715" spans="2:29" ht="15.75" customHeight="1"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</row>
    <row r="716" spans="2:29" ht="15.75" customHeight="1"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  <c r="AC716" s="148"/>
    </row>
    <row r="717" spans="2:29" ht="15.75" customHeight="1"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  <c r="AC717" s="148"/>
    </row>
    <row r="718" spans="2:29" ht="15.75" customHeight="1"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  <c r="AC718" s="148"/>
    </row>
    <row r="719" spans="2:29" ht="15.75" customHeight="1"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  <c r="AC719" s="148"/>
    </row>
    <row r="720" spans="2:29" ht="15.75" customHeight="1"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  <c r="AC720" s="148"/>
    </row>
    <row r="721" spans="2:29" ht="15.75" customHeight="1"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  <c r="AC721" s="148"/>
    </row>
    <row r="722" spans="2:29" ht="15.75" customHeight="1"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  <c r="AC722" s="148"/>
    </row>
    <row r="723" spans="2:29" ht="15.75" customHeight="1"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  <c r="AC723" s="148"/>
    </row>
    <row r="724" spans="2:29" ht="15.75" customHeight="1"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  <c r="AC724" s="148"/>
    </row>
    <row r="725" spans="2:29" ht="15.75" customHeight="1"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  <c r="AC725" s="148"/>
    </row>
    <row r="726" spans="2:29" ht="15.75" customHeight="1"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  <c r="AC726" s="148"/>
    </row>
    <row r="727" spans="2:29" ht="15.75" customHeight="1"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  <c r="AC727" s="148"/>
    </row>
    <row r="728" spans="2:29" ht="15.75" customHeight="1"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  <c r="AC728" s="148"/>
    </row>
    <row r="729" spans="2:29" ht="15.75" customHeight="1"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  <c r="AC729" s="148"/>
    </row>
    <row r="730" spans="2:29" ht="15.75" customHeight="1"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  <c r="AC730" s="148"/>
    </row>
    <row r="731" spans="2:29" ht="15.75" customHeight="1"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  <c r="AC731" s="148"/>
    </row>
    <row r="732" spans="2:29" ht="15.75" customHeight="1"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  <c r="AC732" s="148"/>
    </row>
    <row r="733" spans="2:29" ht="15.75" customHeight="1"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  <c r="AC733" s="148"/>
    </row>
    <row r="734" spans="2:29" ht="15.75" customHeight="1"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  <c r="AC734" s="148"/>
    </row>
    <row r="735" spans="2:29" ht="15.75" customHeight="1"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  <c r="AC735" s="148"/>
    </row>
    <row r="736" spans="2:29" ht="15.75" customHeight="1"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  <c r="AC736" s="148"/>
    </row>
    <row r="737" spans="2:29" ht="15.75" customHeight="1"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  <c r="AC737" s="148"/>
    </row>
    <row r="738" spans="2:29" ht="15.75" customHeight="1"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  <c r="AC738" s="148"/>
    </row>
    <row r="739" spans="2:29" ht="15.75" customHeight="1"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  <c r="AC739" s="148"/>
    </row>
    <row r="740" spans="2:29" ht="15.75" customHeight="1"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  <c r="AC740" s="148"/>
    </row>
    <row r="741" spans="2:29" ht="15.75" customHeight="1"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  <c r="AC741" s="148"/>
    </row>
    <row r="742" spans="2:29" ht="15.75" customHeight="1"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  <c r="AC742" s="148"/>
    </row>
    <row r="743" spans="2:29" ht="15.75" customHeight="1"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  <c r="AC743" s="148"/>
    </row>
    <row r="744" spans="2:29" ht="15.75" customHeight="1"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  <c r="AC744" s="148"/>
    </row>
    <row r="745" spans="2:29" ht="15.75" customHeight="1"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  <c r="AC745" s="148"/>
    </row>
    <row r="746" spans="2:29" ht="15.75" customHeight="1"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  <c r="AC746" s="148"/>
    </row>
    <row r="747" spans="2:29" ht="15.75" customHeight="1"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  <c r="AC747" s="148"/>
    </row>
    <row r="748" spans="2:29" ht="15.75" customHeight="1"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  <c r="AC748" s="148"/>
    </row>
    <row r="749" spans="2:29" ht="15.75" customHeight="1"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  <c r="AC749" s="148"/>
    </row>
    <row r="750" spans="2:29" ht="15.75" customHeight="1"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  <c r="AC750" s="148"/>
    </row>
    <row r="751" spans="2:29" ht="15.75" customHeight="1"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  <c r="AC751" s="148"/>
    </row>
    <row r="752" spans="2:29" ht="15.75" customHeight="1"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  <c r="AC752" s="148"/>
    </row>
    <row r="753" spans="2:29" ht="15.75" customHeight="1"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  <c r="AC753" s="148"/>
    </row>
    <row r="754" spans="2:29" ht="15.75" customHeight="1"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  <c r="AC754" s="148"/>
    </row>
    <row r="755" spans="2:29" ht="15.75" customHeight="1"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  <c r="AC755" s="148"/>
    </row>
    <row r="756" spans="2:29" ht="15.75" customHeight="1"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  <c r="AC756" s="148"/>
    </row>
    <row r="757" spans="2:29" ht="15.75" customHeight="1"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  <c r="AC757" s="148"/>
    </row>
    <row r="758" spans="2:29" ht="15.75" customHeight="1"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  <c r="AC758" s="148"/>
    </row>
    <row r="759" spans="2:29" ht="15.75" customHeight="1"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  <c r="AC759" s="148"/>
    </row>
    <row r="760" spans="2:29" ht="15.75" customHeight="1"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  <c r="AC760" s="148"/>
    </row>
    <row r="761" spans="2:29" ht="15.75" customHeight="1"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  <c r="AC761" s="148"/>
    </row>
    <row r="762" spans="2:29" ht="15.75" customHeight="1"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  <c r="AC762" s="148"/>
    </row>
    <row r="763" spans="2:29" ht="15.75" customHeight="1"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  <c r="AC763" s="148"/>
    </row>
    <row r="764" spans="2:29" ht="15.75" customHeight="1"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  <c r="AC764" s="148"/>
    </row>
    <row r="765" spans="2:29" ht="15.75" customHeight="1"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  <c r="AC765" s="148"/>
    </row>
    <row r="766" spans="2:29" ht="15.75" customHeight="1"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  <c r="AC766" s="148"/>
    </row>
    <row r="767" spans="2:29" ht="15.75" customHeight="1"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  <c r="AC767" s="148"/>
    </row>
    <row r="768" spans="2:29" ht="15.75" customHeight="1"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  <c r="AC768" s="148"/>
    </row>
    <row r="769" spans="2:29" ht="15.75" customHeight="1"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  <c r="AC769" s="148"/>
    </row>
    <row r="770" spans="2:29" ht="15.75" customHeight="1"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  <c r="AC770" s="148"/>
    </row>
    <row r="771" spans="2:29" ht="15.75" customHeight="1"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  <c r="AC771" s="148"/>
    </row>
    <row r="772" spans="2:29" ht="15.75" customHeight="1"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  <c r="AC772" s="148"/>
    </row>
    <row r="773" spans="2:29" ht="15.75" customHeight="1"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  <c r="AC773" s="148"/>
    </row>
    <row r="774" spans="2:29" ht="15.75" customHeight="1"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  <c r="AC774" s="148"/>
    </row>
    <row r="775" spans="2:29" ht="15.75" customHeight="1"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  <c r="AC775" s="148"/>
    </row>
    <row r="776" spans="2:29" ht="15.75" customHeight="1"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  <c r="AC776" s="148"/>
    </row>
    <row r="777" spans="2:29" ht="15.75" customHeight="1"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  <c r="AC777" s="148"/>
    </row>
    <row r="778" spans="2:29" ht="15.75" customHeight="1"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  <c r="AC778" s="148"/>
    </row>
    <row r="779" spans="2:29" ht="15.75" customHeight="1"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  <c r="AC779" s="148"/>
    </row>
    <row r="780" spans="2:29" ht="15.75" customHeight="1"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  <c r="AC780" s="148"/>
    </row>
    <row r="781" spans="2:29" ht="15.75" customHeight="1"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  <c r="AC781" s="148"/>
    </row>
    <row r="782" spans="2:29" ht="15.75" customHeight="1"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  <c r="AC782" s="148"/>
    </row>
    <row r="783" spans="2:29" ht="15.75" customHeight="1"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  <c r="AC783" s="148"/>
    </row>
    <row r="784" spans="2:29" ht="15.75" customHeight="1"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  <c r="AC784" s="148"/>
    </row>
    <row r="785" spans="2:29" ht="15.75" customHeight="1"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  <c r="AC785" s="148"/>
    </row>
    <row r="786" spans="2:29" ht="15.75" customHeight="1"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  <c r="AC786" s="148"/>
    </row>
    <row r="787" spans="2:29" ht="15.75" customHeight="1"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  <c r="AC787" s="148"/>
    </row>
    <row r="788" spans="2:29" ht="15.75" customHeight="1"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  <c r="AC788" s="148"/>
    </row>
    <row r="789" spans="2:29" ht="15.75" customHeight="1"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/>
    </row>
    <row r="790" spans="2:29" ht="15.75" customHeight="1"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/>
    </row>
    <row r="791" spans="2:29" ht="15.75" customHeight="1"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/>
    </row>
    <row r="792" spans="2:29" ht="15.75" customHeight="1"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</row>
    <row r="793" spans="2:29" ht="15.75" customHeight="1"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</row>
    <row r="794" spans="2:29" ht="15.75" customHeight="1"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</row>
    <row r="795" spans="2:29" ht="15.75" customHeight="1"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</row>
    <row r="796" spans="2:29" ht="15.75" customHeight="1"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</row>
    <row r="797" spans="2:29" ht="15.75" customHeight="1"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</row>
    <row r="798" spans="2:29" ht="15.75" customHeight="1"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</row>
    <row r="799" spans="2:29" ht="15.75" customHeight="1"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</row>
    <row r="800" spans="2:29" ht="15.75" customHeight="1"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</row>
    <row r="801" spans="2:29" ht="15.75" customHeight="1"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</row>
    <row r="802" spans="2:29" ht="15.75" customHeight="1"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</row>
    <row r="803" spans="2:29" ht="15.75" customHeight="1"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</row>
    <row r="804" spans="2:29" ht="15.75" customHeight="1"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</row>
    <row r="805" spans="2:29" ht="15.75" customHeight="1"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</row>
    <row r="806" spans="2:29" ht="15.75" customHeight="1"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  <c r="AC806" s="148"/>
    </row>
    <row r="807" spans="2:29" ht="15.75" customHeight="1"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  <c r="AC807" s="148"/>
    </row>
    <row r="808" spans="2:29" ht="15.75" customHeight="1"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  <c r="AC808" s="148"/>
    </row>
    <row r="809" spans="2:29" ht="15.75" customHeight="1"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  <c r="AC809" s="148"/>
    </row>
    <row r="810" spans="2:29" ht="15.75" customHeight="1"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  <c r="AC810" s="148"/>
    </row>
    <row r="811" spans="2:29" ht="15.75" customHeight="1"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  <c r="AC811" s="148"/>
    </row>
    <row r="812" spans="2:29" ht="15.75" customHeight="1"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  <c r="AC812" s="148"/>
    </row>
    <row r="813" spans="2:29" ht="15.75" customHeight="1"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  <c r="AC813" s="148"/>
    </row>
    <row r="814" spans="2:29" ht="15.75" customHeight="1"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  <c r="AC814" s="148"/>
    </row>
    <row r="815" spans="2:29" ht="15.75" customHeight="1"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  <c r="AC815" s="148"/>
    </row>
    <row r="816" spans="2:29" ht="15.75" customHeight="1"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  <c r="AC816" s="148"/>
    </row>
    <row r="817" spans="2:29" ht="15.75" customHeight="1"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  <c r="AC817" s="148"/>
    </row>
    <row r="818" spans="2:29" ht="15.75" customHeight="1"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  <c r="AC818" s="148"/>
    </row>
    <row r="819" spans="2:29" ht="15.75" customHeight="1"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  <c r="AC819" s="148"/>
    </row>
    <row r="820" spans="2:29" ht="15.75" customHeight="1"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  <c r="AC820" s="148"/>
    </row>
    <row r="821" spans="2:29" ht="15.75" customHeight="1"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  <c r="AC821" s="148"/>
    </row>
    <row r="822" spans="2:29" ht="15.75" customHeight="1"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  <c r="AC822" s="148"/>
    </row>
    <row r="823" spans="2:29" ht="15.75" customHeight="1"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  <c r="AC823" s="148"/>
    </row>
    <row r="824" spans="2:29" ht="15.75" customHeight="1"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  <c r="AC824" s="148"/>
    </row>
    <row r="825" spans="2:29" ht="15.75" customHeight="1"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  <c r="AC825" s="148"/>
    </row>
    <row r="826" spans="2:29" ht="15.75" customHeight="1"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  <c r="AC826" s="148"/>
    </row>
    <row r="827" spans="2:29" ht="15.75" customHeight="1"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  <c r="AC827" s="148"/>
    </row>
    <row r="828" spans="2:29" ht="15.75" customHeight="1"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  <c r="AC828" s="148"/>
    </row>
    <row r="829" spans="2:29" ht="15.75" customHeight="1"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  <c r="AC829" s="148"/>
    </row>
    <row r="830" spans="2:29" ht="15.75" customHeight="1"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  <c r="AC830" s="148"/>
    </row>
    <row r="831" spans="2:29" ht="15.75" customHeight="1"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  <c r="AC831" s="148"/>
    </row>
    <row r="832" spans="2:29" ht="15.75" customHeight="1"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  <c r="AC832" s="148"/>
    </row>
    <row r="833" spans="2:29" ht="15.75" customHeight="1"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  <c r="AC833" s="148"/>
    </row>
    <row r="834" spans="2:29" ht="15.75" customHeight="1"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  <c r="AC834" s="148"/>
    </row>
    <row r="835" spans="2:29" ht="15.75" customHeight="1"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  <c r="AC835" s="148"/>
    </row>
    <row r="836" spans="2:29" ht="15.75" customHeight="1"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  <c r="AC836" s="148"/>
    </row>
    <row r="837" spans="2:29" ht="15.75" customHeight="1"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  <c r="AC837" s="148"/>
    </row>
    <row r="838" spans="2:29" ht="15.75" customHeight="1"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  <c r="AC838" s="148"/>
    </row>
    <row r="839" spans="2:29" ht="15.75" customHeight="1"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  <c r="AC839" s="148"/>
    </row>
    <row r="840" spans="2:29" ht="15.75" customHeight="1"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  <c r="AC840" s="148"/>
    </row>
    <row r="841" spans="2:29" ht="15.75" customHeight="1"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  <c r="AC841" s="148"/>
    </row>
    <row r="842" spans="2:29" ht="15.75" customHeight="1"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  <c r="AC842" s="148"/>
    </row>
    <row r="843" spans="2:29" ht="15.75" customHeight="1"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  <c r="AC843" s="148"/>
    </row>
    <row r="844" spans="2:29" ht="15.75" customHeight="1"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  <c r="AC844" s="148"/>
    </row>
    <row r="845" spans="2:29" ht="15.75" customHeight="1"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  <c r="AC845" s="148"/>
    </row>
    <row r="846" spans="2:29" ht="15.75" customHeight="1"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  <c r="AC846" s="148"/>
    </row>
    <row r="847" spans="2:29" ht="15.75" customHeight="1"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  <c r="AC847" s="148"/>
    </row>
    <row r="848" spans="2:29" ht="15.75" customHeight="1"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  <c r="AC848" s="148"/>
    </row>
    <row r="849" spans="2:29" ht="15.75" customHeight="1"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  <c r="AC849" s="148"/>
    </row>
    <row r="850" spans="2:29" ht="15.75" customHeight="1"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  <c r="AC850" s="148"/>
    </row>
    <row r="851" spans="2:29" ht="15.75" customHeight="1"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  <c r="AC851" s="148"/>
    </row>
    <row r="852" spans="2:29" ht="15.75" customHeight="1"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  <c r="AC852" s="148"/>
    </row>
    <row r="853" spans="2:29" ht="15.75" customHeight="1"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  <c r="AC853" s="148"/>
    </row>
    <row r="854" spans="2:29" ht="15.75" customHeight="1"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  <c r="AC854" s="148"/>
    </row>
    <row r="855" spans="2:29" ht="15.75" customHeight="1"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  <c r="AC855" s="148"/>
    </row>
    <row r="856" spans="2:29" ht="15.75" customHeight="1"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  <c r="AC856" s="148"/>
    </row>
    <row r="857" spans="2:29" ht="15.75" customHeight="1"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  <c r="AC857" s="148"/>
    </row>
    <row r="858" spans="2:29" ht="15.75" customHeight="1"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</row>
    <row r="859" spans="2:29" ht="15.75" customHeight="1"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  <c r="AC859" s="148"/>
    </row>
    <row r="860" spans="2:29" ht="15.75" customHeight="1"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  <c r="AC860" s="148"/>
    </row>
    <row r="861" spans="2:29" ht="15.75" customHeight="1"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  <c r="AC861" s="148"/>
    </row>
    <row r="862" spans="2:29" ht="15.75" customHeight="1"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  <c r="AC862" s="148"/>
    </row>
    <row r="863" spans="2:29" ht="15.75" customHeight="1"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  <c r="AC863" s="148"/>
    </row>
    <row r="864" spans="2:29" ht="15.75" customHeight="1"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</row>
    <row r="865" spans="2:29" ht="15.75" customHeight="1"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  <c r="AC865" s="148"/>
    </row>
    <row r="866" spans="2:29" ht="15.75" customHeight="1"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  <c r="AC866" s="148"/>
    </row>
    <row r="867" spans="2:29" ht="15.75" customHeight="1"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  <c r="AC867" s="148"/>
    </row>
    <row r="868" spans="2:29" ht="15.75" customHeight="1"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  <c r="AC868" s="148"/>
    </row>
    <row r="869" spans="2:29" ht="15.75" customHeight="1"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</row>
    <row r="870" spans="2:29" ht="15.75" customHeight="1"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  <c r="AC870" s="148"/>
    </row>
    <row r="871" spans="2:29" ht="15.75" customHeight="1"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  <c r="AC871" s="148"/>
    </row>
    <row r="872" spans="2:29" ht="15.75" customHeight="1"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  <c r="AC872" s="148"/>
    </row>
    <row r="873" spans="2:29" ht="15.75" customHeight="1"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  <c r="AC873" s="148"/>
    </row>
    <row r="874" spans="2:29" ht="15.75" customHeight="1"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</row>
    <row r="875" spans="2:29" ht="15.75" customHeight="1"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  <c r="AC875" s="148"/>
    </row>
    <row r="876" spans="2:29" ht="15.75" customHeight="1"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  <c r="AC876" s="148"/>
    </row>
    <row r="877" spans="2:29" ht="15.75" customHeight="1"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  <c r="AC877" s="148"/>
    </row>
    <row r="878" spans="2:29" ht="15.75" customHeight="1"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  <c r="AC878" s="148"/>
    </row>
    <row r="879" spans="2:29" ht="15.75" customHeight="1"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</row>
    <row r="880" spans="2:29" ht="15.75" customHeight="1"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  <c r="AC880" s="148"/>
    </row>
    <row r="881" spans="2:29" ht="15.75" customHeight="1"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  <c r="AC881" s="148"/>
    </row>
    <row r="882" spans="2:29" ht="15.75" customHeight="1"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  <c r="AC882" s="148"/>
    </row>
    <row r="883" spans="2:29" ht="15.75" customHeight="1"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  <c r="AC883" s="148"/>
    </row>
    <row r="884" spans="2:29" ht="15.75" customHeight="1"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</row>
    <row r="885" spans="2:29" ht="15.75" customHeight="1"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  <c r="AC885" s="148"/>
    </row>
    <row r="886" spans="2:29" ht="15.75" customHeight="1"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  <c r="AC886" s="148"/>
    </row>
    <row r="887" spans="2:29" ht="15.75" customHeight="1"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  <c r="AC887" s="148"/>
    </row>
    <row r="888" spans="2:29" ht="15.75" customHeight="1"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</row>
    <row r="889" spans="2:29" ht="15.75" customHeight="1"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  <c r="AC889" s="148"/>
    </row>
    <row r="890" spans="2:29" ht="15.75" customHeight="1"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  <c r="AC890" s="148"/>
    </row>
    <row r="891" spans="2:29" ht="15.75" customHeight="1"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  <c r="AC891" s="148"/>
    </row>
    <row r="892" spans="2:29" ht="15.75" customHeight="1"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  <c r="AC892" s="148"/>
    </row>
    <row r="893" spans="2:29" ht="15.75" customHeight="1"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  <c r="AC893" s="148"/>
    </row>
    <row r="894" spans="2:29" ht="15.75" customHeight="1"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  <c r="AC894" s="148"/>
    </row>
    <row r="895" spans="2:29" ht="15.75" customHeight="1"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  <c r="AC895" s="148"/>
    </row>
    <row r="896" spans="2:29" ht="15.75" customHeight="1"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  <c r="AC896" s="148"/>
    </row>
    <row r="897" spans="2:29" ht="15.75" customHeight="1"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  <c r="AC897" s="148"/>
    </row>
    <row r="898" spans="2:29" ht="15.75" customHeight="1"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  <c r="AC898" s="148"/>
    </row>
    <row r="899" spans="2:29" ht="15.75" customHeight="1"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  <c r="AC899" s="148"/>
    </row>
    <row r="900" spans="2:29" ht="15.75" customHeight="1"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  <c r="AC900" s="148"/>
    </row>
    <row r="901" spans="2:29" ht="15.75" customHeight="1"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  <c r="AC901" s="148"/>
    </row>
    <row r="902" spans="2:29" ht="15.75" customHeight="1"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  <c r="AC902" s="148"/>
    </row>
    <row r="903" spans="2:29" ht="15.75" customHeight="1"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  <c r="AC903" s="148"/>
    </row>
    <row r="904" spans="2:29" ht="15.75" customHeight="1"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  <c r="AC904" s="148"/>
    </row>
    <row r="905" spans="2:29" ht="15.75" customHeight="1"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  <c r="AC905" s="148"/>
    </row>
    <row r="906" spans="2:29" ht="15.75" customHeight="1"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  <c r="AC906" s="148"/>
    </row>
    <row r="907" spans="2:29" ht="15.75" customHeight="1"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  <c r="AC907" s="148"/>
    </row>
    <row r="908" spans="2:29" ht="15.75" customHeight="1"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  <c r="AC908" s="148"/>
    </row>
    <row r="909" spans="2:29" ht="15.75" customHeight="1"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  <c r="AC909" s="148"/>
    </row>
    <row r="910" spans="2:29" ht="15.75" customHeight="1"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  <c r="AC910" s="148"/>
    </row>
    <row r="911" spans="2:29" ht="15.75" customHeight="1"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  <c r="AC911" s="148"/>
    </row>
    <row r="912" spans="2:29" ht="15.75" customHeight="1"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  <c r="AC912" s="148"/>
    </row>
    <row r="913" spans="2:29" ht="15.75" customHeight="1"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  <c r="AC913" s="148"/>
    </row>
    <row r="914" spans="2:29" ht="15.75" customHeight="1"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  <c r="AC914" s="148"/>
    </row>
    <row r="915" spans="2:29" ht="15.75" customHeight="1"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  <c r="AC915" s="148"/>
    </row>
    <row r="916" spans="2:29" ht="15.75" customHeight="1"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  <c r="AC916" s="148"/>
    </row>
    <row r="917" spans="2:29" ht="15.75" customHeight="1"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  <c r="AC917" s="148"/>
    </row>
    <row r="918" spans="2:29" ht="15.75" customHeight="1"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  <c r="AC918" s="148"/>
    </row>
    <row r="919" spans="2:29" ht="15.75" customHeight="1"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  <c r="AC919" s="148"/>
    </row>
    <row r="920" spans="2:29" ht="15.75" customHeight="1"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  <c r="AC920" s="148"/>
    </row>
    <row r="921" spans="2:29" ht="15.75" customHeight="1"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</row>
    <row r="922" spans="2:29" ht="15.75" customHeight="1"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</row>
    <row r="923" spans="2:29" ht="15.75" customHeight="1"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  <c r="AC923" s="148"/>
    </row>
    <row r="924" spans="2:29" ht="15.75" customHeight="1"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  <c r="AC924" s="148"/>
    </row>
    <row r="925" spans="2:29" ht="15.75" customHeight="1"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  <c r="AC925" s="148"/>
    </row>
    <row r="926" spans="2:29" ht="15.75" customHeight="1"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  <c r="AC926" s="148"/>
    </row>
    <row r="927" spans="2:29" ht="15.75" customHeight="1"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  <c r="AC927" s="148"/>
    </row>
    <row r="928" spans="2:29" ht="15.75" customHeight="1"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  <c r="AC928" s="148"/>
    </row>
    <row r="929" spans="2:29" ht="15.75" customHeight="1"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  <c r="AC929" s="148"/>
    </row>
    <row r="930" spans="2:29" ht="15.75" customHeight="1"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  <c r="AC930" s="148"/>
    </row>
    <row r="931" spans="2:29" ht="15.75" customHeight="1"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  <c r="AC931" s="148"/>
    </row>
    <row r="932" spans="2:29" ht="15.75" customHeight="1"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  <c r="AC932" s="148"/>
    </row>
    <row r="933" spans="2:29" ht="15.75" customHeight="1"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  <c r="AC933" s="148"/>
    </row>
    <row r="934" spans="2:29" ht="15.75" customHeight="1"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  <c r="AC934" s="148"/>
    </row>
    <row r="935" spans="2:29" ht="15.75" customHeight="1"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  <c r="AC935" s="148"/>
    </row>
    <row r="936" spans="2:29" ht="15.75" customHeight="1"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</row>
    <row r="937" spans="2:29" ht="15.75" customHeight="1"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</row>
    <row r="938" spans="2:29" ht="15.75" customHeight="1"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  <c r="AC938" s="148"/>
    </row>
    <row r="939" spans="2:29" ht="15.75" customHeight="1"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  <c r="AC939" s="148"/>
    </row>
    <row r="940" spans="2:29" ht="15.75" customHeight="1"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  <c r="AC940" s="148"/>
    </row>
    <row r="941" spans="2:29" ht="15.75" customHeight="1"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  <c r="AC941" s="148"/>
    </row>
    <row r="942" spans="2:29" ht="15.75" customHeight="1"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  <c r="AC942" s="148"/>
    </row>
    <row r="943" spans="2:29" ht="15.75" customHeight="1"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  <c r="AC943" s="148"/>
    </row>
    <row r="944" spans="2:29" ht="15.75" customHeight="1"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  <c r="AC944" s="148"/>
    </row>
    <row r="945" spans="2:29" ht="15.75" customHeight="1"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  <c r="AC945" s="148"/>
    </row>
    <row r="946" spans="2:29" ht="15.75" customHeight="1"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  <c r="AC946" s="148"/>
    </row>
    <row r="947" spans="2:29" ht="15.75" customHeight="1"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  <c r="AC947" s="148"/>
    </row>
    <row r="948" spans="2:29" ht="15.75" customHeight="1"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  <c r="AC948" s="148"/>
    </row>
    <row r="949" spans="2:29" ht="15.75" customHeight="1"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  <c r="AC949" s="148"/>
    </row>
    <row r="950" spans="2:29" ht="15.75" customHeight="1"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  <c r="AC950" s="148"/>
    </row>
    <row r="951" spans="2:29" ht="15.75" customHeight="1"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  <c r="AC951" s="148"/>
    </row>
    <row r="952" spans="2:29" ht="15.75" customHeight="1"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  <c r="AC952" s="148"/>
    </row>
    <row r="953" spans="2:29" ht="15.75" customHeight="1"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  <c r="AC953" s="148"/>
    </row>
    <row r="954" spans="2:29" ht="15.75" customHeight="1"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  <c r="AC954" s="148"/>
    </row>
    <row r="955" spans="2:29" ht="15.75" customHeight="1"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  <c r="AC955" s="148"/>
    </row>
    <row r="956" spans="2:29" ht="15.75" customHeight="1"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  <c r="AC956" s="148"/>
    </row>
    <row r="957" spans="2:29" ht="15.75" customHeight="1"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  <c r="AC957" s="148"/>
    </row>
    <row r="958" spans="2:29" ht="15.75" customHeight="1"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  <c r="AC958" s="148"/>
    </row>
    <row r="959" spans="2:29" ht="15.75" customHeight="1"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  <c r="AC959" s="148"/>
    </row>
    <row r="960" spans="2:29" ht="15.75" customHeight="1"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  <c r="AC960" s="148"/>
    </row>
    <row r="961" spans="2:29" ht="15.75" customHeight="1"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  <c r="AC961" s="148"/>
    </row>
    <row r="962" spans="2:29" ht="15.75" customHeight="1"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  <c r="AC962" s="148"/>
    </row>
    <row r="963" spans="2:29" ht="15.75" customHeight="1"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  <c r="AC963" s="148"/>
    </row>
    <row r="964" spans="2:29" ht="15.75" customHeight="1"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  <c r="AC964" s="148"/>
    </row>
    <row r="965" spans="2:29" ht="15.75" customHeight="1"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  <c r="AC965" s="148"/>
    </row>
    <row r="966" spans="2:29" ht="15.75" customHeight="1"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  <c r="AC966" s="148"/>
    </row>
    <row r="967" spans="2:29" ht="15.75" customHeight="1"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  <c r="AC967" s="148"/>
    </row>
    <row r="968" spans="2:29" ht="15.75" customHeight="1"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  <c r="AC968" s="148"/>
    </row>
    <row r="969" spans="2:29" ht="15.75" customHeight="1"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  <c r="AC969" s="148"/>
    </row>
    <row r="970" spans="2:29" ht="15.75" customHeight="1"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  <c r="AC970" s="148"/>
    </row>
    <row r="971" spans="2:29" ht="15.75" customHeight="1"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  <c r="AC971" s="148"/>
    </row>
    <row r="972" spans="2:29" ht="15.75" customHeight="1"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  <c r="AC972" s="148"/>
    </row>
    <row r="973" spans="2:29" ht="15.75" customHeight="1"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  <c r="AC973" s="148"/>
    </row>
    <row r="974" spans="2:29" ht="15.75" customHeight="1"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  <c r="AC974" s="148"/>
    </row>
    <row r="975" spans="2:29" ht="15.75" customHeight="1"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  <c r="AC975" s="148"/>
    </row>
    <row r="976" spans="2:29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mergeCells count="181">
    <mergeCell ref="D26:U27"/>
    <mergeCell ref="D28:U28"/>
    <mergeCell ref="D45:U45"/>
    <mergeCell ref="X45:Z45"/>
    <mergeCell ref="AB45:AC45"/>
    <mergeCell ref="B44:C44"/>
    <mergeCell ref="X43:Z43"/>
    <mergeCell ref="R24:T24"/>
    <mergeCell ref="U24:V24"/>
    <mergeCell ref="AB37:AC37"/>
    <mergeCell ref="AB38:AC38"/>
    <mergeCell ref="D37:U37"/>
    <mergeCell ref="D38:U38"/>
    <mergeCell ref="D34:U34"/>
    <mergeCell ref="AB34:AC34"/>
    <mergeCell ref="AB28:AC28"/>
    <mergeCell ref="D29:U29"/>
    <mergeCell ref="D30:U30"/>
    <mergeCell ref="AB26:AC26"/>
    <mergeCell ref="X26:AA26"/>
    <mergeCell ref="AB41:AC41"/>
    <mergeCell ref="AB40:AC40"/>
    <mergeCell ref="AB39:AC39"/>
    <mergeCell ref="D41:U41"/>
    <mergeCell ref="K22:L22"/>
    <mergeCell ref="D32:U32"/>
    <mergeCell ref="AB32:AC32"/>
    <mergeCell ref="D35:U35"/>
    <mergeCell ref="AB35:AC35"/>
    <mergeCell ref="D36:U36"/>
    <mergeCell ref="AB36:AC36"/>
    <mergeCell ref="D24:G24"/>
    <mergeCell ref="H24:I24"/>
    <mergeCell ref="J24:L24"/>
    <mergeCell ref="M24:Q24"/>
    <mergeCell ref="W24:AC24"/>
    <mergeCell ref="B25:AC25"/>
    <mergeCell ref="B26:B27"/>
    <mergeCell ref="C26:C27"/>
    <mergeCell ref="V26:V27"/>
    <mergeCell ref="W26:W27"/>
    <mergeCell ref="N22:O22"/>
    <mergeCell ref="P22:Q22"/>
    <mergeCell ref="R22:S22"/>
    <mergeCell ref="D31:U31"/>
    <mergeCell ref="AB31:AC31"/>
    <mergeCell ref="D33:U33"/>
    <mergeCell ref="AB33:AC33"/>
    <mergeCell ref="D18:F18"/>
    <mergeCell ref="H18:J18"/>
    <mergeCell ref="K18:M18"/>
    <mergeCell ref="N18:O18"/>
    <mergeCell ref="P18:R18"/>
    <mergeCell ref="W18:Y18"/>
    <mergeCell ref="Z18:AC18"/>
    <mergeCell ref="B17:G17"/>
    <mergeCell ref="H17:I17"/>
    <mergeCell ref="J17:L17"/>
    <mergeCell ref="M17:P17"/>
    <mergeCell ref="S18:V18"/>
    <mergeCell ref="M20:P20"/>
    <mergeCell ref="Q20:R20"/>
    <mergeCell ref="B21:C21"/>
    <mergeCell ref="P21:R21"/>
    <mergeCell ref="D21:F21"/>
    <mergeCell ref="H21:J21"/>
    <mergeCell ref="S20:AC20"/>
    <mergeCell ref="B20:G20"/>
    <mergeCell ref="Z21:AC21"/>
    <mergeCell ref="H20:I20"/>
    <mergeCell ref="B2:AC2"/>
    <mergeCell ref="D3:G3"/>
    <mergeCell ref="H3:I3"/>
    <mergeCell ref="J3:L3"/>
    <mergeCell ref="T3:W3"/>
    <mergeCell ref="X3:Z3"/>
    <mergeCell ref="AA3:AC3"/>
    <mergeCell ref="B7:C7"/>
    <mergeCell ref="D7:V7"/>
    <mergeCell ref="M3:R3"/>
    <mergeCell ref="B4:AC4"/>
    <mergeCell ref="D5:V5"/>
    <mergeCell ref="W5:X7"/>
    <mergeCell ref="Y5:AC7"/>
    <mergeCell ref="B6:V6"/>
    <mergeCell ref="W47:W48"/>
    <mergeCell ref="B54:B55"/>
    <mergeCell ref="C54:C55"/>
    <mergeCell ref="D54:V55"/>
    <mergeCell ref="B11:C11"/>
    <mergeCell ref="B13:C13"/>
    <mergeCell ref="D13:G13"/>
    <mergeCell ref="H13:J13"/>
    <mergeCell ref="K13:Q13"/>
    <mergeCell ref="R13:S13"/>
    <mergeCell ref="T13:W13"/>
    <mergeCell ref="K21:M21"/>
    <mergeCell ref="N21:O21"/>
    <mergeCell ref="S21:V21"/>
    <mergeCell ref="W21:Y21"/>
    <mergeCell ref="F22:G22"/>
    <mergeCell ref="B18:C18"/>
    <mergeCell ref="H11:K11"/>
    <mergeCell ref="L11:O11"/>
    <mergeCell ref="P11:R11"/>
    <mergeCell ref="W9:AB11"/>
    <mergeCell ref="AB29:AC29"/>
    <mergeCell ref="D11:G11"/>
    <mergeCell ref="J20:L20"/>
    <mergeCell ref="AB46:AC46"/>
    <mergeCell ref="B8:AC8"/>
    <mergeCell ref="B5:C5"/>
    <mergeCell ref="B9:C9"/>
    <mergeCell ref="D9:G9"/>
    <mergeCell ref="H9:K9"/>
    <mergeCell ref="P9:R9"/>
    <mergeCell ref="S9:T9"/>
    <mergeCell ref="U9:V9"/>
    <mergeCell ref="L9:O9"/>
    <mergeCell ref="B10:V10"/>
    <mergeCell ref="AC9:AC11"/>
    <mergeCell ref="U11:V11"/>
    <mergeCell ref="X13:Z13"/>
    <mergeCell ref="AA13:AC13"/>
    <mergeCell ref="D15:AC15"/>
    <mergeCell ref="B16:AC16"/>
    <mergeCell ref="S17:AC17"/>
    <mergeCell ref="B15:C15"/>
    <mergeCell ref="Q17:R17"/>
    <mergeCell ref="B14:AC14"/>
    <mergeCell ref="B12:AC12"/>
    <mergeCell ref="S11:T11"/>
    <mergeCell ref="B19:AC19"/>
    <mergeCell ref="Y57:Z57"/>
    <mergeCell ref="Y58:Z58"/>
    <mergeCell ref="Y56:Z56"/>
    <mergeCell ref="D57:V57"/>
    <mergeCell ref="Y22:Z22"/>
    <mergeCell ref="AB22:AC22"/>
    <mergeCell ref="B23:AC23"/>
    <mergeCell ref="B24:C24"/>
    <mergeCell ref="AB27:AC27"/>
    <mergeCell ref="AB30:AC30"/>
    <mergeCell ref="AB44:AC44"/>
    <mergeCell ref="AB42:AC42"/>
    <mergeCell ref="B43:C43"/>
    <mergeCell ref="AB43:AC43"/>
    <mergeCell ref="D43:U43"/>
    <mergeCell ref="D44:U44"/>
    <mergeCell ref="D51:V51"/>
    <mergeCell ref="AB51:AC51"/>
    <mergeCell ref="D52:V52"/>
    <mergeCell ref="AB52:AC52"/>
    <mergeCell ref="D53:V53"/>
    <mergeCell ref="X47:AA47"/>
    <mergeCell ref="X44:Z44"/>
    <mergeCell ref="B46:AA46"/>
    <mergeCell ref="D60:V60"/>
    <mergeCell ref="Y60:Z60"/>
    <mergeCell ref="D59:V59"/>
    <mergeCell ref="Y59:Z59"/>
    <mergeCell ref="D40:U40"/>
    <mergeCell ref="D39:U39"/>
    <mergeCell ref="D49:V49"/>
    <mergeCell ref="B42:AA42"/>
    <mergeCell ref="AB49:AC49"/>
    <mergeCell ref="D58:V58"/>
    <mergeCell ref="AB53:AC53"/>
    <mergeCell ref="AC54:AC55"/>
    <mergeCell ref="D56:V56"/>
    <mergeCell ref="W54:W55"/>
    <mergeCell ref="X54:AB54"/>
    <mergeCell ref="Y55:Z55"/>
    <mergeCell ref="D50:V50"/>
    <mergeCell ref="AB50:AC50"/>
    <mergeCell ref="B47:B48"/>
    <mergeCell ref="C47:C48"/>
    <mergeCell ref="D47:V48"/>
    <mergeCell ref="AB47:AC47"/>
    <mergeCell ref="AB48:AC48"/>
    <mergeCell ref="B45:C45"/>
  </mergeCells>
  <pageMargins left="0.25" right="0.25" top="0.75" bottom="0.75" header="0" footer="0"/>
  <pageSetup paperSize="9" scale="44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S1002"/>
  <sheetViews>
    <sheetView zoomScale="85" zoomScaleNormal="85" workbookViewId="0">
      <pane ySplit="1" topLeftCell="A244" activePane="bottomLeft" state="frozen"/>
      <selection pane="bottomLeft" activeCell="N586" sqref="N586"/>
    </sheetView>
  </sheetViews>
  <sheetFormatPr defaultColWidth="14.44140625" defaultRowHeight="15" customHeight="1"/>
  <cols>
    <col min="1" max="1" width="14.6640625" customWidth="1"/>
    <col min="2" max="2" width="81.109375" customWidth="1"/>
    <col min="3" max="3" width="13.6640625" customWidth="1"/>
    <col min="4" max="4" width="12.109375" customWidth="1"/>
    <col min="5" max="5" width="8.33203125" customWidth="1"/>
    <col min="6" max="6" width="19.88671875" style="777" customWidth="1"/>
    <col min="7" max="7" width="18" customWidth="1"/>
    <col min="8" max="8" width="8.88671875" customWidth="1"/>
    <col min="9" max="9" width="8.44140625" customWidth="1"/>
    <col min="10" max="19" width="9.109375" customWidth="1"/>
  </cols>
  <sheetData>
    <row r="1" spans="1:19" ht="64.8" customHeight="1">
      <c r="A1" s="861" t="s">
        <v>1160</v>
      </c>
      <c r="B1" s="860" t="s">
        <v>1159</v>
      </c>
      <c r="C1" s="41" t="s">
        <v>79</v>
      </c>
      <c r="D1" s="41" t="s">
        <v>80</v>
      </c>
      <c r="E1" s="860" t="s">
        <v>1161</v>
      </c>
      <c r="F1" s="832" t="s">
        <v>81</v>
      </c>
      <c r="G1" s="42" t="s">
        <v>82</v>
      </c>
      <c r="H1" s="43" t="s">
        <v>83</v>
      </c>
      <c r="I1" s="44" t="s">
        <v>84</v>
      </c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18.75" customHeight="1">
      <c r="A2" s="828">
        <v>4595</v>
      </c>
      <c r="B2" s="828" t="s">
        <v>783</v>
      </c>
      <c r="C2" s="826" t="s">
        <v>13</v>
      </c>
      <c r="D2" s="48"/>
      <c r="E2" s="829">
        <v>0.20006857534716299</v>
      </c>
      <c r="F2" s="833">
        <v>1</v>
      </c>
      <c r="G2" s="831">
        <v>2024014901</v>
      </c>
      <c r="H2" s="43" t="s">
        <v>86</v>
      </c>
      <c r="I2" s="43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8.75" customHeight="1">
      <c r="A3" s="828">
        <v>6042</v>
      </c>
      <c r="B3" s="828" t="s">
        <v>114</v>
      </c>
      <c r="C3" s="826" t="s">
        <v>13</v>
      </c>
      <c r="D3" s="48"/>
      <c r="E3" s="829">
        <v>2.9900565746614101</v>
      </c>
      <c r="F3" s="833">
        <v>28.72</v>
      </c>
      <c r="G3" s="831">
        <v>2024014901</v>
      </c>
      <c r="H3" s="43" t="s">
        <v>86</v>
      </c>
      <c r="I3" s="43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ht="18.75" customHeight="1">
      <c r="A4" s="828">
        <v>6043</v>
      </c>
      <c r="B4" s="828" t="s">
        <v>115</v>
      </c>
      <c r="C4" s="826"/>
      <c r="D4" s="46"/>
      <c r="E4" s="829"/>
      <c r="F4" s="833">
        <v>28.72</v>
      </c>
      <c r="G4" s="831">
        <v>2024014901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8.75" customHeight="1">
      <c r="A5" s="828">
        <v>6046</v>
      </c>
      <c r="B5" s="828" t="s">
        <v>116</v>
      </c>
      <c r="C5" s="826" t="s">
        <v>13</v>
      </c>
      <c r="D5" s="48">
        <v>9.74</v>
      </c>
      <c r="E5" s="829">
        <v>12</v>
      </c>
      <c r="F5" s="833">
        <v>38.28</v>
      </c>
      <c r="G5" s="831">
        <v>2021014001</v>
      </c>
      <c r="H5" s="43" t="s">
        <v>86</v>
      </c>
      <c r="I5" s="43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18.75" customHeight="1">
      <c r="A6" s="828">
        <v>6047</v>
      </c>
      <c r="B6" s="828" t="s">
        <v>117</v>
      </c>
      <c r="C6" s="826" t="s">
        <v>13</v>
      </c>
      <c r="D6" s="48">
        <v>48.71</v>
      </c>
      <c r="E6" s="829">
        <v>7.5000857191839501</v>
      </c>
      <c r="F6" s="833">
        <v>38.28</v>
      </c>
      <c r="G6" s="831">
        <v>2024014901</v>
      </c>
      <c r="H6" s="43" t="s">
        <v>86</v>
      </c>
      <c r="I6" s="43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spans="1:19" ht="18.75" customHeight="1">
      <c r="A7" s="828">
        <v>6055</v>
      </c>
      <c r="B7" s="828" t="s">
        <v>178</v>
      </c>
      <c r="C7" s="826"/>
      <c r="D7" s="46"/>
      <c r="E7" s="829"/>
      <c r="F7" s="833">
        <v>28.72</v>
      </c>
      <c r="G7" s="831">
        <v>2024014901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</row>
    <row r="8" spans="1:19" ht="18.75" customHeight="1">
      <c r="A8" s="828">
        <v>6056</v>
      </c>
      <c r="B8" s="828" t="s">
        <v>187</v>
      </c>
      <c r="C8" s="826" t="s">
        <v>13</v>
      </c>
      <c r="D8" s="48">
        <v>162.36000000000001</v>
      </c>
      <c r="E8" s="829">
        <v>1</v>
      </c>
      <c r="F8" s="833">
        <v>191.44</v>
      </c>
      <c r="G8" s="831">
        <v>2024014901</v>
      </c>
      <c r="H8" s="43" t="s">
        <v>86</v>
      </c>
      <c r="I8" s="43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 ht="18.75" customHeight="1">
      <c r="A9" s="828">
        <v>6061</v>
      </c>
      <c r="B9" s="828" t="s">
        <v>188</v>
      </c>
      <c r="C9" s="826"/>
      <c r="D9" s="46"/>
      <c r="E9" s="829"/>
      <c r="F9" s="833">
        <v>287.17</v>
      </c>
      <c r="G9" s="831">
        <v>2024014901</v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</row>
    <row r="10" spans="1:19" ht="18.75" customHeight="1">
      <c r="A10" s="828">
        <v>6062</v>
      </c>
      <c r="B10" s="828" t="s">
        <v>189</v>
      </c>
      <c r="C10" s="826"/>
      <c r="D10" s="46"/>
      <c r="E10" s="829"/>
      <c r="F10" s="833">
        <v>28.72</v>
      </c>
      <c r="G10" s="831">
        <v>2024014901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</row>
    <row r="11" spans="1:19" ht="18.75" customHeight="1">
      <c r="A11" s="828">
        <v>6069</v>
      </c>
      <c r="B11" s="828" t="s">
        <v>238</v>
      </c>
      <c r="C11" s="826"/>
      <c r="D11" s="46"/>
      <c r="E11" s="829"/>
      <c r="F11" s="833">
        <v>95.72</v>
      </c>
      <c r="G11" s="831">
        <v>2024014901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</row>
    <row r="12" spans="1:19" ht="18.75" customHeight="1">
      <c r="A12" s="828">
        <v>6071</v>
      </c>
      <c r="B12" s="828" t="s">
        <v>239</v>
      </c>
      <c r="C12" s="826" t="s">
        <v>13</v>
      </c>
      <c r="D12" s="48"/>
      <c r="E12" s="829">
        <v>7.1500085719184003</v>
      </c>
      <c r="F12" s="833">
        <v>95.72</v>
      </c>
      <c r="G12" s="831">
        <v>2021014001</v>
      </c>
      <c r="H12" s="43" t="s">
        <v>86</v>
      </c>
      <c r="I12" s="43"/>
      <c r="J12" s="49"/>
      <c r="K12" s="49"/>
      <c r="L12" s="49"/>
      <c r="M12" s="49"/>
      <c r="N12" s="49"/>
      <c r="O12" s="49"/>
      <c r="P12" s="49"/>
      <c r="Q12" s="49"/>
      <c r="R12" s="49"/>
      <c r="S12" s="49"/>
    </row>
    <row r="13" spans="1:19" ht="18.75" customHeight="1">
      <c r="A13" s="828">
        <v>6072</v>
      </c>
      <c r="B13" s="828" t="s">
        <v>240</v>
      </c>
      <c r="C13" s="826" t="s">
        <v>13</v>
      </c>
      <c r="D13" s="48">
        <v>162.36000000000001</v>
      </c>
      <c r="E13" s="829">
        <v>1.9699982856163201</v>
      </c>
      <c r="F13" s="833">
        <v>95.72</v>
      </c>
      <c r="G13" s="831">
        <v>2024014901</v>
      </c>
      <c r="H13" s="43" t="s">
        <v>86</v>
      </c>
      <c r="I13" s="43" t="s">
        <v>86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</row>
    <row r="14" spans="1:19" ht="18.75" customHeight="1">
      <c r="A14" s="828">
        <v>6073</v>
      </c>
      <c r="B14" s="828" t="s">
        <v>241</v>
      </c>
      <c r="C14" s="826" t="s">
        <v>13</v>
      </c>
      <c r="D14" s="48"/>
      <c r="E14" s="829">
        <v>66</v>
      </c>
      <c r="F14" s="833">
        <v>124.44</v>
      </c>
      <c r="G14" s="831">
        <v>2021014001</v>
      </c>
      <c r="H14" s="43" t="s">
        <v>86</v>
      </c>
      <c r="I14" s="43"/>
      <c r="J14" s="49"/>
      <c r="K14" s="49"/>
      <c r="L14" s="49"/>
      <c r="M14" s="49"/>
      <c r="N14" s="49"/>
      <c r="O14" s="49"/>
      <c r="P14" s="49"/>
      <c r="Q14" s="49"/>
      <c r="R14" s="49"/>
      <c r="S14" s="49"/>
    </row>
    <row r="15" spans="1:19" ht="18.75" customHeight="1">
      <c r="A15" s="828">
        <v>6074</v>
      </c>
      <c r="B15" s="828" t="s">
        <v>242</v>
      </c>
      <c r="C15" s="826" t="s">
        <v>13</v>
      </c>
      <c r="D15" s="48">
        <v>97.42</v>
      </c>
      <c r="E15" s="829">
        <v>1.5000857191839501</v>
      </c>
      <c r="F15" s="833">
        <v>124.44</v>
      </c>
      <c r="G15" s="831">
        <v>2021014001</v>
      </c>
      <c r="H15" s="43" t="s">
        <v>86</v>
      </c>
      <c r="I15" s="43"/>
      <c r="J15" s="49"/>
      <c r="K15" s="49"/>
      <c r="L15" s="49"/>
      <c r="M15" s="49"/>
      <c r="N15" s="49"/>
      <c r="O15" s="49"/>
      <c r="P15" s="49"/>
      <c r="Q15" s="49"/>
      <c r="R15" s="49"/>
      <c r="S15" s="49"/>
    </row>
    <row r="16" spans="1:19" ht="18.75" customHeight="1">
      <c r="A16" s="828">
        <v>6082</v>
      </c>
      <c r="B16" s="828" t="s">
        <v>320</v>
      </c>
      <c r="C16" s="826" t="s">
        <v>13</v>
      </c>
      <c r="D16" s="48">
        <v>185.09</v>
      </c>
      <c r="E16" s="829">
        <v>54.669981141779502</v>
      </c>
      <c r="F16" s="833">
        <v>95.72</v>
      </c>
      <c r="G16" s="831">
        <v>2024014901</v>
      </c>
      <c r="H16" s="43" t="s">
        <v>86</v>
      </c>
      <c r="I16" s="43"/>
      <c r="J16" s="49"/>
      <c r="K16" s="49"/>
      <c r="L16" s="49"/>
      <c r="M16" s="49"/>
      <c r="N16" s="49"/>
      <c r="O16" s="49"/>
      <c r="P16" s="49"/>
      <c r="Q16" s="49"/>
      <c r="R16" s="49"/>
      <c r="S16" s="49"/>
    </row>
    <row r="17" spans="1:19" ht="18.75" customHeight="1">
      <c r="A17" s="828">
        <v>6083</v>
      </c>
      <c r="B17" s="828" t="s">
        <v>322</v>
      </c>
      <c r="C17" s="826" t="s">
        <v>13</v>
      </c>
      <c r="D17" s="48">
        <v>73.06</v>
      </c>
      <c r="E17" s="829">
        <v>4</v>
      </c>
      <c r="F17" s="833">
        <v>95.72</v>
      </c>
      <c r="G17" s="831">
        <v>2021014001</v>
      </c>
      <c r="H17" s="43" t="s">
        <v>86</v>
      </c>
      <c r="I17" s="43"/>
      <c r="J17" s="49"/>
      <c r="K17" s="49"/>
      <c r="L17" s="49"/>
      <c r="M17" s="49"/>
      <c r="N17" s="49"/>
      <c r="O17" s="49"/>
      <c r="P17" s="49"/>
      <c r="Q17" s="49"/>
      <c r="R17" s="49"/>
      <c r="S17" s="49"/>
    </row>
    <row r="18" spans="1:19" ht="18.75" customHeight="1">
      <c r="A18" s="828">
        <v>6092</v>
      </c>
      <c r="B18" s="828" t="s">
        <v>340</v>
      </c>
      <c r="C18" s="826" t="s">
        <v>13</v>
      </c>
      <c r="D18" s="48">
        <v>974.16</v>
      </c>
      <c r="E18" s="829">
        <v>46</v>
      </c>
      <c r="F18" s="833">
        <v>765.78</v>
      </c>
      <c r="G18" s="831">
        <v>2024014901</v>
      </c>
      <c r="H18" s="43" t="s">
        <v>86</v>
      </c>
      <c r="I18" s="43"/>
      <c r="J18" s="49"/>
      <c r="K18" s="49"/>
      <c r="L18" s="49"/>
      <c r="M18" s="49"/>
      <c r="N18" s="49"/>
      <c r="O18" s="49"/>
      <c r="P18" s="49"/>
      <c r="Q18" s="49"/>
      <c r="R18" s="49"/>
      <c r="S18" s="49"/>
    </row>
    <row r="19" spans="1:19" ht="18.75" customHeight="1">
      <c r="A19" s="828">
        <v>6093</v>
      </c>
      <c r="B19" s="828" t="s">
        <v>341</v>
      </c>
      <c r="C19" s="826" t="s">
        <v>13</v>
      </c>
      <c r="D19" s="48"/>
      <c r="E19" s="829">
        <v>56</v>
      </c>
      <c r="F19" s="833">
        <v>1052.94</v>
      </c>
      <c r="G19" s="831">
        <v>2024014901</v>
      </c>
      <c r="H19" s="43" t="s">
        <v>86</v>
      </c>
      <c r="I19" s="43"/>
      <c r="J19" s="49"/>
      <c r="K19" s="49"/>
      <c r="L19" s="49"/>
      <c r="M19" s="49"/>
      <c r="N19" s="49"/>
      <c r="O19" s="49"/>
      <c r="P19" s="49"/>
      <c r="Q19" s="49"/>
      <c r="R19" s="49"/>
      <c r="S19" s="49"/>
    </row>
    <row r="20" spans="1:19" ht="18.75" customHeight="1">
      <c r="A20" s="828">
        <v>6102</v>
      </c>
      <c r="B20" s="828" t="s">
        <v>935</v>
      </c>
      <c r="C20" s="826" t="s">
        <v>13</v>
      </c>
      <c r="D20" s="48">
        <v>2435.4</v>
      </c>
      <c r="E20" s="829">
        <v>2</v>
      </c>
      <c r="F20" s="833">
        <v>166.37</v>
      </c>
      <c r="G20" s="831">
        <v>2024014901</v>
      </c>
      <c r="H20" s="43"/>
      <c r="I20" s="43" t="s">
        <v>86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</row>
    <row r="21" spans="1:19" ht="18.75" customHeight="1">
      <c r="A21" s="828">
        <v>6128</v>
      </c>
      <c r="B21" s="828" t="s">
        <v>344</v>
      </c>
      <c r="C21" s="826" t="s">
        <v>13</v>
      </c>
      <c r="D21" s="48">
        <v>243.54</v>
      </c>
      <c r="E21" s="829">
        <v>26.599862849305701</v>
      </c>
      <c r="F21" s="833">
        <v>1544</v>
      </c>
      <c r="G21" s="831">
        <v>2024014901</v>
      </c>
      <c r="H21" s="43" t="s">
        <v>86</v>
      </c>
      <c r="I21" s="43" t="s">
        <v>86</v>
      </c>
      <c r="J21" s="49"/>
      <c r="K21" s="49"/>
      <c r="L21" s="49"/>
      <c r="M21" s="49"/>
      <c r="N21" s="49"/>
      <c r="O21" s="49"/>
      <c r="P21" s="49"/>
      <c r="Q21" s="49"/>
      <c r="R21" s="49"/>
      <c r="S21" s="49"/>
    </row>
    <row r="22" spans="1:19" ht="18.75" customHeight="1">
      <c r="A22" s="828">
        <v>6129</v>
      </c>
      <c r="B22" s="828" t="s">
        <v>346</v>
      </c>
      <c r="C22" s="826" t="s">
        <v>13</v>
      </c>
      <c r="D22" s="48"/>
      <c r="E22" s="829">
        <v>2</v>
      </c>
      <c r="F22" s="833">
        <v>2105.89</v>
      </c>
      <c r="G22" s="831">
        <v>2024014901</v>
      </c>
      <c r="H22" s="43"/>
      <c r="I22" s="43" t="s">
        <v>86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</row>
    <row r="23" spans="1:19" ht="18.75" customHeight="1">
      <c r="A23" s="828">
        <v>6133</v>
      </c>
      <c r="B23" s="828" t="s">
        <v>827</v>
      </c>
      <c r="C23" s="826" t="s">
        <v>13</v>
      </c>
      <c r="D23" s="48">
        <v>2435.4</v>
      </c>
      <c r="E23" s="829">
        <v>0.50008571918395295</v>
      </c>
      <c r="F23" s="833">
        <v>974.45</v>
      </c>
      <c r="G23" s="831">
        <v>2024014901</v>
      </c>
      <c r="H23" s="43"/>
      <c r="I23" s="43" t="s">
        <v>86</v>
      </c>
      <c r="J23" s="49"/>
      <c r="K23" s="49"/>
      <c r="L23" s="49"/>
      <c r="M23" s="49"/>
      <c r="N23" s="49"/>
      <c r="O23" s="49"/>
      <c r="P23" s="49"/>
      <c r="Q23" s="49"/>
      <c r="R23" s="49"/>
      <c r="S23" s="49"/>
    </row>
    <row r="24" spans="1:19" ht="18.75" customHeight="1">
      <c r="A24" s="828">
        <v>6137</v>
      </c>
      <c r="B24" s="828" t="s">
        <v>345</v>
      </c>
      <c r="C24" s="826" t="s">
        <v>13</v>
      </c>
      <c r="D24" s="48"/>
      <c r="E24" s="829">
        <v>14.200068575347199</v>
      </c>
      <c r="F24" s="833">
        <v>2758.72</v>
      </c>
      <c r="G24" s="831">
        <v>2021014001</v>
      </c>
      <c r="H24" s="43" t="s">
        <v>86</v>
      </c>
      <c r="I24" s="43"/>
      <c r="J24" s="49"/>
      <c r="K24" s="49"/>
      <c r="L24" s="49"/>
      <c r="M24" s="49"/>
      <c r="N24" s="49"/>
      <c r="O24" s="49"/>
      <c r="P24" s="49"/>
      <c r="Q24" s="49"/>
      <c r="R24" s="49"/>
      <c r="S24" s="49"/>
    </row>
    <row r="25" spans="1:19" ht="18.75" customHeight="1">
      <c r="A25" s="828">
        <v>6151</v>
      </c>
      <c r="B25" s="828" t="s">
        <v>1157</v>
      </c>
      <c r="C25" s="826"/>
      <c r="D25" s="46"/>
      <c r="E25" s="829"/>
      <c r="F25" s="833">
        <v>5.75</v>
      </c>
      <c r="G25" s="831">
        <v>2024014901</v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</row>
    <row r="26" spans="1:19" ht="18.75" customHeight="1">
      <c r="A26" s="828">
        <v>6155</v>
      </c>
      <c r="B26" s="828" t="s">
        <v>442</v>
      </c>
      <c r="C26" s="826"/>
      <c r="D26" s="46"/>
      <c r="E26" s="829"/>
      <c r="F26" s="833">
        <v>67</v>
      </c>
      <c r="G26" s="831">
        <v>2024014901</v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</row>
    <row r="27" spans="1:19" ht="18.75" customHeight="1">
      <c r="A27" s="828">
        <v>6156</v>
      </c>
      <c r="B27" s="828" t="s">
        <v>358</v>
      </c>
      <c r="C27" s="826"/>
      <c r="D27" s="46"/>
      <c r="E27" s="829"/>
      <c r="F27" s="833">
        <v>67</v>
      </c>
      <c r="G27" s="831">
        <v>2024014901</v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</row>
    <row r="28" spans="1:19" ht="18.75" customHeight="1">
      <c r="A28" s="828">
        <v>6169</v>
      </c>
      <c r="B28" s="828" t="s">
        <v>343</v>
      </c>
      <c r="C28" s="826"/>
      <c r="D28" s="46"/>
      <c r="E28" s="829"/>
      <c r="F28" s="833">
        <v>1052.94</v>
      </c>
      <c r="G28" s="831">
        <v>2024014901</v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</row>
    <row r="29" spans="1:19" ht="18.75" customHeight="1">
      <c r="A29" s="828">
        <v>6170</v>
      </c>
      <c r="B29" s="828" t="s">
        <v>353</v>
      </c>
      <c r="C29" s="826" t="s">
        <v>13</v>
      </c>
      <c r="D29" s="48">
        <v>77.930000000000007</v>
      </c>
      <c r="E29" s="829">
        <v>0.180010286302074</v>
      </c>
      <c r="F29" s="833">
        <v>47.86</v>
      </c>
      <c r="G29" s="831">
        <v>2024014901</v>
      </c>
      <c r="H29" s="43" t="s">
        <v>86</v>
      </c>
      <c r="I29" s="43"/>
      <c r="J29" s="49"/>
      <c r="K29" s="49"/>
      <c r="L29" s="49"/>
      <c r="M29" s="49"/>
      <c r="N29" s="49"/>
      <c r="O29" s="49"/>
      <c r="P29" s="49"/>
      <c r="Q29" s="49"/>
      <c r="R29" s="49"/>
      <c r="S29" s="49"/>
    </row>
    <row r="30" spans="1:19" ht="18.75" customHeight="1">
      <c r="A30" s="828">
        <v>6171</v>
      </c>
      <c r="B30" s="828" t="s">
        <v>354</v>
      </c>
      <c r="C30" s="826" t="s">
        <v>13</v>
      </c>
      <c r="D30" s="48">
        <v>73.06</v>
      </c>
      <c r="E30" s="829">
        <v>28</v>
      </c>
      <c r="F30" s="833">
        <v>47.86</v>
      </c>
      <c r="G30" s="831">
        <v>2024014901</v>
      </c>
      <c r="H30" s="43" t="s">
        <v>86</v>
      </c>
      <c r="I30" s="43"/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1:19" ht="18.75" customHeight="1">
      <c r="A31" s="828">
        <v>6181</v>
      </c>
      <c r="B31" s="828" t="s">
        <v>454</v>
      </c>
      <c r="C31" s="826" t="s">
        <v>13</v>
      </c>
      <c r="D31" s="48"/>
      <c r="E31" s="829">
        <v>0.27995885479170202</v>
      </c>
      <c r="F31" s="833">
        <v>69.88</v>
      </c>
      <c r="G31" s="831">
        <v>2024014901</v>
      </c>
      <c r="H31" s="43" t="s">
        <v>86</v>
      </c>
      <c r="I31" s="43" t="s">
        <v>86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</row>
    <row r="32" spans="1:19" ht="18.75" customHeight="1">
      <c r="A32" s="828">
        <v>6182</v>
      </c>
      <c r="B32" s="828" t="s">
        <v>455</v>
      </c>
      <c r="C32" s="826" t="s">
        <v>13</v>
      </c>
      <c r="D32" s="48">
        <v>64.94</v>
      </c>
      <c r="E32" s="829">
        <v>0.50008571918395295</v>
      </c>
      <c r="F32" s="833">
        <v>47.86</v>
      </c>
      <c r="G32" s="831">
        <v>2024014901</v>
      </c>
      <c r="H32" s="43"/>
      <c r="I32" s="43" t="s">
        <v>86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3" spans="1:19" ht="18.75" customHeight="1">
      <c r="A33" s="828">
        <v>6195</v>
      </c>
      <c r="B33" s="828" t="s">
        <v>311</v>
      </c>
      <c r="C33" s="826"/>
      <c r="D33" s="46"/>
      <c r="E33" s="829"/>
      <c r="F33" s="833">
        <v>1052.94</v>
      </c>
      <c r="G33" s="831">
        <v>2024014901</v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1:19" ht="18.75" customHeight="1">
      <c r="A34" s="828">
        <v>6196</v>
      </c>
      <c r="B34" s="828" t="s">
        <v>318</v>
      </c>
      <c r="C34" s="826" t="s">
        <v>13</v>
      </c>
      <c r="D34" s="48"/>
      <c r="E34" s="829">
        <v>0.50008571918395295</v>
      </c>
      <c r="F34" s="833">
        <v>1531.56</v>
      </c>
      <c r="G34" s="831">
        <v>2024014901</v>
      </c>
      <c r="H34" s="43"/>
      <c r="I34" s="43" t="s">
        <v>86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 spans="1:19" ht="18.75" customHeight="1">
      <c r="A35" s="828">
        <v>6210</v>
      </c>
      <c r="B35" s="828" t="s">
        <v>200</v>
      </c>
      <c r="C35" s="826" t="s">
        <v>13</v>
      </c>
      <c r="D35" s="48">
        <v>232.17</v>
      </c>
      <c r="E35" s="829">
        <v>0.50008571918395295</v>
      </c>
      <c r="F35" s="833">
        <v>7.66</v>
      </c>
      <c r="G35" s="831">
        <v>2024014901</v>
      </c>
      <c r="H35" s="43"/>
      <c r="I35" s="43" t="s">
        <v>86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spans="1:19" ht="18.75" customHeight="1">
      <c r="A36" s="828">
        <v>6212</v>
      </c>
      <c r="B36" s="828" t="s">
        <v>171</v>
      </c>
      <c r="C36" s="826"/>
      <c r="D36" s="46"/>
      <c r="E36" s="829"/>
      <c r="F36" s="833">
        <v>81.36</v>
      </c>
      <c r="G36" s="831">
        <v>2024014901</v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pans="1:19" ht="18.75" customHeight="1">
      <c r="A37" s="828">
        <v>6213</v>
      </c>
      <c r="B37" s="828" t="s">
        <v>173</v>
      </c>
      <c r="C37" s="826" t="s">
        <v>13</v>
      </c>
      <c r="D37" s="48">
        <v>211.07</v>
      </c>
      <c r="E37" s="829">
        <v>0.50008571918395295</v>
      </c>
      <c r="F37" s="833">
        <v>119.66</v>
      </c>
      <c r="G37" s="831">
        <v>2024014901</v>
      </c>
      <c r="H37" s="43"/>
      <c r="I37" s="43" t="s">
        <v>86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</row>
    <row r="38" spans="1:19" ht="18.75" customHeight="1">
      <c r="A38" s="828">
        <v>6216</v>
      </c>
      <c r="B38" s="828" t="s">
        <v>214</v>
      </c>
      <c r="C38" s="826" t="s">
        <v>13</v>
      </c>
      <c r="D38" s="48">
        <v>405.9</v>
      </c>
      <c r="E38" s="829">
        <v>2.9900565746614101</v>
      </c>
      <c r="F38" s="833">
        <v>114.86</v>
      </c>
      <c r="G38" s="831">
        <v>2024014901</v>
      </c>
      <c r="H38" s="43" t="s">
        <v>86</v>
      </c>
      <c r="I38" s="43"/>
      <c r="J38" s="49"/>
      <c r="K38" s="49"/>
      <c r="L38" s="49"/>
      <c r="M38" s="49"/>
      <c r="N38" s="49"/>
      <c r="O38" s="49"/>
      <c r="P38" s="49"/>
      <c r="Q38" s="49"/>
      <c r="R38" s="49"/>
      <c r="S38" s="49"/>
    </row>
    <row r="39" spans="1:19" ht="18.75" customHeight="1">
      <c r="A39" s="828">
        <v>6217</v>
      </c>
      <c r="B39" s="828" t="s">
        <v>174</v>
      </c>
      <c r="C39" s="826" t="s">
        <v>13</v>
      </c>
      <c r="D39" s="48"/>
      <c r="E39" s="829">
        <v>0.54997428424481398</v>
      </c>
      <c r="F39" s="833">
        <v>105.3</v>
      </c>
      <c r="G39" s="831">
        <v>2024014901</v>
      </c>
      <c r="H39" s="43" t="s">
        <v>86</v>
      </c>
      <c r="I39" s="43" t="s">
        <v>86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</row>
    <row r="40" spans="1:19" ht="18.75" customHeight="1">
      <c r="A40" s="828">
        <v>6220</v>
      </c>
      <c r="B40" s="828" t="s">
        <v>232</v>
      </c>
      <c r="C40" s="826" t="s">
        <v>13</v>
      </c>
      <c r="D40" s="48"/>
      <c r="E40" s="829">
        <v>2</v>
      </c>
      <c r="F40" s="833">
        <v>143.58000000000001</v>
      </c>
      <c r="G40" s="831">
        <v>2021014001</v>
      </c>
      <c r="H40" s="43" t="s">
        <v>86</v>
      </c>
      <c r="I40" s="43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pans="1:19" ht="18.75" customHeight="1">
      <c r="A41" s="828">
        <v>6221</v>
      </c>
      <c r="B41" s="828" t="s">
        <v>231</v>
      </c>
      <c r="C41" s="826" t="s">
        <v>13</v>
      </c>
      <c r="D41" s="48">
        <v>1298.8800000000001</v>
      </c>
      <c r="E41" s="829">
        <v>0.50008571918395295</v>
      </c>
      <c r="F41" s="833">
        <v>339.81</v>
      </c>
      <c r="G41" s="831">
        <v>2024014901</v>
      </c>
      <c r="H41" s="43"/>
      <c r="I41" s="43" t="s">
        <v>86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</row>
    <row r="42" spans="1:19" ht="18.75" customHeight="1">
      <c r="A42" s="828">
        <v>6223</v>
      </c>
      <c r="B42" s="828" t="s">
        <v>94</v>
      </c>
      <c r="C42" s="826" t="s">
        <v>13</v>
      </c>
      <c r="D42" s="48">
        <v>81.180000000000007</v>
      </c>
      <c r="E42" s="829">
        <v>0.33996228355906</v>
      </c>
      <c r="F42" s="833">
        <v>9.58</v>
      </c>
      <c r="G42" s="831">
        <v>2024014901</v>
      </c>
      <c r="H42" s="43" t="s">
        <v>86</v>
      </c>
      <c r="I42" s="43"/>
      <c r="J42" s="49"/>
      <c r="K42" s="49"/>
      <c r="L42" s="49"/>
      <c r="M42" s="49"/>
      <c r="N42" s="49"/>
      <c r="O42" s="49"/>
      <c r="P42" s="49"/>
      <c r="Q42" s="49"/>
      <c r="R42" s="49"/>
      <c r="S42" s="49"/>
    </row>
    <row r="43" spans="1:19" ht="18.75" customHeight="1">
      <c r="A43" s="828">
        <v>6224</v>
      </c>
      <c r="B43" s="828" t="s">
        <v>90</v>
      </c>
      <c r="C43" s="826" t="s">
        <v>13</v>
      </c>
      <c r="D43" s="48"/>
      <c r="E43" s="829">
        <v>2</v>
      </c>
      <c r="F43" s="833">
        <v>143.58000000000001</v>
      </c>
      <c r="G43" s="831">
        <v>2024014901</v>
      </c>
      <c r="H43" s="43" t="s">
        <v>86</v>
      </c>
      <c r="I43" s="43"/>
      <c r="J43" s="49"/>
      <c r="K43" s="49"/>
      <c r="L43" s="49"/>
      <c r="M43" s="49"/>
      <c r="N43" s="49"/>
      <c r="O43" s="49"/>
      <c r="P43" s="49"/>
      <c r="Q43" s="49"/>
      <c r="R43" s="49"/>
      <c r="S43" s="49"/>
    </row>
    <row r="44" spans="1:19" ht="18.75" customHeight="1">
      <c r="A44" s="828">
        <v>6225</v>
      </c>
      <c r="B44" s="828" t="s">
        <v>95</v>
      </c>
      <c r="C44" s="826" t="s">
        <v>13</v>
      </c>
      <c r="D44" s="48">
        <v>162.36000000000001</v>
      </c>
      <c r="E44" s="829">
        <v>0.159951997256986</v>
      </c>
      <c r="F44" s="833">
        <v>1340.11</v>
      </c>
      <c r="G44" s="831">
        <v>2024014901</v>
      </c>
      <c r="H44" s="43"/>
      <c r="I44" s="43" t="s">
        <v>86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</row>
    <row r="45" spans="1:19" ht="18.75" customHeight="1">
      <c r="A45" s="828">
        <v>6226</v>
      </c>
      <c r="B45" s="828" t="s">
        <v>125</v>
      </c>
      <c r="C45" s="826" t="s">
        <v>13</v>
      </c>
      <c r="D45" s="48"/>
      <c r="E45" s="829">
        <v>1</v>
      </c>
      <c r="F45" s="833">
        <v>223.03</v>
      </c>
      <c r="G45" s="831">
        <v>2024014901</v>
      </c>
      <c r="H45" s="43" t="s">
        <v>86</v>
      </c>
      <c r="I45" s="43"/>
      <c r="J45" s="49"/>
      <c r="K45" s="49"/>
      <c r="L45" s="49"/>
      <c r="M45" s="49"/>
      <c r="N45" s="49"/>
      <c r="O45" s="49"/>
      <c r="P45" s="49"/>
      <c r="Q45" s="49"/>
      <c r="R45" s="49"/>
      <c r="S45" s="49"/>
    </row>
    <row r="46" spans="1:19" ht="18.75" customHeight="1">
      <c r="A46" s="828">
        <v>6227</v>
      </c>
      <c r="B46" s="828" t="s">
        <v>126</v>
      </c>
      <c r="C46" s="826" t="s">
        <v>13</v>
      </c>
      <c r="D46" s="48"/>
      <c r="E46" s="829">
        <v>9.9948568489628006E-2</v>
      </c>
      <c r="F46" s="833">
        <v>191.44</v>
      </c>
      <c r="G46" s="831">
        <v>2021014001</v>
      </c>
      <c r="H46" s="43" t="s">
        <v>86</v>
      </c>
      <c r="I46" s="43"/>
      <c r="J46" s="49"/>
      <c r="K46" s="49"/>
      <c r="L46" s="49"/>
      <c r="M46" s="49"/>
      <c r="N46" s="49"/>
      <c r="O46" s="49"/>
      <c r="P46" s="49"/>
      <c r="Q46" s="49"/>
      <c r="R46" s="49"/>
      <c r="S46" s="49"/>
    </row>
    <row r="47" spans="1:19" ht="18.75" customHeight="1">
      <c r="A47" s="828">
        <v>6228</v>
      </c>
      <c r="B47" s="828" t="s">
        <v>127</v>
      </c>
      <c r="C47" s="826" t="s">
        <v>13</v>
      </c>
      <c r="D47" s="48">
        <v>324.72000000000003</v>
      </c>
      <c r="E47" s="829">
        <v>2</v>
      </c>
      <c r="F47" s="833">
        <v>95.72</v>
      </c>
      <c r="G47" s="831">
        <v>2024014901</v>
      </c>
      <c r="H47" s="43" t="s">
        <v>86</v>
      </c>
      <c r="I47" s="43"/>
      <c r="J47" s="49"/>
      <c r="K47" s="49"/>
      <c r="L47" s="49"/>
      <c r="M47" s="49"/>
      <c r="N47" s="49"/>
      <c r="O47" s="49"/>
      <c r="P47" s="49"/>
      <c r="Q47" s="49"/>
      <c r="R47" s="49"/>
      <c r="S47" s="49"/>
    </row>
    <row r="48" spans="1:19" ht="18.75" customHeight="1">
      <c r="A48" s="828">
        <v>6229</v>
      </c>
      <c r="B48" s="828" t="s">
        <v>128</v>
      </c>
      <c r="C48" s="826"/>
      <c r="D48" s="46"/>
      <c r="E48" s="829"/>
      <c r="F48" s="833">
        <v>382.89</v>
      </c>
      <c r="G48" s="831">
        <v>2024014901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</row>
    <row r="49" spans="1:19" ht="18.75" customHeight="1">
      <c r="A49" s="828">
        <v>6230</v>
      </c>
      <c r="B49" s="828" t="s">
        <v>180</v>
      </c>
      <c r="C49" s="826" t="s">
        <v>13</v>
      </c>
      <c r="D49" s="48">
        <v>649.44000000000005</v>
      </c>
      <c r="E49" s="829">
        <v>1</v>
      </c>
      <c r="F49" s="833">
        <v>287.17</v>
      </c>
      <c r="G49" s="831">
        <v>2024014901</v>
      </c>
      <c r="H49" s="43" t="s">
        <v>86</v>
      </c>
      <c r="I49" s="43"/>
      <c r="J49" s="49"/>
      <c r="K49" s="49"/>
      <c r="L49" s="49"/>
      <c r="M49" s="49"/>
      <c r="N49" s="49"/>
      <c r="O49" s="49"/>
      <c r="P49" s="49"/>
      <c r="Q49" s="49"/>
      <c r="R49" s="49"/>
      <c r="S49" s="49"/>
    </row>
    <row r="50" spans="1:19" ht="18.75" customHeight="1">
      <c r="A50" s="828">
        <v>6233</v>
      </c>
      <c r="B50" s="828" t="s">
        <v>243</v>
      </c>
      <c r="C50" s="826" t="s">
        <v>13</v>
      </c>
      <c r="D50" s="48"/>
      <c r="E50" s="829">
        <v>0.50008571918395295</v>
      </c>
      <c r="F50" s="833">
        <v>47.86</v>
      </c>
      <c r="G50" s="831">
        <v>2024014901</v>
      </c>
      <c r="H50" s="43"/>
      <c r="I50" s="43" t="s">
        <v>86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</row>
    <row r="51" spans="1:19" ht="18.75" customHeight="1">
      <c r="A51" s="828">
        <v>6234</v>
      </c>
      <c r="B51" s="828" t="s">
        <v>245</v>
      </c>
      <c r="C51" s="826" t="s">
        <v>13</v>
      </c>
      <c r="D51" s="48">
        <v>211.07</v>
      </c>
      <c r="E51" s="829">
        <v>1</v>
      </c>
      <c r="F51" s="833">
        <v>19.14</v>
      </c>
      <c r="G51" s="831">
        <v>2024014901</v>
      </c>
      <c r="H51" s="43" t="s">
        <v>86</v>
      </c>
      <c r="I51" s="43"/>
      <c r="J51" s="49"/>
      <c r="K51" s="49"/>
      <c r="L51" s="49"/>
      <c r="M51" s="49"/>
      <c r="N51" s="49"/>
      <c r="O51" s="49"/>
      <c r="P51" s="49"/>
      <c r="Q51" s="49"/>
      <c r="R51" s="49"/>
      <c r="S51" s="49"/>
    </row>
    <row r="52" spans="1:19" ht="18.75" customHeight="1">
      <c r="A52" s="828">
        <v>6235</v>
      </c>
      <c r="B52" s="828" t="s">
        <v>246</v>
      </c>
      <c r="C52" s="826" t="s">
        <v>13</v>
      </c>
      <c r="D52" s="48">
        <v>16.239999999999998</v>
      </c>
      <c r="E52" s="829">
        <v>14</v>
      </c>
      <c r="F52" s="833">
        <v>9.58</v>
      </c>
      <c r="G52" s="831">
        <v>2021014001</v>
      </c>
      <c r="H52" s="43" t="s">
        <v>86</v>
      </c>
      <c r="I52" s="43"/>
      <c r="J52" s="49"/>
      <c r="K52" s="49"/>
      <c r="L52" s="49"/>
      <c r="M52" s="49"/>
      <c r="N52" s="49"/>
      <c r="O52" s="49"/>
      <c r="P52" s="49"/>
      <c r="Q52" s="49"/>
      <c r="R52" s="49"/>
      <c r="S52" s="49"/>
    </row>
    <row r="53" spans="1:19" ht="18.75" customHeight="1">
      <c r="A53" s="828">
        <v>6239</v>
      </c>
      <c r="B53" s="828" t="s">
        <v>310</v>
      </c>
      <c r="C53" s="826" t="s">
        <v>13</v>
      </c>
      <c r="D53" s="48">
        <v>276.01</v>
      </c>
      <c r="E53" s="829">
        <v>16</v>
      </c>
      <c r="F53" s="833">
        <v>239.31</v>
      </c>
      <c r="G53" s="831">
        <v>2024014901</v>
      </c>
      <c r="H53" s="43" t="s">
        <v>86</v>
      </c>
      <c r="I53" s="43"/>
      <c r="J53" s="49"/>
      <c r="K53" s="49"/>
      <c r="L53" s="49"/>
      <c r="M53" s="49"/>
      <c r="N53" s="49"/>
      <c r="O53" s="49"/>
      <c r="P53" s="49"/>
      <c r="Q53" s="49"/>
      <c r="R53" s="49"/>
      <c r="S53" s="49"/>
    </row>
    <row r="54" spans="1:19" ht="18.75" customHeight="1">
      <c r="A54" s="828">
        <v>6240</v>
      </c>
      <c r="B54" s="828" t="s">
        <v>317</v>
      </c>
      <c r="C54" s="826" t="s">
        <v>13</v>
      </c>
      <c r="D54" s="48"/>
      <c r="E54" s="829">
        <v>1.88993656780387</v>
      </c>
      <c r="F54" s="833">
        <v>191.44</v>
      </c>
      <c r="G54" s="831">
        <v>2024014901</v>
      </c>
      <c r="H54" s="43" t="s">
        <v>86</v>
      </c>
      <c r="I54" s="43" t="s">
        <v>86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</row>
    <row r="55" spans="1:19" ht="18.75" customHeight="1">
      <c r="A55" s="828">
        <v>6241</v>
      </c>
      <c r="B55" s="828" t="s">
        <v>222</v>
      </c>
      <c r="C55" s="826" t="s">
        <v>13</v>
      </c>
      <c r="D55" s="48">
        <v>128.26</v>
      </c>
      <c r="E55" s="829">
        <v>1</v>
      </c>
      <c r="F55" s="833">
        <v>47.86</v>
      </c>
      <c r="G55" s="831">
        <v>2024014901</v>
      </c>
      <c r="H55" s="43"/>
      <c r="I55" s="43" t="s">
        <v>86</v>
      </c>
      <c r="J55" s="49"/>
      <c r="K55" s="49"/>
      <c r="L55" s="49"/>
      <c r="M55" s="49"/>
      <c r="N55" s="49"/>
      <c r="O55" s="49"/>
      <c r="P55" s="49"/>
      <c r="Q55" s="49"/>
      <c r="R55" s="49"/>
      <c r="S55" s="49"/>
    </row>
    <row r="56" spans="1:19" ht="18.75" customHeight="1">
      <c r="A56" s="828">
        <v>6242</v>
      </c>
      <c r="B56" s="828" t="s">
        <v>319</v>
      </c>
      <c r="C56" s="826"/>
      <c r="D56" s="46"/>
      <c r="E56" s="829"/>
      <c r="F56" s="833">
        <v>191.44</v>
      </c>
      <c r="G56" s="831">
        <v>2024014901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</row>
    <row r="57" spans="1:19" ht="18.75" customHeight="1">
      <c r="A57" s="828">
        <v>6243</v>
      </c>
      <c r="B57" s="828" t="s">
        <v>325</v>
      </c>
      <c r="C57" s="826" t="s">
        <v>13</v>
      </c>
      <c r="D57" s="48">
        <v>324.72000000000003</v>
      </c>
      <c r="E57" s="829">
        <v>0.18995371164066499</v>
      </c>
      <c r="F57" s="833">
        <v>287.17</v>
      </c>
      <c r="G57" s="831">
        <v>2024014901</v>
      </c>
      <c r="H57" s="43"/>
      <c r="I57" s="43" t="s">
        <v>86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</row>
    <row r="58" spans="1:19" ht="18.75" customHeight="1">
      <c r="A58" s="828">
        <v>6244</v>
      </c>
      <c r="B58" s="828" t="s">
        <v>294</v>
      </c>
      <c r="C58" s="826" t="s">
        <v>13</v>
      </c>
      <c r="D58" s="48"/>
      <c r="E58" s="829">
        <v>1</v>
      </c>
      <c r="F58" s="833">
        <v>19.14</v>
      </c>
      <c r="G58" s="831">
        <v>2024014901</v>
      </c>
      <c r="H58" s="43" t="s">
        <v>86</v>
      </c>
      <c r="I58" s="43"/>
      <c r="J58" s="49"/>
      <c r="K58" s="49"/>
      <c r="L58" s="49"/>
      <c r="M58" s="49"/>
      <c r="N58" s="49"/>
      <c r="O58" s="49"/>
      <c r="P58" s="49"/>
      <c r="Q58" s="49"/>
      <c r="R58" s="49"/>
      <c r="S58" s="49"/>
    </row>
    <row r="59" spans="1:19" ht="18.75" customHeight="1">
      <c r="A59" s="828">
        <v>6245</v>
      </c>
      <c r="B59" s="828" t="s">
        <v>419</v>
      </c>
      <c r="C59" s="826"/>
      <c r="D59" s="46"/>
      <c r="E59" s="829"/>
      <c r="F59" s="833">
        <v>574.33000000000004</v>
      </c>
      <c r="G59" s="831">
        <v>2024014901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</row>
    <row r="60" spans="1:19" ht="18.75" customHeight="1">
      <c r="A60" s="828">
        <v>6246</v>
      </c>
      <c r="B60" s="828" t="s">
        <v>350</v>
      </c>
      <c r="C60" s="826" t="s">
        <v>13</v>
      </c>
      <c r="D60" s="48"/>
      <c r="E60" s="829">
        <v>1.30001714383679</v>
      </c>
      <c r="F60" s="833">
        <v>47.86</v>
      </c>
      <c r="G60" s="831">
        <v>2024014901</v>
      </c>
      <c r="H60" s="43" t="s">
        <v>86</v>
      </c>
      <c r="I60" s="43"/>
      <c r="J60" s="49"/>
      <c r="K60" s="49"/>
      <c r="L60" s="49"/>
      <c r="M60" s="49"/>
      <c r="N60" s="49"/>
      <c r="O60" s="49"/>
      <c r="P60" s="49"/>
      <c r="Q60" s="49"/>
      <c r="R60" s="49"/>
      <c r="S60" s="49"/>
    </row>
    <row r="61" spans="1:19" ht="18.75" customHeight="1">
      <c r="A61" s="828">
        <v>6247</v>
      </c>
      <c r="B61" s="828" t="s">
        <v>209</v>
      </c>
      <c r="C61" s="826" t="s">
        <v>13</v>
      </c>
      <c r="D61" s="48"/>
      <c r="E61" s="829">
        <v>0.20006857534716299</v>
      </c>
      <c r="F61" s="833">
        <v>239.31</v>
      </c>
      <c r="G61" s="831">
        <v>2024014901</v>
      </c>
      <c r="H61" s="43"/>
      <c r="I61" s="43" t="s">
        <v>86</v>
      </c>
      <c r="J61" s="49"/>
      <c r="K61" s="49"/>
      <c r="L61" s="49"/>
      <c r="M61" s="49"/>
      <c r="N61" s="49"/>
      <c r="O61" s="49"/>
      <c r="P61" s="49"/>
      <c r="Q61" s="49"/>
      <c r="R61" s="49"/>
      <c r="S61" s="49"/>
    </row>
    <row r="62" spans="1:19" ht="18.75" customHeight="1">
      <c r="A62" s="828">
        <v>6249</v>
      </c>
      <c r="B62" s="828" t="s">
        <v>172</v>
      </c>
      <c r="C62" s="826" t="s">
        <v>13</v>
      </c>
      <c r="D62" s="48"/>
      <c r="E62" s="829">
        <v>1.30001714383679</v>
      </c>
      <c r="F62" s="833">
        <v>67</v>
      </c>
      <c r="G62" s="831">
        <v>2024014901</v>
      </c>
      <c r="H62" s="43" t="s">
        <v>86</v>
      </c>
      <c r="I62" s="43"/>
      <c r="J62" s="49"/>
      <c r="K62" s="49"/>
      <c r="L62" s="49"/>
      <c r="M62" s="49"/>
      <c r="N62" s="49"/>
      <c r="O62" s="49"/>
      <c r="P62" s="49"/>
      <c r="Q62" s="49"/>
      <c r="R62" s="49"/>
      <c r="S62" s="49"/>
    </row>
    <row r="63" spans="1:19" ht="18.75" customHeight="1">
      <c r="A63" s="828">
        <v>6250</v>
      </c>
      <c r="B63" s="828" t="s">
        <v>330</v>
      </c>
      <c r="C63" s="826" t="s">
        <v>13</v>
      </c>
      <c r="D63" s="48">
        <v>45.46</v>
      </c>
      <c r="E63" s="829">
        <v>2</v>
      </c>
      <c r="F63" s="833">
        <v>47.86</v>
      </c>
      <c r="G63" s="831">
        <v>2024014901</v>
      </c>
      <c r="H63" s="43" t="s">
        <v>86</v>
      </c>
      <c r="I63" s="43"/>
      <c r="J63" s="49"/>
      <c r="K63" s="49"/>
      <c r="L63" s="49"/>
      <c r="M63" s="49"/>
      <c r="N63" s="49"/>
      <c r="O63" s="49"/>
      <c r="P63" s="49"/>
      <c r="Q63" s="49"/>
      <c r="R63" s="49"/>
      <c r="S63" s="49"/>
    </row>
    <row r="64" spans="1:19" ht="18.75" customHeight="1">
      <c r="A64" s="828">
        <v>6252</v>
      </c>
      <c r="B64" s="828" t="s">
        <v>436</v>
      </c>
      <c r="C64" s="826" t="s">
        <v>13</v>
      </c>
      <c r="D64" s="48"/>
      <c r="E64" s="829">
        <v>2.5000857191839501</v>
      </c>
      <c r="F64" s="833">
        <v>17.23</v>
      </c>
      <c r="G64" s="831">
        <v>2021014001</v>
      </c>
      <c r="H64" s="43" t="s">
        <v>86</v>
      </c>
      <c r="I64" s="43"/>
      <c r="J64" s="49"/>
      <c r="K64" s="49"/>
      <c r="L64" s="49"/>
      <c r="M64" s="49"/>
      <c r="N64" s="49"/>
      <c r="O64" s="49"/>
      <c r="P64" s="49"/>
      <c r="Q64" s="49"/>
      <c r="R64" s="49"/>
      <c r="S64" s="49"/>
    </row>
    <row r="65" spans="1:19" ht="18.75" customHeight="1">
      <c r="A65" s="828">
        <v>6253</v>
      </c>
      <c r="B65" s="828" t="s">
        <v>329</v>
      </c>
      <c r="C65" s="826"/>
      <c r="D65" s="46"/>
      <c r="E65" s="829"/>
      <c r="F65" s="833">
        <v>47.86</v>
      </c>
      <c r="G65" s="831">
        <v>2024014901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</row>
    <row r="66" spans="1:19" ht="18.75" customHeight="1">
      <c r="A66" s="828">
        <v>6254</v>
      </c>
      <c r="B66" s="828" t="s">
        <v>331</v>
      </c>
      <c r="C66" s="826"/>
      <c r="D66" s="46"/>
      <c r="E66" s="829"/>
      <c r="F66" s="833">
        <v>47.86</v>
      </c>
      <c r="G66" s="831">
        <v>2024014901</v>
      </c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</row>
    <row r="67" spans="1:19" ht="18.75" customHeight="1">
      <c r="A67" s="828">
        <v>6255</v>
      </c>
      <c r="B67" s="828" t="s">
        <v>196</v>
      </c>
      <c r="C67" s="826"/>
      <c r="D67" s="46"/>
      <c r="E67" s="829"/>
      <c r="F67" s="833">
        <v>124.44</v>
      </c>
      <c r="G67" s="831">
        <v>2024014901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</row>
    <row r="68" spans="1:19" ht="18.75" customHeight="1">
      <c r="A68" s="828">
        <v>6280</v>
      </c>
      <c r="B68" s="828" t="s">
        <v>123</v>
      </c>
      <c r="C68" s="826" t="s">
        <v>13</v>
      </c>
      <c r="D68" s="48"/>
      <c r="E68" s="829">
        <v>0.50008571918395295</v>
      </c>
      <c r="F68" s="833">
        <v>95.72</v>
      </c>
      <c r="G68" s="831">
        <v>2024014901</v>
      </c>
      <c r="H68" s="43" t="s">
        <v>86</v>
      </c>
      <c r="I68" s="43"/>
      <c r="J68" s="49"/>
      <c r="K68" s="49"/>
      <c r="L68" s="49"/>
      <c r="M68" s="49"/>
      <c r="N68" s="49"/>
      <c r="O68" s="49"/>
      <c r="P68" s="49"/>
      <c r="Q68" s="49"/>
      <c r="R68" s="49"/>
      <c r="S68" s="49"/>
    </row>
    <row r="69" spans="1:19" ht="18.75" customHeight="1">
      <c r="A69" s="828">
        <v>6281</v>
      </c>
      <c r="B69" s="828" t="s">
        <v>153</v>
      </c>
      <c r="C69" s="826" t="s">
        <v>13</v>
      </c>
      <c r="D69" s="48"/>
      <c r="E69" s="829">
        <v>3</v>
      </c>
      <c r="F69" s="833">
        <v>95.72</v>
      </c>
      <c r="G69" s="831">
        <v>2021014001</v>
      </c>
      <c r="H69" s="43" t="s">
        <v>86</v>
      </c>
      <c r="I69" s="43"/>
      <c r="J69" s="49"/>
      <c r="K69" s="49"/>
      <c r="L69" s="49"/>
      <c r="M69" s="49"/>
      <c r="N69" s="49"/>
      <c r="O69" s="49"/>
      <c r="P69" s="49"/>
      <c r="Q69" s="49"/>
      <c r="R69" s="49"/>
      <c r="S69" s="49"/>
    </row>
    <row r="70" spans="1:19" ht="18.75" customHeight="1">
      <c r="A70" s="828">
        <v>6284</v>
      </c>
      <c r="B70" s="828" t="s">
        <v>142</v>
      </c>
      <c r="C70" s="826" t="s">
        <v>13</v>
      </c>
      <c r="D70" s="48"/>
      <c r="E70" s="829">
        <v>1.5000857191839501</v>
      </c>
      <c r="F70" s="833">
        <v>191.44</v>
      </c>
      <c r="G70" s="831">
        <v>2024014901</v>
      </c>
      <c r="H70" s="43" t="s">
        <v>86</v>
      </c>
      <c r="I70" s="43"/>
      <c r="J70" s="49"/>
      <c r="K70" s="49"/>
      <c r="L70" s="49"/>
      <c r="M70" s="49"/>
      <c r="N70" s="49"/>
      <c r="O70" s="49"/>
      <c r="P70" s="49"/>
      <c r="Q70" s="49"/>
      <c r="R70" s="49"/>
      <c r="S70" s="49"/>
    </row>
    <row r="71" spans="1:19" ht="18.75" customHeight="1">
      <c r="A71" s="828">
        <v>6285</v>
      </c>
      <c r="B71" s="828" t="s">
        <v>138</v>
      </c>
      <c r="C71" s="826" t="s">
        <v>13</v>
      </c>
      <c r="D71" s="48"/>
      <c r="E71" s="829">
        <v>0.84999142808160499</v>
      </c>
      <c r="F71" s="833">
        <v>191.44</v>
      </c>
      <c r="G71" s="831">
        <v>2024014901</v>
      </c>
      <c r="H71" s="43"/>
      <c r="I71" s="43" t="s">
        <v>86</v>
      </c>
      <c r="J71" s="49"/>
      <c r="K71" s="49"/>
      <c r="L71" s="49"/>
      <c r="M71" s="49"/>
      <c r="N71" s="49"/>
      <c r="O71" s="49"/>
      <c r="P71" s="49"/>
      <c r="Q71" s="49"/>
      <c r="R71" s="49"/>
      <c r="S71" s="49"/>
    </row>
    <row r="72" spans="1:19" ht="18.75" customHeight="1">
      <c r="A72" s="828">
        <v>6286</v>
      </c>
      <c r="B72" s="828" t="s">
        <v>140</v>
      </c>
      <c r="C72" s="826" t="s">
        <v>13</v>
      </c>
      <c r="D72" s="48"/>
      <c r="E72" s="829">
        <v>1</v>
      </c>
      <c r="F72" s="833">
        <v>191.44</v>
      </c>
      <c r="G72" s="831">
        <v>2024014901</v>
      </c>
      <c r="H72" s="43" t="s">
        <v>86</v>
      </c>
      <c r="I72" s="43"/>
      <c r="J72" s="49"/>
      <c r="K72" s="49"/>
      <c r="L72" s="49"/>
      <c r="M72" s="49"/>
      <c r="N72" s="49"/>
      <c r="O72" s="49"/>
      <c r="P72" s="49"/>
      <c r="Q72" s="49"/>
      <c r="R72" s="49"/>
      <c r="S72" s="49"/>
    </row>
    <row r="73" spans="1:19" ht="18.75" customHeight="1">
      <c r="A73" s="828">
        <v>6287</v>
      </c>
      <c r="B73" s="828" t="s">
        <v>133</v>
      </c>
      <c r="C73" s="826"/>
      <c r="D73" s="46"/>
      <c r="E73" s="829"/>
      <c r="F73" s="833">
        <v>191.44</v>
      </c>
      <c r="G73" s="831">
        <v>2024014901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</row>
    <row r="74" spans="1:19" ht="18.75" customHeight="1">
      <c r="A74" s="828">
        <v>6288</v>
      </c>
      <c r="B74" s="828" t="s">
        <v>431</v>
      </c>
      <c r="C74" s="826"/>
      <c r="D74" s="46"/>
      <c r="E74" s="829"/>
      <c r="F74" s="833">
        <v>28.72</v>
      </c>
      <c r="G74" s="831">
        <v>2024014901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</row>
    <row r="75" spans="1:19" ht="18.75" customHeight="1">
      <c r="A75" s="828">
        <v>6289</v>
      </c>
      <c r="B75" s="828" t="s">
        <v>179</v>
      </c>
      <c r="C75" s="826" t="s">
        <v>13</v>
      </c>
      <c r="D75" s="48">
        <v>58.45</v>
      </c>
      <c r="E75" s="829">
        <v>1</v>
      </c>
      <c r="F75" s="833">
        <v>430.75</v>
      </c>
      <c r="G75" s="831">
        <v>2024014901</v>
      </c>
      <c r="H75" s="43" t="s">
        <v>86</v>
      </c>
      <c r="I75" s="43"/>
      <c r="J75" s="49"/>
      <c r="K75" s="49"/>
      <c r="L75" s="49"/>
      <c r="M75" s="49"/>
      <c r="N75" s="49"/>
      <c r="O75" s="49"/>
      <c r="P75" s="49"/>
      <c r="Q75" s="49"/>
      <c r="R75" s="49"/>
      <c r="S75" s="49"/>
    </row>
    <row r="76" spans="1:19" ht="18.75" customHeight="1">
      <c r="A76" s="828">
        <v>6290</v>
      </c>
      <c r="B76" s="828" t="s">
        <v>185</v>
      </c>
      <c r="C76" s="826" t="s">
        <v>105</v>
      </c>
      <c r="D76" s="48"/>
      <c r="E76" s="829">
        <v>0.69998285616320899</v>
      </c>
      <c r="F76" s="833">
        <v>287.17</v>
      </c>
      <c r="G76" s="831">
        <v>2024014901</v>
      </c>
      <c r="H76" s="43"/>
      <c r="I76" s="43" t="s">
        <v>86</v>
      </c>
      <c r="J76" s="49"/>
      <c r="K76" s="49"/>
      <c r="L76" s="49"/>
      <c r="M76" s="49"/>
      <c r="N76" s="49"/>
      <c r="O76" s="49"/>
      <c r="P76" s="49"/>
      <c r="Q76" s="49"/>
      <c r="R76" s="49"/>
      <c r="S76" s="49"/>
    </row>
    <row r="77" spans="1:19" ht="18.75" customHeight="1">
      <c r="A77" s="828">
        <v>6291</v>
      </c>
      <c r="B77" s="828" t="s">
        <v>186</v>
      </c>
      <c r="C77" s="826"/>
      <c r="D77" s="46"/>
      <c r="E77" s="829"/>
      <c r="F77" s="833">
        <v>287.17</v>
      </c>
      <c r="G77" s="831">
        <v>2024014901</v>
      </c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</row>
    <row r="78" spans="1:19" ht="18.75" customHeight="1">
      <c r="A78" s="828">
        <v>6294</v>
      </c>
      <c r="B78" s="828" t="s">
        <v>85</v>
      </c>
      <c r="C78" s="826" t="s">
        <v>13</v>
      </c>
      <c r="D78" s="48">
        <v>138.01</v>
      </c>
      <c r="E78" s="829">
        <v>1</v>
      </c>
      <c r="F78" s="833">
        <v>47.86</v>
      </c>
      <c r="G78" s="831">
        <v>2024014901</v>
      </c>
      <c r="H78" s="43" t="s">
        <v>86</v>
      </c>
      <c r="I78" s="43"/>
      <c r="J78" s="49"/>
      <c r="K78" s="49"/>
      <c r="L78" s="49"/>
      <c r="M78" s="49"/>
      <c r="N78" s="49"/>
      <c r="O78" s="49"/>
      <c r="P78" s="49"/>
      <c r="Q78" s="49"/>
      <c r="R78" s="49"/>
      <c r="S78" s="49"/>
    </row>
    <row r="79" spans="1:19" ht="18.75" customHeight="1">
      <c r="A79" s="828">
        <v>6295</v>
      </c>
      <c r="B79" s="828" t="s">
        <v>363</v>
      </c>
      <c r="C79" s="826"/>
      <c r="D79" s="46"/>
      <c r="E79" s="829"/>
      <c r="F79" s="833">
        <v>9.58</v>
      </c>
      <c r="G79" s="831">
        <v>2024014901</v>
      </c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</row>
    <row r="80" spans="1:19" ht="18.75" customHeight="1">
      <c r="A80" s="828">
        <v>6296</v>
      </c>
      <c r="B80" s="828" t="s">
        <v>182</v>
      </c>
      <c r="C80" s="826"/>
      <c r="D80" s="46"/>
      <c r="E80" s="829"/>
      <c r="F80" s="833">
        <v>19.14</v>
      </c>
      <c r="G80" s="831">
        <v>2024014901</v>
      </c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</row>
    <row r="81" spans="1:19" ht="18.75" customHeight="1">
      <c r="A81" s="828">
        <v>6297</v>
      </c>
      <c r="B81" s="828" t="s">
        <v>183</v>
      </c>
      <c r="C81" s="826"/>
      <c r="D81" s="46"/>
      <c r="E81" s="829"/>
      <c r="F81" s="833">
        <v>19.14</v>
      </c>
      <c r="G81" s="831">
        <v>2024014901</v>
      </c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</row>
    <row r="82" spans="1:19" ht="18.75" customHeight="1">
      <c r="A82" s="828">
        <v>6298</v>
      </c>
      <c r="B82" s="828" t="s">
        <v>184</v>
      </c>
      <c r="C82" s="826" t="s">
        <v>13</v>
      </c>
      <c r="D82" s="48">
        <v>162.36000000000001</v>
      </c>
      <c r="E82" s="829">
        <v>2</v>
      </c>
      <c r="F82" s="833">
        <v>19.14</v>
      </c>
      <c r="G82" s="831">
        <v>2021014001</v>
      </c>
      <c r="H82" s="43"/>
      <c r="I82" s="43" t="s">
        <v>86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</row>
    <row r="83" spans="1:19" ht="18.75" customHeight="1">
      <c r="A83" s="828">
        <v>6299</v>
      </c>
      <c r="B83" s="828" t="s">
        <v>218</v>
      </c>
      <c r="C83" s="826" t="s">
        <v>13</v>
      </c>
      <c r="D83" s="48"/>
      <c r="E83" s="829">
        <v>2.2972741299502799E-2</v>
      </c>
      <c r="F83" s="833">
        <v>86.15</v>
      </c>
      <c r="G83" s="831">
        <v>2024014901</v>
      </c>
      <c r="H83" s="43" t="s">
        <v>86</v>
      </c>
      <c r="I83" s="43"/>
      <c r="J83" s="49"/>
      <c r="K83" s="49"/>
      <c r="L83" s="49"/>
      <c r="M83" s="49"/>
      <c r="N83" s="49"/>
      <c r="O83" s="49"/>
      <c r="P83" s="49"/>
      <c r="Q83" s="49"/>
      <c r="R83" s="49"/>
      <c r="S83" s="49"/>
    </row>
    <row r="84" spans="1:19" ht="18.75" customHeight="1">
      <c r="A84" s="828">
        <v>6309</v>
      </c>
      <c r="B84" s="828" t="s">
        <v>321</v>
      </c>
      <c r="C84" s="826" t="s">
        <v>13</v>
      </c>
      <c r="D84" s="48"/>
      <c r="E84" s="829">
        <v>2.2799588547916998</v>
      </c>
      <c r="F84" s="833">
        <v>95.72</v>
      </c>
      <c r="G84" s="831">
        <v>2024014901</v>
      </c>
      <c r="H84" s="43" t="s">
        <v>86</v>
      </c>
      <c r="I84" s="43" t="s">
        <v>86</v>
      </c>
      <c r="J84" s="49"/>
      <c r="K84" s="49"/>
      <c r="L84" s="49"/>
      <c r="M84" s="49"/>
      <c r="N84" s="49"/>
      <c r="O84" s="49"/>
      <c r="P84" s="49"/>
      <c r="Q84" s="49"/>
      <c r="R84" s="49"/>
      <c r="S84" s="49"/>
    </row>
    <row r="85" spans="1:19" ht="18.75" customHeight="1">
      <c r="A85" s="828">
        <v>6311</v>
      </c>
      <c r="B85" s="828" t="s">
        <v>301</v>
      </c>
      <c r="C85" s="826" t="s">
        <v>13</v>
      </c>
      <c r="D85" s="48"/>
      <c r="E85" s="829">
        <v>2</v>
      </c>
      <c r="F85" s="833">
        <v>47.86</v>
      </c>
      <c r="G85" s="831">
        <v>2024014901</v>
      </c>
      <c r="H85" s="43" t="s">
        <v>86</v>
      </c>
      <c r="I85" s="43"/>
      <c r="J85" s="49"/>
      <c r="K85" s="49"/>
      <c r="L85" s="49"/>
      <c r="M85" s="49"/>
      <c r="N85" s="49"/>
      <c r="O85" s="49"/>
      <c r="P85" s="49"/>
      <c r="Q85" s="49"/>
      <c r="R85" s="49"/>
      <c r="S85" s="49"/>
    </row>
    <row r="86" spans="1:19" ht="18.75" customHeight="1">
      <c r="A86" s="828">
        <v>6315</v>
      </c>
      <c r="B86" s="828" t="s">
        <v>338</v>
      </c>
      <c r="C86" s="826"/>
      <c r="D86" s="46"/>
      <c r="E86" s="829"/>
      <c r="F86" s="833">
        <v>47.86</v>
      </c>
      <c r="G86" s="831">
        <v>2024014901</v>
      </c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</row>
    <row r="87" spans="1:19" ht="18.75" customHeight="1">
      <c r="A87" s="828">
        <v>6316</v>
      </c>
      <c r="B87" s="828" t="s">
        <v>96</v>
      </c>
      <c r="C87" s="826"/>
      <c r="D87" s="46"/>
      <c r="E87" s="829"/>
      <c r="F87" s="833">
        <v>239.31</v>
      </c>
      <c r="G87" s="831">
        <v>2024014901</v>
      </c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</row>
    <row r="88" spans="1:19" ht="18.75" customHeight="1">
      <c r="A88" s="828">
        <v>6317</v>
      </c>
      <c r="B88" s="828" t="s">
        <v>191</v>
      </c>
      <c r="C88" s="826" t="s">
        <v>13</v>
      </c>
      <c r="D88" s="48"/>
      <c r="E88" s="829">
        <v>5.0060003428767402E-2</v>
      </c>
      <c r="F88" s="833">
        <v>287.17</v>
      </c>
      <c r="G88" s="831">
        <v>2021014001</v>
      </c>
      <c r="H88" s="43"/>
      <c r="I88" s="43" t="s">
        <v>86</v>
      </c>
      <c r="J88" s="49"/>
      <c r="K88" s="49"/>
      <c r="L88" s="49"/>
      <c r="M88" s="49"/>
      <c r="N88" s="49"/>
      <c r="O88" s="49"/>
      <c r="P88" s="49"/>
      <c r="Q88" s="49"/>
      <c r="R88" s="49"/>
      <c r="S88" s="49"/>
    </row>
    <row r="89" spans="1:19" ht="18.75" customHeight="1">
      <c r="A89" s="828">
        <v>6318</v>
      </c>
      <c r="B89" s="828" t="s">
        <v>208</v>
      </c>
      <c r="C89" s="826" t="s">
        <v>13</v>
      </c>
      <c r="D89" s="48"/>
      <c r="E89" s="829">
        <v>2.2799588547916998</v>
      </c>
      <c r="F89" s="833">
        <v>95.72</v>
      </c>
      <c r="G89" s="831">
        <v>2024014901</v>
      </c>
      <c r="H89" s="43" t="s">
        <v>86</v>
      </c>
      <c r="I89" s="43" t="s">
        <v>86</v>
      </c>
      <c r="J89" s="49"/>
      <c r="K89" s="49"/>
      <c r="L89" s="49"/>
      <c r="M89" s="49"/>
      <c r="N89" s="49"/>
      <c r="O89" s="49"/>
      <c r="P89" s="49"/>
      <c r="Q89" s="49"/>
      <c r="R89" s="49"/>
      <c r="S89" s="49"/>
    </row>
    <row r="90" spans="1:19" ht="18.75" customHeight="1">
      <c r="A90" s="828">
        <v>6319</v>
      </c>
      <c r="B90" s="828" t="s">
        <v>253</v>
      </c>
      <c r="C90" s="826" t="s">
        <v>13</v>
      </c>
      <c r="D90" s="48"/>
      <c r="E90" s="829">
        <v>0.69998285616320899</v>
      </c>
      <c r="F90" s="833">
        <v>57.44</v>
      </c>
      <c r="G90" s="831">
        <v>2024014901</v>
      </c>
      <c r="H90" s="43" t="s">
        <v>86</v>
      </c>
      <c r="I90" s="43"/>
      <c r="J90" s="49"/>
      <c r="K90" s="49"/>
      <c r="L90" s="49"/>
      <c r="M90" s="49"/>
      <c r="N90" s="49"/>
      <c r="O90" s="49"/>
      <c r="P90" s="49"/>
      <c r="Q90" s="49"/>
      <c r="R90" s="49"/>
      <c r="S90" s="49"/>
    </row>
    <row r="91" spans="1:19" ht="18.75" customHeight="1">
      <c r="A91" s="828">
        <v>6322</v>
      </c>
      <c r="B91" s="828" t="s">
        <v>225</v>
      </c>
      <c r="C91" s="826" t="s">
        <v>13</v>
      </c>
      <c r="D91" s="48">
        <v>162.36000000000001</v>
      </c>
      <c r="E91" s="829">
        <v>0.20006857534716299</v>
      </c>
      <c r="F91" s="833">
        <v>1194.6099999999999</v>
      </c>
      <c r="G91" s="831">
        <v>2024014901</v>
      </c>
      <c r="H91" s="43" t="s">
        <v>86</v>
      </c>
      <c r="I91" s="43"/>
      <c r="J91" s="49"/>
      <c r="K91" s="49"/>
      <c r="L91" s="49"/>
      <c r="M91" s="49"/>
      <c r="N91" s="49"/>
      <c r="O91" s="49"/>
      <c r="P91" s="49"/>
      <c r="Q91" s="49"/>
      <c r="R91" s="49"/>
      <c r="S91" s="49"/>
    </row>
    <row r="92" spans="1:19" ht="18.75" customHeight="1">
      <c r="A92" s="828">
        <v>6325</v>
      </c>
      <c r="B92" s="828" t="s">
        <v>296</v>
      </c>
      <c r="C92" s="826" t="s">
        <v>13</v>
      </c>
      <c r="D92" s="48">
        <v>2273.04</v>
      </c>
      <c r="E92" s="829">
        <v>6.0003428767358098E-2</v>
      </c>
      <c r="F92" s="833">
        <v>478.61</v>
      </c>
      <c r="G92" s="831">
        <v>2021014001</v>
      </c>
      <c r="H92" s="43"/>
      <c r="I92" s="43" t="s">
        <v>86</v>
      </c>
      <c r="J92" s="49"/>
      <c r="K92" s="49"/>
      <c r="L92" s="49"/>
      <c r="M92" s="49"/>
      <c r="N92" s="49"/>
      <c r="O92" s="49"/>
      <c r="P92" s="49"/>
      <c r="Q92" s="49"/>
      <c r="R92" s="49"/>
      <c r="S92" s="49"/>
    </row>
    <row r="93" spans="1:19" ht="18.75" customHeight="1">
      <c r="A93" s="828">
        <v>6327</v>
      </c>
      <c r="B93" s="828" t="s">
        <v>279</v>
      </c>
      <c r="C93" s="826"/>
      <c r="D93" s="46"/>
      <c r="E93" s="829"/>
      <c r="F93" s="833">
        <v>478.61</v>
      </c>
      <c r="G93" s="831">
        <v>2024014901</v>
      </c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</row>
    <row r="94" spans="1:19" ht="18.75" customHeight="1">
      <c r="A94" s="828">
        <v>6329</v>
      </c>
      <c r="B94" s="828" t="s">
        <v>327</v>
      </c>
      <c r="C94" s="826" t="s">
        <v>13</v>
      </c>
      <c r="D94" s="48"/>
      <c r="E94" s="829">
        <v>0.93999657123264202</v>
      </c>
      <c r="F94" s="833">
        <v>2105.89</v>
      </c>
      <c r="G94" s="831">
        <v>2024014901</v>
      </c>
      <c r="H94" s="43" t="s">
        <v>86</v>
      </c>
      <c r="I94" s="43" t="s">
        <v>86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</row>
    <row r="95" spans="1:19" ht="18.75" customHeight="1">
      <c r="A95" s="828">
        <v>6330</v>
      </c>
      <c r="B95" s="828" t="s">
        <v>328</v>
      </c>
      <c r="C95" s="826" t="s">
        <v>13</v>
      </c>
      <c r="D95" s="48"/>
      <c r="E95" s="829">
        <v>2.0200582890450902</v>
      </c>
      <c r="F95" s="833">
        <v>2393.06</v>
      </c>
      <c r="G95" s="831">
        <v>2024014901</v>
      </c>
      <c r="H95" s="43" t="s">
        <v>86</v>
      </c>
      <c r="I95" s="43" t="s">
        <v>86</v>
      </c>
      <c r="J95" s="49"/>
      <c r="K95" s="49"/>
      <c r="L95" s="49"/>
      <c r="M95" s="49"/>
      <c r="N95" s="49"/>
      <c r="O95" s="49"/>
      <c r="P95" s="49"/>
      <c r="Q95" s="49"/>
      <c r="R95" s="49"/>
      <c r="S95" s="49"/>
    </row>
    <row r="96" spans="1:19" ht="18.75" customHeight="1">
      <c r="A96" s="828">
        <v>6332</v>
      </c>
      <c r="B96" s="828" t="s">
        <v>334</v>
      </c>
      <c r="C96" s="826" t="s">
        <v>13</v>
      </c>
      <c r="D96" s="48">
        <v>58.45</v>
      </c>
      <c r="E96" s="829">
        <v>3</v>
      </c>
      <c r="F96" s="833">
        <v>1435.83</v>
      </c>
      <c r="G96" s="831">
        <v>2021014001</v>
      </c>
      <c r="H96" s="43"/>
      <c r="I96" s="43" t="s">
        <v>86</v>
      </c>
      <c r="J96" s="49"/>
      <c r="K96" s="49"/>
      <c r="L96" s="49"/>
      <c r="M96" s="49"/>
      <c r="N96" s="49"/>
      <c r="O96" s="49"/>
      <c r="P96" s="49"/>
      <c r="Q96" s="49"/>
      <c r="R96" s="49"/>
      <c r="S96" s="49"/>
    </row>
    <row r="97" spans="1:19" ht="18.75" customHeight="1">
      <c r="A97" s="828">
        <v>6333</v>
      </c>
      <c r="B97" s="828" t="s">
        <v>342</v>
      </c>
      <c r="C97" s="826" t="s">
        <v>13</v>
      </c>
      <c r="D97" s="48"/>
      <c r="E97" s="829">
        <v>60</v>
      </c>
      <c r="F97" s="833">
        <v>4.78</v>
      </c>
      <c r="G97" s="831">
        <v>2024014901</v>
      </c>
      <c r="H97" s="43" t="s">
        <v>86</v>
      </c>
      <c r="I97" s="43"/>
      <c r="J97" s="49"/>
      <c r="K97" s="49"/>
      <c r="L97" s="49"/>
      <c r="M97" s="49"/>
      <c r="N97" s="49"/>
      <c r="O97" s="49"/>
      <c r="P97" s="49"/>
      <c r="Q97" s="49"/>
      <c r="R97" s="49"/>
      <c r="S97" s="49"/>
    </row>
    <row r="98" spans="1:19" ht="18.75" customHeight="1">
      <c r="A98" s="828">
        <v>6335</v>
      </c>
      <c r="B98" s="828" t="s">
        <v>357</v>
      </c>
      <c r="C98" s="826" t="s">
        <v>13</v>
      </c>
      <c r="D98" s="48"/>
      <c r="E98" s="829">
        <v>10.4800274301389</v>
      </c>
      <c r="F98" s="833">
        <v>47.86</v>
      </c>
      <c r="G98" s="831">
        <v>2024014901</v>
      </c>
      <c r="H98" s="43" t="s">
        <v>86</v>
      </c>
      <c r="I98" s="43" t="s">
        <v>86</v>
      </c>
      <c r="J98" s="49"/>
      <c r="K98" s="49"/>
      <c r="L98" s="49"/>
      <c r="M98" s="49"/>
      <c r="N98" s="49"/>
      <c r="O98" s="49"/>
      <c r="P98" s="49"/>
      <c r="Q98" s="49"/>
      <c r="R98" s="49"/>
      <c r="S98" s="49"/>
    </row>
    <row r="99" spans="1:19" ht="18.75" customHeight="1">
      <c r="A99" s="828">
        <v>6336</v>
      </c>
      <c r="B99" s="828" t="s">
        <v>406</v>
      </c>
      <c r="C99" s="826" t="s">
        <v>13</v>
      </c>
      <c r="D99" s="48">
        <v>193.21</v>
      </c>
      <c r="E99" s="829">
        <v>1.2499571404080201</v>
      </c>
      <c r="F99" s="833">
        <v>604.01</v>
      </c>
      <c r="G99" s="831">
        <v>2024014901</v>
      </c>
      <c r="H99" s="43"/>
      <c r="I99" s="43" t="s">
        <v>86</v>
      </c>
      <c r="J99" s="49"/>
      <c r="K99" s="49"/>
      <c r="L99" s="49"/>
      <c r="M99" s="49"/>
      <c r="N99" s="49"/>
      <c r="O99" s="49"/>
      <c r="P99" s="49"/>
      <c r="Q99" s="49"/>
      <c r="R99" s="49"/>
      <c r="S99" s="49"/>
    </row>
    <row r="100" spans="1:19" ht="18.75" customHeight="1">
      <c r="A100" s="828">
        <v>6338</v>
      </c>
      <c r="B100" s="828" t="s">
        <v>407</v>
      </c>
      <c r="C100" s="826" t="s">
        <v>13</v>
      </c>
      <c r="D100" s="48">
        <v>193.21</v>
      </c>
      <c r="E100" s="829">
        <v>4.5000857191839501</v>
      </c>
      <c r="F100" s="833">
        <v>409.99</v>
      </c>
      <c r="G100" s="831">
        <v>2024014901</v>
      </c>
      <c r="H100" s="43" t="s">
        <v>86</v>
      </c>
      <c r="I100" s="43"/>
      <c r="J100" s="49"/>
      <c r="K100" s="49"/>
      <c r="L100" s="49"/>
      <c r="M100" s="49"/>
      <c r="N100" s="49"/>
      <c r="O100" s="49"/>
      <c r="P100" s="49"/>
      <c r="Q100" s="49"/>
      <c r="R100" s="49"/>
      <c r="S100" s="49"/>
    </row>
    <row r="101" spans="1:19" ht="18.75" customHeight="1">
      <c r="A101" s="828">
        <v>6339</v>
      </c>
      <c r="B101" s="828" t="s">
        <v>413</v>
      </c>
      <c r="C101" s="826" t="s">
        <v>13</v>
      </c>
      <c r="D101" s="48"/>
      <c r="E101" s="829">
        <v>6.5499742842448097</v>
      </c>
      <c r="F101" s="833">
        <v>683.45</v>
      </c>
      <c r="G101" s="831">
        <v>2024014901</v>
      </c>
      <c r="H101" s="43" t="s">
        <v>86</v>
      </c>
      <c r="I101" s="43" t="s">
        <v>86</v>
      </c>
      <c r="J101" s="49"/>
      <c r="K101" s="49"/>
      <c r="L101" s="49"/>
      <c r="M101" s="49"/>
      <c r="N101" s="49"/>
      <c r="O101" s="49"/>
      <c r="P101" s="49"/>
      <c r="Q101" s="49"/>
      <c r="R101" s="49"/>
      <c r="S101" s="49"/>
    </row>
    <row r="102" spans="1:19" ht="18.75" customHeight="1">
      <c r="A102" s="828">
        <v>6340</v>
      </c>
      <c r="B102" s="828" t="s">
        <v>414</v>
      </c>
      <c r="C102" s="826" t="s">
        <v>13</v>
      </c>
      <c r="D102" s="48">
        <v>342.58</v>
      </c>
      <c r="E102" s="829">
        <v>1.09994856848963</v>
      </c>
      <c r="F102" s="833">
        <v>939.99</v>
      </c>
      <c r="G102" s="831">
        <v>2024014901</v>
      </c>
      <c r="H102" s="43"/>
      <c r="I102" s="43" t="s">
        <v>86</v>
      </c>
      <c r="J102" s="49"/>
      <c r="K102" s="49"/>
      <c r="L102" s="49"/>
      <c r="M102" s="49"/>
      <c r="N102" s="49"/>
      <c r="O102" s="49"/>
      <c r="P102" s="49"/>
      <c r="Q102" s="49"/>
      <c r="R102" s="49"/>
      <c r="S102" s="49"/>
    </row>
    <row r="103" spans="1:19" ht="18.75" customHeight="1">
      <c r="A103" s="828">
        <v>6343</v>
      </c>
      <c r="B103" s="828" t="s">
        <v>438</v>
      </c>
      <c r="C103" s="826" t="s">
        <v>13</v>
      </c>
      <c r="D103" s="48">
        <v>183.47</v>
      </c>
      <c r="E103" s="829">
        <v>0.75004285959197703</v>
      </c>
      <c r="F103" s="833">
        <v>95.72</v>
      </c>
      <c r="G103" s="831">
        <v>2024014901</v>
      </c>
      <c r="H103" s="43"/>
      <c r="I103" s="43" t="s">
        <v>86</v>
      </c>
      <c r="J103" s="49"/>
      <c r="K103" s="49"/>
      <c r="L103" s="49"/>
      <c r="M103" s="49"/>
      <c r="N103" s="49"/>
      <c r="O103" s="49"/>
      <c r="P103" s="49"/>
      <c r="Q103" s="49"/>
      <c r="R103" s="49"/>
      <c r="S103" s="49"/>
    </row>
    <row r="104" spans="1:19" ht="18.75" customHeight="1">
      <c r="A104" s="828">
        <v>6344</v>
      </c>
      <c r="B104" s="828" t="s">
        <v>92</v>
      </c>
      <c r="C104" s="826" t="s">
        <v>13</v>
      </c>
      <c r="D104" s="48">
        <v>3</v>
      </c>
      <c r="E104" s="829">
        <v>3</v>
      </c>
      <c r="F104" s="833">
        <v>1359.25</v>
      </c>
      <c r="G104" s="831">
        <v>2021014001</v>
      </c>
      <c r="H104" s="43"/>
      <c r="I104" s="43" t="s">
        <v>86</v>
      </c>
      <c r="J104" s="49"/>
      <c r="K104" s="49"/>
      <c r="L104" s="49"/>
      <c r="M104" s="49"/>
      <c r="N104" s="49"/>
      <c r="O104" s="49"/>
      <c r="P104" s="49"/>
      <c r="Q104" s="49"/>
      <c r="R104" s="49"/>
      <c r="S104" s="49"/>
    </row>
    <row r="105" spans="1:19" ht="18.75" customHeight="1">
      <c r="A105" s="828">
        <v>6345</v>
      </c>
      <c r="B105" s="828" t="s">
        <v>91</v>
      </c>
      <c r="C105" s="826" t="s">
        <v>13</v>
      </c>
      <c r="D105" s="48"/>
      <c r="E105" s="829">
        <v>0.75004285959197703</v>
      </c>
      <c r="F105" s="833">
        <v>382.89</v>
      </c>
      <c r="G105" s="831">
        <v>2024014901</v>
      </c>
      <c r="H105" s="43"/>
      <c r="I105" s="43" t="s">
        <v>86</v>
      </c>
      <c r="J105" s="49"/>
      <c r="K105" s="49"/>
      <c r="L105" s="49"/>
      <c r="M105" s="49"/>
      <c r="N105" s="49"/>
      <c r="O105" s="49"/>
      <c r="P105" s="49"/>
      <c r="Q105" s="49"/>
      <c r="R105" s="49"/>
      <c r="S105" s="49"/>
    </row>
    <row r="106" spans="1:19" ht="18.75" customHeight="1">
      <c r="A106" s="828">
        <v>6346</v>
      </c>
      <c r="B106" s="828" t="s">
        <v>143</v>
      </c>
      <c r="C106" s="826" t="s">
        <v>13</v>
      </c>
      <c r="D106" s="48"/>
      <c r="E106" s="829">
        <v>3</v>
      </c>
      <c r="F106" s="833">
        <v>191.44</v>
      </c>
      <c r="G106" s="831">
        <v>2021014001</v>
      </c>
      <c r="H106" s="43"/>
      <c r="I106" s="43" t="s">
        <v>86</v>
      </c>
      <c r="J106" s="49"/>
      <c r="K106" s="49"/>
      <c r="L106" s="49"/>
      <c r="M106" s="49"/>
      <c r="N106" s="49"/>
      <c r="O106" s="49"/>
      <c r="P106" s="49"/>
      <c r="Q106" s="49"/>
      <c r="R106" s="49"/>
      <c r="S106" s="49"/>
    </row>
    <row r="107" spans="1:19" ht="18.75" customHeight="1">
      <c r="A107" s="828">
        <v>6347</v>
      </c>
      <c r="B107" s="828" t="s">
        <v>144</v>
      </c>
      <c r="C107" s="826" t="s">
        <v>13</v>
      </c>
      <c r="D107" s="48">
        <v>324.72000000000003</v>
      </c>
      <c r="E107" s="829">
        <v>3</v>
      </c>
      <c r="F107" s="833">
        <v>86.15</v>
      </c>
      <c r="G107" s="831">
        <v>2024014901</v>
      </c>
      <c r="H107" s="43"/>
      <c r="I107" s="43" t="s">
        <v>86</v>
      </c>
      <c r="J107" s="49"/>
      <c r="K107" s="49"/>
      <c r="L107" s="49"/>
      <c r="M107" s="49"/>
      <c r="N107" s="49"/>
      <c r="O107" s="49"/>
      <c r="P107" s="49"/>
      <c r="Q107" s="49"/>
      <c r="R107" s="49"/>
      <c r="S107" s="49"/>
    </row>
    <row r="108" spans="1:19" ht="18.75" customHeight="1">
      <c r="A108" s="828">
        <v>6348</v>
      </c>
      <c r="B108" s="828" t="s">
        <v>146</v>
      </c>
      <c r="C108" s="826" t="s">
        <v>13</v>
      </c>
      <c r="D108" s="48"/>
      <c r="E108" s="829">
        <v>3</v>
      </c>
      <c r="F108" s="833">
        <v>287.17</v>
      </c>
      <c r="G108" s="831">
        <v>2024014901</v>
      </c>
      <c r="H108" s="43" t="s">
        <v>86</v>
      </c>
      <c r="I108" s="43"/>
      <c r="J108" s="49"/>
      <c r="K108" s="49"/>
      <c r="L108" s="49"/>
      <c r="M108" s="49"/>
      <c r="N108" s="49"/>
      <c r="O108" s="49"/>
      <c r="P108" s="49"/>
      <c r="Q108" s="49"/>
      <c r="R108" s="49"/>
      <c r="S108" s="49"/>
    </row>
    <row r="109" spans="1:19" ht="18.75" customHeight="1">
      <c r="A109" s="828">
        <v>6349</v>
      </c>
      <c r="B109" s="828" t="s">
        <v>147</v>
      </c>
      <c r="C109" s="826" t="s">
        <v>13</v>
      </c>
      <c r="D109" s="48">
        <v>211.07</v>
      </c>
      <c r="E109" s="829">
        <v>0.33996228355906</v>
      </c>
      <c r="F109" s="833">
        <v>287.17</v>
      </c>
      <c r="G109" s="831">
        <v>2024014901</v>
      </c>
      <c r="H109" s="43" t="s">
        <v>86</v>
      </c>
      <c r="I109" s="43"/>
      <c r="J109" s="49"/>
      <c r="K109" s="49"/>
      <c r="L109" s="49"/>
      <c r="M109" s="49"/>
      <c r="N109" s="49"/>
      <c r="O109" s="49"/>
      <c r="P109" s="49"/>
      <c r="Q109" s="49"/>
      <c r="R109" s="49"/>
      <c r="S109" s="49"/>
    </row>
    <row r="110" spans="1:19" ht="18.75" customHeight="1">
      <c r="A110" s="828">
        <v>6350</v>
      </c>
      <c r="B110" s="828" t="s">
        <v>149</v>
      </c>
      <c r="C110" s="826" t="s">
        <v>13</v>
      </c>
      <c r="D110" s="48">
        <v>77.930000000000007</v>
      </c>
      <c r="E110" s="829">
        <v>9.9948568489628006E-2</v>
      </c>
      <c r="F110" s="833">
        <v>28.72</v>
      </c>
      <c r="G110" s="831">
        <v>2024014901</v>
      </c>
      <c r="H110" s="43" t="s">
        <v>86</v>
      </c>
      <c r="I110" s="43"/>
      <c r="J110" s="49"/>
      <c r="K110" s="49"/>
      <c r="L110" s="49"/>
      <c r="M110" s="49"/>
      <c r="N110" s="49"/>
      <c r="O110" s="49"/>
      <c r="P110" s="49"/>
      <c r="Q110" s="49"/>
      <c r="R110" s="49"/>
      <c r="S110" s="49"/>
    </row>
    <row r="111" spans="1:19" ht="18.75" customHeight="1">
      <c r="A111" s="828">
        <v>6351</v>
      </c>
      <c r="B111" s="828" t="s">
        <v>119</v>
      </c>
      <c r="C111" s="826"/>
      <c r="D111" s="46"/>
      <c r="E111" s="829"/>
      <c r="F111" s="833">
        <v>9.58</v>
      </c>
      <c r="G111" s="831">
        <v>2024014901</v>
      </c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</row>
    <row r="112" spans="1:19" ht="18.75" customHeight="1">
      <c r="A112" s="828">
        <v>6352</v>
      </c>
      <c r="B112" s="828" t="s">
        <v>118</v>
      </c>
      <c r="C112" s="826" t="s">
        <v>13</v>
      </c>
      <c r="D112" s="48">
        <v>211.07</v>
      </c>
      <c r="E112" s="829">
        <v>16</v>
      </c>
      <c r="F112" s="833">
        <v>9.58</v>
      </c>
      <c r="G112" s="831">
        <v>2021014001</v>
      </c>
      <c r="H112" s="43"/>
      <c r="I112" s="43" t="s">
        <v>86</v>
      </c>
      <c r="J112" s="49"/>
      <c r="K112" s="49"/>
      <c r="L112" s="49"/>
      <c r="M112" s="49"/>
      <c r="N112" s="49"/>
      <c r="O112" s="49"/>
      <c r="P112" s="49"/>
      <c r="Q112" s="49"/>
      <c r="R112" s="49"/>
      <c r="S112" s="49"/>
    </row>
    <row r="113" spans="1:19" ht="18.75" customHeight="1">
      <c r="A113" s="828">
        <v>6353</v>
      </c>
      <c r="B113" s="828" t="s">
        <v>150</v>
      </c>
      <c r="C113" s="826"/>
      <c r="D113" s="46"/>
      <c r="E113" s="829"/>
      <c r="F113" s="833">
        <v>95.72</v>
      </c>
      <c r="G113" s="831">
        <v>2024014901</v>
      </c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</row>
    <row r="114" spans="1:19" ht="18.75" customHeight="1">
      <c r="A114" s="828">
        <v>6354</v>
      </c>
      <c r="B114" s="828" t="s">
        <v>151</v>
      </c>
      <c r="C114" s="826" t="s">
        <v>13</v>
      </c>
      <c r="D114" s="48">
        <v>16.239999999999998</v>
      </c>
      <c r="E114" s="829">
        <v>0.20006857534716299</v>
      </c>
      <c r="F114" s="833">
        <v>28.72</v>
      </c>
      <c r="G114" s="831">
        <v>2024014901</v>
      </c>
      <c r="H114" s="43" t="s">
        <v>86</v>
      </c>
      <c r="I114" s="43"/>
      <c r="J114" s="49"/>
      <c r="K114" s="49"/>
      <c r="L114" s="49"/>
      <c r="M114" s="49"/>
      <c r="N114" s="49"/>
      <c r="O114" s="49"/>
      <c r="P114" s="49"/>
      <c r="Q114" s="49"/>
      <c r="R114" s="49"/>
      <c r="S114" s="49"/>
    </row>
    <row r="115" spans="1:19" ht="18.75" customHeight="1">
      <c r="A115" s="828">
        <v>6355</v>
      </c>
      <c r="B115" s="828" t="s">
        <v>152</v>
      </c>
      <c r="C115" s="826" t="s">
        <v>13</v>
      </c>
      <c r="D115" s="48">
        <v>211.07</v>
      </c>
      <c r="E115" s="829">
        <v>20</v>
      </c>
      <c r="F115" s="833">
        <v>14.36</v>
      </c>
      <c r="G115" s="831">
        <v>2021014001</v>
      </c>
      <c r="H115" s="43"/>
      <c r="I115" s="43" t="s">
        <v>86</v>
      </c>
      <c r="J115" s="49"/>
      <c r="K115" s="49"/>
      <c r="L115" s="49"/>
      <c r="M115" s="49"/>
      <c r="N115" s="49"/>
      <c r="O115" s="49"/>
      <c r="P115" s="49"/>
      <c r="Q115" s="49"/>
      <c r="R115" s="49"/>
      <c r="S115" s="49"/>
    </row>
    <row r="116" spans="1:19" ht="18.75" customHeight="1">
      <c r="A116" s="828">
        <v>6356</v>
      </c>
      <c r="B116" s="828" t="s">
        <v>815</v>
      </c>
      <c r="C116" s="826" t="s">
        <v>13</v>
      </c>
      <c r="D116" s="48">
        <v>48.71</v>
      </c>
      <c r="E116" s="829">
        <v>2.1001200068575301</v>
      </c>
      <c r="F116" s="833">
        <v>18.829999999999998</v>
      </c>
      <c r="G116" s="831">
        <v>2024014901</v>
      </c>
      <c r="H116" s="43" t="s">
        <v>86</v>
      </c>
      <c r="I116" s="43" t="s">
        <v>86</v>
      </c>
      <c r="J116" s="49"/>
      <c r="K116" s="49"/>
      <c r="L116" s="49"/>
      <c r="M116" s="49"/>
      <c r="N116" s="49"/>
      <c r="O116" s="49"/>
      <c r="P116" s="49"/>
      <c r="Q116" s="49"/>
      <c r="R116" s="49"/>
      <c r="S116" s="49"/>
    </row>
    <row r="117" spans="1:19" ht="18.75" customHeight="1">
      <c r="A117" s="828">
        <v>6357</v>
      </c>
      <c r="B117" s="828" t="s">
        <v>130</v>
      </c>
      <c r="C117" s="826" t="s">
        <v>13</v>
      </c>
      <c r="D117" s="48"/>
      <c r="E117" s="829">
        <v>4</v>
      </c>
      <c r="F117" s="833">
        <v>4.78</v>
      </c>
      <c r="G117" s="831">
        <v>2024014901</v>
      </c>
      <c r="H117" s="43" t="s">
        <v>86</v>
      </c>
      <c r="I117" s="43"/>
      <c r="J117" s="49"/>
      <c r="K117" s="49"/>
      <c r="L117" s="49"/>
      <c r="M117" s="49"/>
      <c r="N117" s="49"/>
      <c r="O117" s="49"/>
      <c r="P117" s="49"/>
      <c r="Q117" s="49"/>
      <c r="R117" s="49"/>
      <c r="S117" s="49"/>
    </row>
    <row r="118" spans="1:19" ht="18.75" customHeight="1">
      <c r="A118" s="828">
        <v>6358</v>
      </c>
      <c r="B118" s="828" t="s">
        <v>131</v>
      </c>
      <c r="C118" s="826" t="s">
        <v>105</v>
      </c>
      <c r="D118" s="48"/>
      <c r="E118" s="829">
        <v>2.1001200068575301</v>
      </c>
      <c r="F118" s="833">
        <v>95.72</v>
      </c>
      <c r="G118" s="831">
        <v>2024014901</v>
      </c>
      <c r="H118" s="43" t="s">
        <v>86</v>
      </c>
      <c r="I118" s="43" t="s">
        <v>86</v>
      </c>
      <c r="J118" s="49"/>
      <c r="K118" s="49"/>
      <c r="L118" s="49"/>
      <c r="M118" s="49"/>
      <c r="N118" s="49"/>
      <c r="O118" s="49"/>
      <c r="P118" s="49"/>
      <c r="Q118" s="49"/>
      <c r="R118" s="49"/>
      <c r="S118" s="49"/>
    </row>
    <row r="119" spans="1:19" ht="18.75" customHeight="1">
      <c r="A119" s="828">
        <v>6359</v>
      </c>
      <c r="B119" s="828" t="s">
        <v>170</v>
      </c>
      <c r="C119" s="826" t="s">
        <v>13</v>
      </c>
      <c r="D119" s="48">
        <v>1298.8800000000001</v>
      </c>
      <c r="E119" s="829">
        <v>22</v>
      </c>
      <c r="F119" s="833">
        <v>19.14</v>
      </c>
      <c r="G119" s="831">
        <v>2024014901</v>
      </c>
      <c r="H119" s="43" t="s">
        <v>86</v>
      </c>
      <c r="I119" s="43"/>
      <c r="J119" s="49"/>
      <c r="K119" s="49"/>
      <c r="L119" s="49"/>
      <c r="M119" s="49"/>
      <c r="N119" s="49"/>
      <c r="O119" s="49"/>
      <c r="P119" s="49"/>
      <c r="Q119" s="49"/>
      <c r="R119" s="49"/>
      <c r="S119" s="49"/>
    </row>
    <row r="120" spans="1:19" ht="18.75" customHeight="1">
      <c r="A120" s="828">
        <v>6360</v>
      </c>
      <c r="B120" s="828" t="s">
        <v>102</v>
      </c>
      <c r="C120" s="826"/>
      <c r="D120" s="46"/>
      <c r="E120" s="829"/>
      <c r="F120" s="833">
        <v>287.17</v>
      </c>
      <c r="G120" s="831">
        <v>2024014901</v>
      </c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</row>
    <row r="121" spans="1:19" ht="18.75" customHeight="1">
      <c r="A121" s="828">
        <v>6361</v>
      </c>
      <c r="B121" s="828" t="s">
        <v>103</v>
      </c>
      <c r="C121" s="826" t="s">
        <v>13</v>
      </c>
      <c r="D121" s="48">
        <v>217.56</v>
      </c>
      <c r="E121" s="829">
        <v>0.50008571918395295</v>
      </c>
      <c r="F121" s="833">
        <v>287.17</v>
      </c>
      <c r="G121" s="831">
        <v>2024014901</v>
      </c>
      <c r="H121" s="43" t="s">
        <v>86</v>
      </c>
      <c r="I121" s="43"/>
      <c r="J121" s="49"/>
      <c r="K121" s="49"/>
      <c r="L121" s="49"/>
      <c r="M121" s="49"/>
      <c r="N121" s="49"/>
      <c r="O121" s="49"/>
      <c r="P121" s="49"/>
      <c r="Q121" s="49"/>
      <c r="R121" s="49"/>
      <c r="S121" s="49"/>
    </row>
    <row r="122" spans="1:19" ht="18.75" customHeight="1">
      <c r="A122" s="828">
        <v>6362</v>
      </c>
      <c r="B122" s="828" t="s">
        <v>111</v>
      </c>
      <c r="C122" s="826"/>
      <c r="D122" s="46"/>
      <c r="E122" s="829"/>
      <c r="F122" s="833">
        <v>57.44</v>
      </c>
      <c r="G122" s="831">
        <v>2024014901</v>
      </c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</row>
    <row r="123" spans="1:19" ht="18.75" customHeight="1">
      <c r="A123" s="828">
        <v>6363</v>
      </c>
      <c r="B123" s="828" t="s">
        <v>99</v>
      </c>
      <c r="C123" s="826" t="s">
        <v>13</v>
      </c>
      <c r="D123" s="48"/>
      <c r="E123" s="829">
        <v>0.39996571232641898</v>
      </c>
      <c r="F123" s="833">
        <v>4.78</v>
      </c>
      <c r="G123" s="831">
        <v>2024014901</v>
      </c>
      <c r="H123" s="43" t="s">
        <v>86</v>
      </c>
      <c r="I123" s="43"/>
      <c r="J123" s="49"/>
      <c r="K123" s="49"/>
      <c r="L123" s="49"/>
      <c r="M123" s="49"/>
      <c r="N123" s="49"/>
      <c r="O123" s="49"/>
      <c r="P123" s="49"/>
      <c r="Q123" s="49"/>
      <c r="R123" s="49"/>
      <c r="S123" s="49"/>
    </row>
    <row r="124" spans="1:19" ht="18.75" customHeight="1">
      <c r="A124" s="828">
        <v>6364</v>
      </c>
      <c r="B124" s="828" t="s">
        <v>129</v>
      </c>
      <c r="C124" s="826" t="s">
        <v>13</v>
      </c>
      <c r="D124" s="48"/>
      <c r="E124" s="829">
        <v>3.3300188582204702</v>
      </c>
      <c r="F124" s="833">
        <v>95.72</v>
      </c>
      <c r="G124" s="831">
        <v>2024014901</v>
      </c>
      <c r="H124" s="43" t="s">
        <v>86</v>
      </c>
      <c r="I124" s="43"/>
      <c r="J124" s="49"/>
      <c r="K124" s="49"/>
      <c r="L124" s="49"/>
      <c r="M124" s="49"/>
      <c r="N124" s="49"/>
      <c r="O124" s="49"/>
      <c r="P124" s="49"/>
      <c r="Q124" s="49"/>
      <c r="R124" s="49"/>
      <c r="S124" s="49"/>
    </row>
    <row r="125" spans="1:19" ht="18.75" customHeight="1">
      <c r="A125" s="828">
        <v>6365</v>
      </c>
      <c r="B125" s="828" t="s">
        <v>122</v>
      </c>
      <c r="C125" s="826" t="s">
        <v>13</v>
      </c>
      <c r="D125" s="48">
        <v>40.590000000000003</v>
      </c>
      <c r="E125" s="829">
        <v>6.6699811417795303</v>
      </c>
      <c r="F125" s="833">
        <v>95.72</v>
      </c>
      <c r="G125" s="831">
        <v>2024014901</v>
      </c>
      <c r="H125" s="43" t="s">
        <v>86</v>
      </c>
      <c r="I125" s="43"/>
      <c r="J125" s="49"/>
      <c r="K125" s="49"/>
      <c r="L125" s="49"/>
      <c r="M125" s="49"/>
      <c r="N125" s="49"/>
      <c r="O125" s="49"/>
      <c r="P125" s="49"/>
      <c r="Q125" s="49"/>
      <c r="R125" s="49"/>
      <c r="S125" s="49"/>
    </row>
    <row r="126" spans="1:19" ht="18.75" customHeight="1">
      <c r="A126" s="828">
        <v>6366</v>
      </c>
      <c r="B126" s="828" t="s">
        <v>134</v>
      </c>
      <c r="C126" s="826" t="s">
        <v>13</v>
      </c>
      <c r="D126" s="48"/>
      <c r="E126" s="829">
        <v>5.0060003428767402E-2</v>
      </c>
      <c r="F126" s="833">
        <v>47.86</v>
      </c>
      <c r="G126" s="831">
        <v>2024014901</v>
      </c>
      <c r="H126" s="43" t="s">
        <v>86</v>
      </c>
      <c r="I126" s="43"/>
      <c r="J126" s="49"/>
      <c r="K126" s="49"/>
      <c r="L126" s="49"/>
      <c r="M126" s="49"/>
      <c r="N126" s="49"/>
      <c r="O126" s="49"/>
      <c r="P126" s="49"/>
      <c r="Q126" s="49"/>
      <c r="R126" s="49"/>
      <c r="S126" s="49"/>
    </row>
    <row r="127" spans="1:19" ht="18.75" customHeight="1">
      <c r="A127" s="828">
        <v>6367</v>
      </c>
      <c r="B127" s="828" t="s">
        <v>439</v>
      </c>
      <c r="C127" s="826" t="s">
        <v>13</v>
      </c>
      <c r="D127" s="48"/>
      <c r="E127" s="829">
        <v>8</v>
      </c>
      <c r="F127" s="833">
        <v>95.72</v>
      </c>
      <c r="G127" s="831">
        <v>2021014001</v>
      </c>
      <c r="H127" s="43"/>
      <c r="I127" s="43" t="s">
        <v>86</v>
      </c>
      <c r="J127" s="49"/>
      <c r="K127" s="49"/>
      <c r="L127" s="49"/>
      <c r="M127" s="49"/>
      <c r="N127" s="49"/>
      <c r="O127" s="49"/>
      <c r="P127" s="49"/>
      <c r="Q127" s="49"/>
      <c r="R127" s="49"/>
      <c r="S127" s="49"/>
    </row>
    <row r="128" spans="1:19" ht="18.75" customHeight="1">
      <c r="A128" s="828">
        <v>6368</v>
      </c>
      <c r="B128" s="828" t="s">
        <v>135</v>
      </c>
      <c r="C128" s="826" t="s">
        <v>13</v>
      </c>
      <c r="D128" s="48">
        <v>1623.6</v>
      </c>
      <c r="E128" s="829">
        <v>0.60003428767358102</v>
      </c>
      <c r="F128" s="833">
        <v>191.44</v>
      </c>
      <c r="G128" s="831">
        <v>2024014901</v>
      </c>
      <c r="H128" s="43" t="s">
        <v>86</v>
      </c>
      <c r="I128" s="43"/>
      <c r="J128" s="49"/>
      <c r="K128" s="49"/>
      <c r="L128" s="49"/>
      <c r="M128" s="49"/>
      <c r="N128" s="49"/>
      <c r="O128" s="49"/>
      <c r="P128" s="49"/>
      <c r="Q128" s="49"/>
      <c r="R128" s="49"/>
      <c r="S128" s="49"/>
    </row>
    <row r="129" spans="1:19" ht="18.75" customHeight="1">
      <c r="A129" s="828">
        <v>6369</v>
      </c>
      <c r="B129" s="828" t="s">
        <v>164</v>
      </c>
      <c r="C129" s="826"/>
      <c r="D129" s="46"/>
      <c r="E129" s="829"/>
      <c r="F129" s="833">
        <v>47.86</v>
      </c>
      <c r="G129" s="831">
        <v>2024014901</v>
      </c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</row>
    <row r="130" spans="1:19" ht="18.75" customHeight="1">
      <c r="A130" s="828">
        <v>6370</v>
      </c>
      <c r="B130" s="828" t="s">
        <v>165</v>
      </c>
      <c r="C130" s="826" t="s">
        <v>13</v>
      </c>
      <c r="D130" s="48"/>
      <c r="E130" s="829">
        <v>3</v>
      </c>
      <c r="F130" s="833">
        <v>47.86</v>
      </c>
      <c r="G130" s="831">
        <v>2024014901</v>
      </c>
      <c r="H130" s="43" t="s">
        <v>86</v>
      </c>
      <c r="I130" s="43"/>
      <c r="J130" s="49"/>
      <c r="K130" s="49"/>
      <c r="L130" s="49"/>
      <c r="M130" s="49"/>
      <c r="N130" s="49"/>
      <c r="O130" s="49"/>
      <c r="P130" s="49"/>
      <c r="Q130" s="49"/>
      <c r="R130" s="49"/>
      <c r="S130" s="49"/>
    </row>
    <row r="131" spans="1:19" ht="18.75" customHeight="1">
      <c r="A131" s="828">
        <v>6371</v>
      </c>
      <c r="B131" s="828" t="s">
        <v>166</v>
      </c>
      <c r="C131" s="826" t="s">
        <v>13</v>
      </c>
      <c r="D131" s="48">
        <v>470.84</v>
      </c>
      <c r="E131" s="829">
        <v>2</v>
      </c>
      <c r="F131" s="833">
        <v>47.86</v>
      </c>
      <c r="G131" s="831">
        <v>2024014901</v>
      </c>
      <c r="H131" s="43" t="s">
        <v>86</v>
      </c>
      <c r="I131" s="43"/>
      <c r="J131" s="49"/>
      <c r="K131" s="49"/>
      <c r="L131" s="49"/>
      <c r="M131" s="49"/>
      <c r="N131" s="49"/>
      <c r="O131" s="49"/>
      <c r="P131" s="49"/>
      <c r="Q131" s="49"/>
      <c r="R131" s="49"/>
      <c r="S131" s="49"/>
    </row>
    <row r="132" spans="1:19" ht="18.75" customHeight="1">
      <c r="A132" s="828">
        <v>6372</v>
      </c>
      <c r="B132" s="828" t="s">
        <v>168</v>
      </c>
      <c r="C132" s="826" t="s">
        <v>105</v>
      </c>
      <c r="D132" s="48"/>
      <c r="E132" s="829">
        <v>5.5000857191839501</v>
      </c>
      <c r="F132" s="833">
        <v>47.86</v>
      </c>
      <c r="G132" s="831">
        <v>2024014901</v>
      </c>
      <c r="H132" s="43" t="s">
        <v>86</v>
      </c>
      <c r="I132" s="43"/>
      <c r="J132" s="49"/>
      <c r="K132" s="49"/>
      <c r="L132" s="49"/>
      <c r="M132" s="49"/>
      <c r="N132" s="49"/>
      <c r="O132" s="49"/>
      <c r="P132" s="49"/>
      <c r="Q132" s="49"/>
      <c r="R132" s="49"/>
      <c r="S132" s="49"/>
    </row>
    <row r="133" spans="1:19" ht="18.75" customHeight="1">
      <c r="A133" s="828">
        <v>6373</v>
      </c>
      <c r="B133" s="828" t="s">
        <v>136</v>
      </c>
      <c r="C133" s="826" t="s">
        <v>13</v>
      </c>
      <c r="D133" s="48"/>
      <c r="E133" s="829">
        <v>10</v>
      </c>
      <c r="F133" s="833">
        <v>574.33000000000004</v>
      </c>
      <c r="G133" s="831">
        <v>2021014001</v>
      </c>
      <c r="H133" s="43"/>
      <c r="I133" s="43" t="s">
        <v>86</v>
      </c>
      <c r="J133" s="49"/>
      <c r="K133" s="49"/>
      <c r="L133" s="49"/>
      <c r="M133" s="49"/>
      <c r="N133" s="49"/>
      <c r="O133" s="49"/>
      <c r="P133" s="49"/>
      <c r="Q133" s="49"/>
      <c r="R133" s="49"/>
      <c r="S133" s="49"/>
    </row>
    <row r="134" spans="1:19" ht="18.75" customHeight="1">
      <c r="A134" s="828">
        <v>6374</v>
      </c>
      <c r="B134" s="828" t="s">
        <v>161</v>
      </c>
      <c r="C134" s="826"/>
      <c r="D134" s="46"/>
      <c r="E134" s="829"/>
      <c r="F134" s="833">
        <v>47.86</v>
      </c>
      <c r="G134" s="831">
        <v>2024014901</v>
      </c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</row>
    <row r="135" spans="1:19" ht="18.75" customHeight="1">
      <c r="A135" s="828">
        <v>6375</v>
      </c>
      <c r="B135" s="828" t="s">
        <v>162</v>
      </c>
      <c r="C135" s="826" t="s">
        <v>13</v>
      </c>
      <c r="D135" s="48">
        <v>64.94</v>
      </c>
      <c r="E135" s="829">
        <v>25</v>
      </c>
      <c r="F135" s="833">
        <v>47.86</v>
      </c>
      <c r="G135" s="831">
        <v>2024014901</v>
      </c>
      <c r="H135" s="43" t="s">
        <v>86</v>
      </c>
      <c r="I135" s="43"/>
      <c r="J135" s="49"/>
      <c r="K135" s="49"/>
      <c r="L135" s="49"/>
      <c r="M135" s="49"/>
      <c r="N135" s="49"/>
      <c r="O135" s="49"/>
      <c r="P135" s="49"/>
      <c r="Q135" s="49"/>
      <c r="R135" s="49"/>
      <c r="S135" s="49"/>
    </row>
    <row r="136" spans="1:19" ht="18.75" customHeight="1">
      <c r="A136" s="828">
        <v>6376</v>
      </c>
      <c r="B136" s="828" t="s">
        <v>141</v>
      </c>
      <c r="C136" s="826" t="s">
        <v>13</v>
      </c>
      <c r="D136" s="48">
        <v>32.47</v>
      </c>
      <c r="E136" s="829">
        <v>8.39996571232642</v>
      </c>
      <c r="F136" s="833">
        <v>191.44</v>
      </c>
      <c r="G136" s="831">
        <v>2024014901</v>
      </c>
      <c r="H136" s="43" t="s">
        <v>86</v>
      </c>
      <c r="I136" s="43" t="s">
        <v>86</v>
      </c>
      <c r="J136" s="49"/>
      <c r="K136" s="49"/>
      <c r="L136" s="49"/>
      <c r="M136" s="49"/>
      <c r="N136" s="49"/>
      <c r="O136" s="49"/>
      <c r="P136" s="49"/>
      <c r="Q136" s="49"/>
      <c r="R136" s="49"/>
      <c r="S136" s="49"/>
    </row>
    <row r="137" spans="1:19" ht="18.75" customHeight="1">
      <c r="A137" s="828">
        <v>6377</v>
      </c>
      <c r="B137" s="828" t="s">
        <v>192</v>
      </c>
      <c r="C137" s="826" t="s">
        <v>13</v>
      </c>
      <c r="D137" s="48">
        <v>237.05</v>
      </c>
      <c r="E137" s="829">
        <v>10</v>
      </c>
      <c r="F137" s="833">
        <v>215.38</v>
      </c>
      <c r="G137" s="831">
        <v>2021014001</v>
      </c>
      <c r="H137" s="43"/>
      <c r="I137" s="43" t="s">
        <v>86</v>
      </c>
      <c r="J137" s="49"/>
      <c r="K137" s="49"/>
      <c r="L137" s="49"/>
      <c r="M137" s="49"/>
      <c r="N137" s="49"/>
      <c r="O137" s="49"/>
      <c r="P137" s="49"/>
      <c r="Q137" s="49"/>
      <c r="R137" s="49"/>
      <c r="S137" s="49"/>
    </row>
    <row r="138" spans="1:19" ht="18.75" customHeight="1">
      <c r="A138" s="828">
        <v>6378</v>
      </c>
      <c r="B138" s="828" t="s">
        <v>194</v>
      </c>
      <c r="C138" s="826" t="s">
        <v>13</v>
      </c>
      <c r="D138" s="48">
        <v>51.96</v>
      </c>
      <c r="E138" s="829">
        <v>0.50008571918395295</v>
      </c>
      <c r="F138" s="833">
        <v>143.58000000000001</v>
      </c>
      <c r="G138" s="831">
        <v>2024014901</v>
      </c>
      <c r="H138" s="43" t="s">
        <v>86</v>
      </c>
      <c r="I138" s="43"/>
      <c r="J138" s="49"/>
      <c r="K138" s="49"/>
      <c r="L138" s="49"/>
      <c r="M138" s="49"/>
      <c r="N138" s="49"/>
      <c r="O138" s="49"/>
      <c r="P138" s="49"/>
      <c r="Q138" s="49"/>
      <c r="R138" s="49"/>
      <c r="S138" s="49"/>
    </row>
    <row r="139" spans="1:19" ht="18.75" customHeight="1">
      <c r="A139" s="828">
        <v>6379</v>
      </c>
      <c r="B139" s="828" t="s">
        <v>204</v>
      </c>
      <c r="C139" s="826" t="s">
        <v>13</v>
      </c>
      <c r="D139" s="48">
        <v>2305.5100000000002</v>
      </c>
      <c r="E139" s="829">
        <v>0.30001714383679101</v>
      </c>
      <c r="F139" s="833">
        <v>1435.83</v>
      </c>
      <c r="G139" s="831">
        <v>2024014901</v>
      </c>
      <c r="H139" s="43"/>
      <c r="I139" s="43" t="s">
        <v>86</v>
      </c>
      <c r="J139" s="49"/>
      <c r="K139" s="49"/>
      <c r="L139" s="49"/>
      <c r="M139" s="49"/>
      <c r="N139" s="49"/>
      <c r="O139" s="49"/>
      <c r="P139" s="49"/>
      <c r="Q139" s="49"/>
      <c r="R139" s="49"/>
      <c r="S139" s="49"/>
    </row>
    <row r="140" spans="1:19" ht="18.75" customHeight="1">
      <c r="A140" s="828">
        <v>6380</v>
      </c>
      <c r="B140" s="828" t="s">
        <v>205</v>
      </c>
      <c r="C140" s="826"/>
      <c r="D140" s="46"/>
      <c r="E140" s="829"/>
      <c r="F140" s="833">
        <v>1244.3900000000001</v>
      </c>
      <c r="G140" s="831">
        <v>2024014901</v>
      </c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</row>
    <row r="141" spans="1:19" ht="18.75" customHeight="1">
      <c r="A141" s="828">
        <v>6381</v>
      </c>
      <c r="B141" s="828" t="s">
        <v>206</v>
      </c>
      <c r="C141" s="826" t="s">
        <v>13</v>
      </c>
      <c r="D141" s="48"/>
      <c r="E141" s="829">
        <v>0.54997428424481398</v>
      </c>
      <c r="F141" s="833">
        <v>95.72</v>
      </c>
      <c r="G141" s="831">
        <v>2021014001</v>
      </c>
      <c r="H141" s="43"/>
      <c r="I141" s="43" t="s">
        <v>86</v>
      </c>
      <c r="J141" s="49"/>
      <c r="K141" s="49"/>
      <c r="L141" s="49"/>
      <c r="M141" s="49"/>
      <c r="N141" s="49"/>
      <c r="O141" s="49"/>
      <c r="P141" s="49"/>
      <c r="Q141" s="49"/>
      <c r="R141" s="49"/>
      <c r="S141" s="49"/>
    </row>
    <row r="142" spans="1:19" ht="18.75" customHeight="1">
      <c r="A142" s="828">
        <v>6382</v>
      </c>
      <c r="B142" s="828" t="s">
        <v>207</v>
      </c>
      <c r="C142" s="826"/>
      <c r="D142" s="46"/>
      <c r="E142" s="829"/>
      <c r="F142" s="833">
        <v>95.72</v>
      </c>
      <c r="G142" s="831">
        <v>2024014901</v>
      </c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</row>
    <row r="143" spans="1:19" ht="18.75" customHeight="1">
      <c r="A143" s="828">
        <v>6383</v>
      </c>
      <c r="B143" s="828" t="s">
        <v>271</v>
      </c>
      <c r="C143" s="826"/>
      <c r="D143" s="46"/>
      <c r="E143" s="829"/>
      <c r="F143" s="833">
        <v>478.61</v>
      </c>
      <c r="G143" s="831">
        <v>2024014901</v>
      </c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</row>
    <row r="144" spans="1:19" ht="18.75" customHeight="1">
      <c r="A144" s="828">
        <v>6384</v>
      </c>
      <c r="B144" s="828" t="s">
        <v>227</v>
      </c>
      <c r="C144" s="826" t="s">
        <v>13</v>
      </c>
      <c r="D144" s="48"/>
      <c r="E144" s="829">
        <v>0.50008571918395295</v>
      </c>
      <c r="F144" s="833">
        <v>2680.22</v>
      </c>
      <c r="G144" s="831">
        <v>2024014901</v>
      </c>
      <c r="H144" s="43" t="s">
        <v>86</v>
      </c>
      <c r="I144" s="43"/>
      <c r="J144" s="49"/>
      <c r="K144" s="49"/>
      <c r="L144" s="49"/>
      <c r="M144" s="49"/>
      <c r="N144" s="49"/>
      <c r="O144" s="49"/>
      <c r="P144" s="49"/>
      <c r="Q144" s="49"/>
      <c r="R144" s="49"/>
      <c r="S144" s="49"/>
    </row>
    <row r="145" spans="1:19" ht="18.75" customHeight="1">
      <c r="A145" s="828">
        <v>6385</v>
      </c>
      <c r="B145" s="828" t="s">
        <v>226</v>
      </c>
      <c r="C145" s="826"/>
      <c r="D145" s="46"/>
      <c r="E145" s="829"/>
      <c r="F145" s="833">
        <v>2201.61</v>
      </c>
      <c r="G145" s="831">
        <v>2024014901</v>
      </c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</row>
    <row r="146" spans="1:19" ht="18.75" customHeight="1">
      <c r="A146" s="828">
        <v>6386</v>
      </c>
      <c r="B146" s="828" t="s">
        <v>277</v>
      </c>
      <c r="C146" s="826" t="s">
        <v>13</v>
      </c>
      <c r="D146" s="48">
        <v>86.05</v>
      </c>
      <c r="E146" s="829">
        <v>0.50008571918395295</v>
      </c>
      <c r="F146" s="833">
        <v>1148.67</v>
      </c>
      <c r="G146" s="831">
        <v>2024014901</v>
      </c>
      <c r="H146" s="43" t="s">
        <v>86</v>
      </c>
      <c r="I146" s="43"/>
      <c r="J146" s="49"/>
      <c r="K146" s="49"/>
      <c r="L146" s="49"/>
      <c r="M146" s="49"/>
      <c r="N146" s="49"/>
      <c r="O146" s="49"/>
      <c r="P146" s="49"/>
      <c r="Q146" s="49"/>
      <c r="R146" s="49"/>
      <c r="S146" s="49"/>
    </row>
    <row r="147" spans="1:19" ht="18.75" customHeight="1">
      <c r="A147" s="828">
        <v>6387</v>
      </c>
      <c r="B147" s="828" t="s">
        <v>297</v>
      </c>
      <c r="C147" s="826" t="s">
        <v>13</v>
      </c>
      <c r="D147" s="48"/>
      <c r="E147" s="829">
        <v>11</v>
      </c>
      <c r="F147" s="833">
        <v>191.44</v>
      </c>
      <c r="G147" s="831">
        <v>2024014901</v>
      </c>
      <c r="H147" s="43" t="s">
        <v>86</v>
      </c>
      <c r="I147" s="43"/>
      <c r="J147" s="49"/>
      <c r="K147" s="49"/>
      <c r="L147" s="49"/>
      <c r="M147" s="49"/>
      <c r="N147" s="49"/>
      <c r="O147" s="49"/>
      <c r="P147" s="49"/>
      <c r="Q147" s="49"/>
      <c r="R147" s="49"/>
      <c r="S147" s="49"/>
    </row>
    <row r="148" spans="1:19" ht="18.75" customHeight="1">
      <c r="A148" s="828">
        <v>6388</v>
      </c>
      <c r="B148" s="828" t="s">
        <v>298</v>
      </c>
      <c r="C148" s="826" t="s">
        <v>13</v>
      </c>
      <c r="D148" s="48">
        <v>276.01</v>
      </c>
      <c r="E148" s="829">
        <v>0.60003428767358102</v>
      </c>
      <c r="F148" s="833">
        <v>191.44</v>
      </c>
      <c r="G148" s="831">
        <v>2024014901</v>
      </c>
      <c r="H148" s="43" t="s">
        <v>86</v>
      </c>
      <c r="I148" s="43"/>
      <c r="J148" s="49"/>
      <c r="K148" s="49"/>
      <c r="L148" s="49"/>
      <c r="M148" s="49"/>
      <c r="N148" s="49"/>
      <c r="O148" s="49"/>
      <c r="P148" s="49"/>
      <c r="Q148" s="49"/>
      <c r="R148" s="49"/>
      <c r="S148" s="49"/>
    </row>
    <row r="149" spans="1:19" ht="18.75" customHeight="1">
      <c r="A149" s="828">
        <v>6389</v>
      </c>
      <c r="B149" s="828" t="s">
        <v>280</v>
      </c>
      <c r="C149" s="826" t="s">
        <v>13</v>
      </c>
      <c r="D149" s="48"/>
      <c r="E149" s="829">
        <v>0.60003428767358102</v>
      </c>
      <c r="F149" s="833">
        <v>478.61</v>
      </c>
      <c r="G149" s="831">
        <v>2021014001</v>
      </c>
      <c r="H149" s="43"/>
      <c r="I149" s="43" t="s">
        <v>86</v>
      </c>
      <c r="J149" s="49"/>
      <c r="K149" s="49"/>
      <c r="L149" s="49"/>
      <c r="M149" s="49"/>
      <c r="N149" s="49"/>
      <c r="O149" s="49"/>
      <c r="P149" s="49"/>
      <c r="Q149" s="49"/>
      <c r="R149" s="49"/>
      <c r="S149" s="49"/>
    </row>
    <row r="150" spans="1:19" ht="18.75" customHeight="1">
      <c r="A150" s="828">
        <v>6390</v>
      </c>
      <c r="B150" s="828" t="s">
        <v>332</v>
      </c>
      <c r="C150" s="826" t="s">
        <v>13</v>
      </c>
      <c r="D150" s="48"/>
      <c r="E150" s="829">
        <v>11</v>
      </c>
      <c r="F150" s="833">
        <v>1052.94</v>
      </c>
      <c r="G150" s="831">
        <v>2024014901</v>
      </c>
      <c r="H150" s="43" t="s">
        <v>86</v>
      </c>
      <c r="I150" s="43"/>
      <c r="J150" s="49"/>
      <c r="K150" s="49"/>
      <c r="L150" s="49"/>
      <c r="M150" s="49"/>
      <c r="N150" s="49"/>
      <c r="O150" s="49"/>
      <c r="P150" s="49"/>
      <c r="Q150" s="49"/>
      <c r="R150" s="49"/>
      <c r="S150" s="49"/>
    </row>
    <row r="151" spans="1:19" ht="18.75" customHeight="1">
      <c r="A151" s="828">
        <v>6391</v>
      </c>
      <c r="B151" s="828" t="s">
        <v>278</v>
      </c>
      <c r="C151" s="826" t="s">
        <v>13</v>
      </c>
      <c r="D151" s="48">
        <v>47.08</v>
      </c>
      <c r="E151" s="829">
        <v>4.5000857191839501</v>
      </c>
      <c r="F151" s="833">
        <v>478.61</v>
      </c>
      <c r="G151" s="831">
        <v>2024014901</v>
      </c>
      <c r="H151" s="43"/>
      <c r="I151" s="43" t="s">
        <v>86</v>
      </c>
      <c r="J151" s="49"/>
      <c r="K151" s="49"/>
      <c r="L151" s="49"/>
      <c r="M151" s="49"/>
      <c r="N151" s="49"/>
      <c r="O151" s="49"/>
      <c r="P151" s="49"/>
      <c r="Q151" s="49"/>
      <c r="R151" s="49"/>
      <c r="S151" s="49"/>
    </row>
    <row r="152" spans="1:19" ht="18.75" customHeight="1">
      <c r="A152" s="828">
        <v>6392</v>
      </c>
      <c r="B152" s="828" t="s">
        <v>281</v>
      </c>
      <c r="C152" s="826" t="s">
        <v>13</v>
      </c>
      <c r="D152" s="48">
        <v>138.01</v>
      </c>
      <c r="E152" s="829">
        <v>15</v>
      </c>
      <c r="F152" s="833">
        <v>478.61</v>
      </c>
      <c r="G152" s="831">
        <v>2024014901</v>
      </c>
      <c r="H152" s="43" t="s">
        <v>86</v>
      </c>
      <c r="I152" s="43"/>
      <c r="J152" s="49"/>
      <c r="K152" s="49"/>
      <c r="L152" s="49"/>
      <c r="M152" s="49"/>
      <c r="N152" s="49"/>
      <c r="O152" s="49"/>
      <c r="P152" s="49"/>
      <c r="Q152" s="49"/>
      <c r="R152" s="49"/>
      <c r="S152" s="49"/>
    </row>
    <row r="153" spans="1:19" ht="18.75" customHeight="1">
      <c r="A153" s="828">
        <v>6393</v>
      </c>
      <c r="B153" s="828" t="s">
        <v>283</v>
      </c>
      <c r="C153" s="826" t="s">
        <v>13</v>
      </c>
      <c r="D153" s="48">
        <v>81.180000000000007</v>
      </c>
      <c r="E153" s="829">
        <v>15</v>
      </c>
      <c r="F153" s="833">
        <v>229.73</v>
      </c>
      <c r="G153" s="831">
        <v>2024014901</v>
      </c>
      <c r="H153" s="43" t="s">
        <v>86</v>
      </c>
      <c r="I153" s="43"/>
      <c r="J153" s="49"/>
      <c r="K153" s="49"/>
      <c r="L153" s="49"/>
      <c r="M153" s="49"/>
      <c r="N153" s="49"/>
      <c r="O153" s="49"/>
      <c r="P153" s="49"/>
      <c r="Q153" s="49"/>
      <c r="R153" s="49"/>
      <c r="S153" s="49"/>
    </row>
    <row r="154" spans="1:19" ht="18.75" customHeight="1">
      <c r="A154" s="828">
        <v>6394</v>
      </c>
      <c r="B154" s="828" t="s">
        <v>285</v>
      </c>
      <c r="C154" s="826" t="s">
        <v>13</v>
      </c>
      <c r="D154" s="48">
        <v>1785.96</v>
      </c>
      <c r="E154" s="829">
        <v>3</v>
      </c>
      <c r="F154" s="833">
        <v>574.33000000000004</v>
      </c>
      <c r="G154" s="831">
        <v>2024014901</v>
      </c>
      <c r="H154" s="43"/>
      <c r="I154" s="43" t="s">
        <v>86</v>
      </c>
      <c r="J154" s="49"/>
      <c r="K154" s="49"/>
      <c r="L154" s="49"/>
      <c r="M154" s="49"/>
      <c r="N154" s="49"/>
      <c r="O154" s="49"/>
      <c r="P154" s="49"/>
      <c r="Q154" s="49"/>
      <c r="R154" s="49"/>
      <c r="S154" s="49"/>
    </row>
    <row r="155" spans="1:19" ht="18.75" customHeight="1">
      <c r="A155" s="828">
        <v>6395</v>
      </c>
      <c r="B155" s="828" t="s">
        <v>286</v>
      </c>
      <c r="C155" s="826" t="s">
        <v>13</v>
      </c>
      <c r="D155" s="48"/>
      <c r="E155" s="829">
        <v>4.5000857191839501</v>
      </c>
      <c r="F155" s="833">
        <v>574.33000000000004</v>
      </c>
      <c r="G155" s="831">
        <v>2024014901</v>
      </c>
      <c r="H155" s="43"/>
      <c r="I155" s="43" t="s">
        <v>86</v>
      </c>
      <c r="J155" s="49"/>
      <c r="K155" s="49"/>
      <c r="L155" s="49"/>
      <c r="M155" s="49"/>
      <c r="N155" s="49"/>
      <c r="O155" s="49"/>
      <c r="P155" s="49"/>
      <c r="Q155" s="49"/>
      <c r="R155" s="49"/>
      <c r="S155" s="49"/>
    </row>
    <row r="156" spans="1:19" ht="18.75" customHeight="1">
      <c r="A156" s="828">
        <v>6396</v>
      </c>
      <c r="B156" s="828" t="s">
        <v>223</v>
      </c>
      <c r="C156" s="826" t="s">
        <v>13</v>
      </c>
      <c r="D156" s="48"/>
      <c r="E156" s="829">
        <v>20</v>
      </c>
      <c r="F156" s="833">
        <v>1079.75</v>
      </c>
      <c r="G156" s="831">
        <v>2021014001</v>
      </c>
      <c r="H156" s="43"/>
      <c r="I156" s="43" t="s">
        <v>86</v>
      </c>
      <c r="J156" s="49"/>
      <c r="K156" s="49"/>
      <c r="L156" s="49"/>
      <c r="M156" s="49"/>
      <c r="N156" s="49"/>
      <c r="O156" s="49"/>
      <c r="P156" s="49"/>
      <c r="Q156" s="49"/>
      <c r="R156" s="49"/>
      <c r="S156" s="49"/>
    </row>
    <row r="157" spans="1:19" ht="18.75" customHeight="1">
      <c r="A157" s="828">
        <v>6397</v>
      </c>
      <c r="B157" s="828" t="s">
        <v>224</v>
      </c>
      <c r="C157" s="826" t="s">
        <v>13</v>
      </c>
      <c r="D157" s="48"/>
      <c r="E157" s="829">
        <v>8.39996571232642</v>
      </c>
      <c r="F157" s="833">
        <v>1137.17</v>
      </c>
      <c r="G157" s="831">
        <v>2024014901</v>
      </c>
      <c r="H157" s="43" t="s">
        <v>86</v>
      </c>
      <c r="I157" s="43" t="s">
        <v>86</v>
      </c>
      <c r="J157" s="49"/>
      <c r="K157" s="49"/>
      <c r="L157" s="49"/>
      <c r="M157" s="49"/>
      <c r="N157" s="49"/>
      <c r="O157" s="49"/>
      <c r="P157" s="49"/>
      <c r="Q157" s="49"/>
      <c r="R157" s="49"/>
      <c r="S157" s="49"/>
    </row>
    <row r="158" spans="1:19" ht="18.75" customHeight="1">
      <c r="A158" s="828">
        <v>6398</v>
      </c>
      <c r="B158" s="828" t="s">
        <v>233</v>
      </c>
      <c r="C158" s="826"/>
      <c r="D158" s="46"/>
      <c r="E158" s="829"/>
      <c r="F158" s="833">
        <v>95.72</v>
      </c>
      <c r="G158" s="831">
        <v>2024014901</v>
      </c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</row>
    <row r="159" spans="1:19" ht="18.75" customHeight="1">
      <c r="A159" s="828">
        <v>6399</v>
      </c>
      <c r="B159" s="828" t="s">
        <v>235</v>
      </c>
      <c r="C159" s="826"/>
      <c r="D159" s="46"/>
      <c r="E159" s="829"/>
      <c r="F159" s="833">
        <v>4403.22</v>
      </c>
      <c r="G159" s="831">
        <v>2024014901</v>
      </c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</row>
    <row r="160" spans="1:19" ht="18.75" customHeight="1">
      <c r="A160" s="828">
        <v>6400</v>
      </c>
      <c r="B160" s="828" t="s">
        <v>287</v>
      </c>
      <c r="C160" s="826" t="s">
        <v>13</v>
      </c>
      <c r="D160" s="48"/>
      <c r="E160" s="829">
        <v>0.20006857534716299</v>
      </c>
      <c r="F160" s="833">
        <v>76.58</v>
      </c>
      <c r="G160" s="831">
        <v>2024014901</v>
      </c>
      <c r="H160" s="43"/>
      <c r="I160" s="43" t="s">
        <v>86</v>
      </c>
      <c r="J160" s="49"/>
      <c r="K160" s="49"/>
      <c r="L160" s="49"/>
      <c r="M160" s="49"/>
      <c r="N160" s="49"/>
      <c r="O160" s="49"/>
      <c r="P160" s="49"/>
      <c r="Q160" s="49"/>
      <c r="R160" s="49"/>
      <c r="S160" s="49"/>
    </row>
    <row r="161" spans="1:19" ht="18.75" customHeight="1">
      <c r="A161" s="828">
        <v>6401</v>
      </c>
      <c r="B161" s="828" t="s">
        <v>289</v>
      </c>
      <c r="C161" s="826" t="s">
        <v>13</v>
      </c>
      <c r="D161" s="48">
        <v>470.84</v>
      </c>
      <c r="E161" s="829">
        <v>0.20006857534716299</v>
      </c>
      <c r="F161" s="833">
        <v>191.44</v>
      </c>
      <c r="G161" s="831">
        <v>2024014901</v>
      </c>
      <c r="H161" s="43"/>
      <c r="I161" s="43" t="s">
        <v>86</v>
      </c>
      <c r="J161" s="49"/>
      <c r="K161" s="49"/>
      <c r="L161" s="49"/>
      <c r="M161" s="49"/>
      <c r="N161" s="49"/>
      <c r="O161" s="49"/>
      <c r="P161" s="49"/>
      <c r="Q161" s="49"/>
      <c r="R161" s="49"/>
      <c r="S161" s="49"/>
    </row>
    <row r="162" spans="1:19" ht="18.75" customHeight="1">
      <c r="A162" s="828">
        <v>6402</v>
      </c>
      <c r="B162" s="828" t="s">
        <v>259</v>
      </c>
      <c r="C162" s="826" t="s">
        <v>13</v>
      </c>
      <c r="D162" s="48"/>
      <c r="E162" s="829">
        <v>1.5000857191839501</v>
      </c>
      <c r="F162" s="833">
        <v>95.72</v>
      </c>
      <c r="G162" s="831">
        <v>2024014901</v>
      </c>
      <c r="H162" s="43" t="s">
        <v>86</v>
      </c>
      <c r="I162" s="43"/>
      <c r="J162" s="49"/>
      <c r="K162" s="49"/>
      <c r="L162" s="49"/>
      <c r="M162" s="49"/>
      <c r="N162" s="49"/>
      <c r="O162" s="49"/>
      <c r="P162" s="49"/>
      <c r="Q162" s="49"/>
      <c r="R162" s="49"/>
      <c r="S162" s="49"/>
    </row>
    <row r="163" spans="1:19" ht="18.75" customHeight="1">
      <c r="A163" s="828">
        <v>6403</v>
      </c>
      <c r="B163" s="828" t="s">
        <v>260</v>
      </c>
      <c r="C163" s="826" t="s">
        <v>13</v>
      </c>
      <c r="D163" s="48"/>
      <c r="E163" s="829">
        <v>0.30001714383679101</v>
      </c>
      <c r="F163" s="833">
        <v>47.86</v>
      </c>
      <c r="G163" s="831">
        <v>2021014001</v>
      </c>
      <c r="H163" s="43"/>
      <c r="I163" s="43" t="s">
        <v>86</v>
      </c>
      <c r="J163" s="49"/>
      <c r="K163" s="49"/>
      <c r="L163" s="49"/>
      <c r="M163" s="49"/>
      <c r="N163" s="49"/>
      <c r="O163" s="49"/>
      <c r="P163" s="49"/>
      <c r="Q163" s="49"/>
      <c r="R163" s="49"/>
      <c r="S163" s="49"/>
    </row>
    <row r="164" spans="1:19" ht="18.75" customHeight="1">
      <c r="A164" s="828">
        <v>6405</v>
      </c>
      <c r="B164" s="828" t="s">
        <v>244</v>
      </c>
      <c r="C164" s="826" t="s">
        <v>13</v>
      </c>
      <c r="D164" s="48">
        <v>340.96</v>
      </c>
      <c r="E164" s="829">
        <v>0.20006857534716299</v>
      </c>
      <c r="F164" s="833">
        <v>143.58000000000001</v>
      </c>
      <c r="G164" s="831">
        <v>2024014901</v>
      </c>
      <c r="H164" s="43"/>
      <c r="I164" s="43" t="s">
        <v>86</v>
      </c>
      <c r="J164" s="49"/>
      <c r="K164" s="49"/>
      <c r="L164" s="49"/>
      <c r="M164" s="49"/>
      <c r="N164" s="49"/>
      <c r="O164" s="49"/>
      <c r="P164" s="49"/>
      <c r="Q164" s="49"/>
      <c r="R164" s="49"/>
      <c r="S164" s="49"/>
    </row>
    <row r="165" spans="1:19" ht="18.75" customHeight="1">
      <c r="A165" s="828">
        <v>6408</v>
      </c>
      <c r="B165" s="828" t="s">
        <v>248</v>
      </c>
      <c r="C165" s="826" t="s">
        <v>13</v>
      </c>
      <c r="D165" s="48">
        <v>276.01</v>
      </c>
      <c r="E165" s="829">
        <v>15</v>
      </c>
      <c r="F165" s="833">
        <v>38.28</v>
      </c>
      <c r="G165" s="831">
        <v>2024014901</v>
      </c>
      <c r="H165" s="43" t="s">
        <v>86</v>
      </c>
      <c r="I165" s="43"/>
      <c r="J165" s="49"/>
      <c r="K165" s="49"/>
      <c r="L165" s="49"/>
      <c r="M165" s="49"/>
      <c r="N165" s="49"/>
      <c r="O165" s="49"/>
      <c r="P165" s="49"/>
      <c r="Q165" s="49"/>
      <c r="R165" s="49"/>
      <c r="S165" s="49"/>
    </row>
    <row r="166" spans="1:19" ht="18.75" customHeight="1">
      <c r="A166" s="828">
        <v>6409</v>
      </c>
      <c r="B166" s="828" t="s">
        <v>247</v>
      </c>
      <c r="C166" s="826" t="s">
        <v>13</v>
      </c>
      <c r="D166" s="48"/>
      <c r="E166" s="829">
        <v>2</v>
      </c>
      <c r="F166" s="833">
        <v>19.14</v>
      </c>
      <c r="G166" s="831">
        <v>2024014901</v>
      </c>
      <c r="H166" s="43" t="s">
        <v>86</v>
      </c>
      <c r="I166" s="43"/>
      <c r="J166" s="49"/>
      <c r="K166" s="49"/>
      <c r="L166" s="49"/>
      <c r="M166" s="49"/>
      <c r="N166" s="49"/>
      <c r="O166" s="49"/>
      <c r="P166" s="49"/>
      <c r="Q166" s="49"/>
      <c r="R166" s="49"/>
      <c r="S166" s="49"/>
    </row>
    <row r="167" spans="1:19" ht="18.75" customHeight="1">
      <c r="A167" s="828">
        <v>6410</v>
      </c>
      <c r="B167" s="828" t="s">
        <v>441</v>
      </c>
      <c r="C167" s="826" t="s">
        <v>13</v>
      </c>
      <c r="D167" s="48"/>
      <c r="E167" s="829">
        <v>0.50008571918395295</v>
      </c>
      <c r="F167" s="833">
        <v>191.44</v>
      </c>
      <c r="G167" s="831">
        <v>2024014901</v>
      </c>
      <c r="H167" s="43" t="s">
        <v>86</v>
      </c>
      <c r="I167" s="43"/>
      <c r="J167" s="49"/>
      <c r="K167" s="49"/>
      <c r="L167" s="49"/>
      <c r="M167" s="49"/>
      <c r="N167" s="49"/>
      <c r="O167" s="49"/>
      <c r="P167" s="49"/>
      <c r="Q167" s="49"/>
      <c r="R167" s="49"/>
      <c r="S167" s="49"/>
    </row>
    <row r="168" spans="1:19" ht="18.75" customHeight="1">
      <c r="A168" s="828">
        <v>6411</v>
      </c>
      <c r="B168" s="828" t="s">
        <v>307</v>
      </c>
      <c r="C168" s="826"/>
      <c r="D168" s="46"/>
      <c r="E168" s="829"/>
      <c r="F168" s="833">
        <v>323.54000000000002</v>
      </c>
      <c r="G168" s="831">
        <v>2024014901</v>
      </c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</row>
    <row r="169" spans="1:19" ht="18.75" customHeight="1">
      <c r="A169" s="828">
        <v>6412</v>
      </c>
      <c r="B169" s="828" t="s">
        <v>215</v>
      </c>
      <c r="C169" s="826" t="s">
        <v>13</v>
      </c>
      <c r="D169" s="48">
        <v>129.88999999999999</v>
      </c>
      <c r="E169" s="829">
        <v>3</v>
      </c>
      <c r="F169" s="833">
        <v>26.8</v>
      </c>
      <c r="G169" s="831">
        <v>2024014901</v>
      </c>
      <c r="H169" s="43"/>
      <c r="I169" s="43" t="s">
        <v>86</v>
      </c>
      <c r="J169" s="49"/>
      <c r="K169" s="49"/>
      <c r="L169" s="49"/>
      <c r="M169" s="49"/>
      <c r="N169" s="49"/>
      <c r="O169" s="49"/>
      <c r="P169" s="49"/>
      <c r="Q169" s="49"/>
      <c r="R169" s="49"/>
      <c r="S169" s="49"/>
    </row>
    <row r="170" spans="1:19" ht="18.75" customHeight="1">
      <c r="A170" s="828">
        <v>6413</v>
      </c>
      <c r="B170" s="828" t="s">
        <v>216</v>
      </c>
      <c r="C170" s="826"/>
      <c r="D170" s="46"/>
      <c r="E170" s="829"/>
      <c r="F170" s="833">
        <v>26.8</v>
      </c>
      <c r="G170" s="831">
        <v>2024014901</v>
      </c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</row>
    <row r="171" spans="1:19" ht="18.75" customHeight="1">
      <c r="A171" s="828">
        <v>6414</v>
      </c>
      <c r="B171" s="828" t="s">
        <v>217</v>
      </c>
      <c r="C171" s="826" t="s">
        <v>577</v>
      </c>
      <c r="D171" s="48"/>
      <c r="E171" s="829">
        <v>10.5098577061546</v>
      </c>
      <c r="F171" s="833">
        <v>201.02</v>
      </c>
      <c r="G171" s="831">
        <v>2024014901</v>
      </c>
      <c r="H171" s="43" t="s">
        <v>86</v>
      </c>
      <c r="I171" s="43" t="s">
        <v>86</v>
      </c>
      <c r="J171" s="49"/>
      <c r="K171" s="49"/>
      <c r="L171" s="49"/>
      <c r="M171" s="49"/>
      <c r="N171" s="49"/>
      <c r="O171" s="49"/>
      <c r="P171" s="49"/>
      <c r="Q171" s="49"/>
      <c r="R171" s="49"/>
      <c r="S171" s="49"/>
    </row>
    <row r="172" spans="1:19" ht="18.75" customHeight="1">
      <c r="A172" s="828">
        <v>6415</v>
      </c>
      <c r="B172" s="828" t="s">
        <v>219</v>
      </c>
      <c r="C172" s="826" t="s">
        <v>13</v>
      </c>
      <c r="D172" s="48"/>
      <c r="E172" s="829">
        <v>2</v>
      </c>
      <c r="F172" s="833">
        <v>124.44</v>
      </c>
      <c r="G172" s="831">
        <v>2024014901</v>
      </c>
      <c r="H172" s="43" t="s">
        <v>86</v>
      </c>
      <c r="I172" s="43"/>
      <c r="J172" s="49"/>
      <c r="K172" s="49"/>
      <c r="L172" s="49"/>
      <c r="M172" s="49"/>
      <c r="N172" s="49"/>
      <c r="O172" s="49"/>
      <c r="P172" s="49"/>
      <c r="Q172" s="49"/>
      <c r="R172" s="49"/>
      <c r="S172" s="49"/>
    </row>
    <row r="173" spans="1:19" ht="18.75" customHeight="1">
      <c r="A173" s="828">
        <v>6416</v>
      </c>
      <c r="B173" s="828" t="s">
        <v>254</v>
      </c>
      <c r="C173" s="826" t="s">
        <v>13</v>
      </c>
      <c r="D173" s="48">
        <v>344.2</v>
      </c>
      <c r="E173" s="829">
        <v>3</v>
      </c>
      <c r="F173" s="833">
        <v>143.58000000000001</v>
      </c>
      <c r="G173" s="831">
        <v>2024014901</v>
      </c>
      <c r="H173" s="43"/>
      <c r="I173" s="43" t="s">
        <v>86</v>
      </c>
      <c r="J173" s="49"/>
      <c r="K173" s="49"/>
      <c r="L173" s="49"/>
      <c r="M173" s="49"/>
      <c r="N173" s="49"/>
      <c r="O173" s="49"/>
      <c r="P173" s="49"/>
      <c r="Q173" s="49"/>
      <c r="R173" s="49"/>
      <c r="S173" s="49"/>
    </row>
    <row r="174" spans="1:19" ht="18.75" customHeight="1">
      <c r="A174" s="828">
        <v>6417</v>
      </c>
      <c r="B174" s="828" t="s">
        <v>255</v>
      </c>
      <c r="C174" s="826" t="s">
        <v>13</v>
      </c>
      <c r="D174" s="48">
        <v>211.07</v>
      </c>
      <c r="E174" s="829">
        <v>0.50008571918395295</v>
      </c>
      <c r="F174" s="833">
        <v>71.8</v>
      </c>
      <c r="G174" s="831">
        <v>2024014901</v>
      </c>
      <c r="H174" s="43" t="s">
        <v>86</v>
      </c>
      <c r="I174" s="43"/>
      <c r="J174" s="49"/>
      <c r="K174" s="49"/>
      <c r="L174" s="49"/>
      <c r="M174" s="49"/>
      <c r="N174" s="49"/>
      <c r="O174" s="49"/>
      <c r="P174" s="49"/>
      <c r="Q174" s="49"/>
      <c r="R174" s="49"/>
      <c r="S174" s="49"/>
    </row>
    <row r="175" spans="1:19" ht="18.75" customHeight="1">
      <c r="A175" s="828">
        <v>6418</v>
      </c>
      <c r="B175" s="828" t="s">
        <v>258</v>
      </c>
      <c r="C175" s="826" t="s">
        <v>13</v>
      </c>
      <c r="D175" s="48"/>
      <c r="E175" s="829">
        <v>0.39996571232641898</v>
      </c>
      <c r="F175" s="833">
        <v>14.36</v>
      </c>
      <c r="G175" s="831">
        <v>2024014901</v>
      </c>
      <c r="H175" s="43" t="s">
        <v>86</v>
      </c>
      <c r="I175" s="43"/>
      <c r="J175" s="49"/>
      <c r="K175" s="49"/>
      <c r="L175" s="49"/>
      <c r="M175" s="49"/>
      <c r="N175" s="49"/>
      <c r="O175" s="49"/>
      <c r="P175" s="49"/>
      <c r="Q175" s="49"/>
      <c r="R175" s="49"/>
      <c r="S175" s="49"/>
    </row>
    <row r="176" spans="1:19" ht="18.75" customHeight="1">
      <c r="A176" s="828">
        <v>6419</v>
      </c>
      <c r="B176" s="828" t="s">
        <v>887</v>
      </c>
      <c r="C176" s="826" t="s">
        <v>105</v>
      </c>
      <c r="D176" s="48"/>
      <c r="E176" s="829">
        <v>8</v>
      </c>
      <c r="F176" s="833">
        <v>62.78</v>
      </c>
      <c r="G176" s="831">
        <v>2024014901</v>
      </c>
      <c r="H176" s="43" t="s">
        <v>86</v>
      </c>
      <c r="I176" s="43"/>
      <c r="J176" s="49"/>
      <c r="K176" s="49"/>
      <c r="L176" s="49"/>
      <c r="M176" s="49"/>
      <c r="N176" s="49"/>
      <c r="O176" s="49"/>
      <c r="P176" s="49"/>
      <c r="Q176" s="49"/>
      <c r="R176" s="49"/>
      <c r="S176" s="49"/>
    </row>
    <row r="177" spans="1:19" ht="18.75" customHeight="1">
      <c r="A177" s="828">
        <v>6420</v>
      </c>
      <c r="B177" s="828" t="s">
        <v>312</v>
      </c>
      <c r="C177" s="826" t="s">
        <v>577</v>
      </c>
      <c r="D177" s="48"/>
      <c r="E177" s="829">
        <v>11</v>
      </c>
      <c r="F177" s="833">
        <v>47.86</v>
      </c>
      <c r="G177" s="831">
        <v>2024014901</v>
      </c>
      <c r="H177" s="43" t="s">
        <v>86</v>
      </c>
      <c r="I177" s="43"/>
      <c r="J177" s="49"/>
      <c r="K177" s="49"/>
      <c r="L177" s="49"/>
      <c r="M177" s="49"/>
      <c r="N177" s="49"/>
      <c r="O177" s="49"/>
      <c r="P177" s="49"/>
      <c r="Q177" s="49"/>
      <c r="R177" s="49"/>
      <c r="S177" s="49"/>
    </row>
    <row r="178" spans="1:19" ht="18.75" customHeight="1">
      <c r="A178" s="828">
        <v>6421</v>
      </c>
      <c r="B178" s="828" t="s">
        <v>261</v>
      </c>
      <c r="C178" s="826" t="s">
        <v>105</v>
      </c>
      <c r="D178" s="48">
        <v>1298.8800000000001</v>
      </c>
      <c r="E178" s="829">
        <v>2</v>
      </c>
      <c r="F178" s="833">
        <v>478.61</v>
      </c>
      <c r="G178" s="831">
        <v>2024014901</v>
      </c>
      <c r="H178" s="43"/>
      <c r="I178" s="43" t="s">
        <v>86</v>
      </c>
      <c r="J178" s="49"/>
      <c r="K178" s="49"/>
      <c r="L178" s="49"/>
      <c r="M178" s="49"/>
      <c r="N178" s="49"/>
      <c r="O178" s="49"/>
      <c r="P178" s="49"/>
      <c r="Q178" s="49"/>
      <c r="R178" s="49"/>
      <c r="S178" s="49"/>
    </row>
    <row r="179" spans="1:19" ht="18.75" customHeight="1">
      <c r="A179" s="828">
        <v>6422</v>
      </c>
      <c r="B179" s="828" t="s">
        <v>263</v>
      </c>
      <c r="C179" s="826"/>
      <c r="D179" s="46"/>
      <c r="E179" s="829"/>
      <c r="F179" s="833">
        <v>239.31</v>
      </c>
      <c r="G179" s="831">
        <v>2024014901</v>
      </c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</row>
    <row r="180" spans="1:19" ht="18.75" customHeight="1">
      <c r="A180" s="828">
        <v>6423</v>
      </c>
      <c r="B180" s="828" t="s">
        <v>316</v>
      </c>
      <c r="C180" s="826"/>
      <c r="D180" s="46"/>
      <c r="E180" s="829"/>
      <c r="F180" s="833">
        <v>191.44</v>
      </c>
      <c r="G180" s="831">
        <v>2024014901</v>
      </c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</row>
    <row r="181" spans="1:19" ht="18.75" customHeight="1">
      <c r="A181" s="828">
        <v>6424</v>
      </c>
      <c r="B181" s="828" t="s">
        <v>268</v>
      </c>
      <c r="C181" s="826" t="s">
        <v>13</v>
      </c>
      <c r="D181" s="48">
        <v>40.590000000000003</v>
      </c>
      <c r="E181" s="829">
        <v>0.75004285959197703</v>
      </c>
      <c r="F181" s="833">
        <v>191.44</v>
      </c>
      <c r="G181" s="831">
        <v>2024014901</v>
      </c>
      <c r="H181" s="43" t="s">
        <v>86</v>
      </c>
      <c r="I181" s="43"/>
      <c r="J181" s="49"/>
      <c r="K181" s="49"/>
      <c r="L181" s="49"/>
      <c r="M181" s="49"/>
      <c r="N181" s="49"/>
      <c r="O181" s="49"/>
      <c r="P181" s="49"/>
      <c r="Q181" s="49"/>
      <c r="R181" s="49"/>
      <c r="S181" s="49"/>
    </row>
    <row r="182" spans="1:19" ht="18.75" customHeight="1">
      <c r="A182" s="828">
        <v>6425</v>
      </c>
      <c r="B182" s="828" t="s">
        <v>324</v>
      </c>
      <c r="C182" s="826" t="s">
        <v>13</v>
      </c>
      <c r="D182" s="48"/>
      <c r="E182" s="829">
        <v>3</v>
      </c>
      <c r="F182" s="833">
        <v>430.75</v>
      </c>
      <c r="G182" s="831">
        <v>2024014901</v>
      </c>
      <c r="H182" s="43"/>
      <c r="I182" s="43" t="s">
        <v>86</v>
      </c>
      <c r="J182" s="49"/>
      <c r="K182" s="49"/>
      <c r="L182" s="49"/>
      <c r="M182" s="49"/>
      <c r="N182" s="49"/>
      <c r="O182" s="49"/>
      <c r="P182" s="49"/>
      <c r="Q182" s="49"/>
      <c r="R182" s="49"/>
      <c r="S182" s="49"/>
    </row>
    <row r="183" spans="1:19" ht="18.75" customHeight="1">
      <c r="A183" s="828">
        <v>6426</v>
      </c>
      <c r="B183" s="828" t="s">
        <v>326</v>
      </c>
      <c r="C183" s="826" t="s">
        <v>13</v>
      </c>
      <c r="D183" s="48">
        <v>2273.04</v>
      </c>
      <c r="E183" s="829">
        <v>5.0060003428767402E-2</v>
      </c>
      <c r="F183" s="833">
        <v>382.89</v>
      </c>
      <c r="G183" s="831">
        <v>2024014901</v>
      </c>
      <c r="H183" s="43" t="s">
        <v>86</v>
      </c>
      <c r="I183" s="43"/>
      <c r="J183" s="49"/>
      <c r="K183" s="49"/>
      <c r="L183" s="49"/>
      <c r="M183" s="49"/>
      <c r="N183" s="49"/>
      <c r="O183" s="49"/>
      <c r="P183" s="49"/>
      <c r="Q183" s="49"/>
      <c r="R183" s="49"/>
      <c r="S183" s="49"/>
    </row>
    <row r="184" spans="1:19" ht="18.75" customHeight="1">
      <c r="A184" s="828">
        <v>6427</v>
      </c>
      <c r="B184" s="828" t="s">
        <v>257</v>
      </c>
      <c r="C184" s="826" t="s">
        <v>13</v>
      </c>
      <c r="D184" s="48"/>
      <c r="E184" s="829">
        <v>4</v>
      </c>
      <c r="F184" s="833">
        <v>95.72</v>
      </c>
      <c r="G184" s="831">
        <v>2021014001</v>
      </c>
      <c r="H184" s="43"/>
      <c r="I184" s="43" t="s">
        <v>86</v>
      </c>
      <c r="J184" s="49"/>
      <c r="K184" s="49"/>
      <c r="L184" s="49"/>
      <c r="M184" s="49"/>
      <c r="N184" s="49"/>
      <c r="O184" s="49"/>
      <c r="P184" s="49"/>
      <c r="Q184" s="49"/>
      <c r="R184" s="49"/>
      <c r="S184" s="49"/>
    </row>
    <row r="185" spans="1:19" ht="18.75" customHeight="1">
      <c r="A185" s="828">
        <v>6428</v>
      </c>
      <c r="B185" s="828" t="s">
        <v>293</v>
      </c>
      <c r="C185" s="826" t="s">
        <v>13</v>
      </c>
      <c r="D185" s="48">
        <v>183.47</v>
      </c>
      <c r="E185" s="829">
        <v>2.6200925767186698</v>
      </c>
      <c r="F185" s="833">
        <v>9.58</v>
      </c>
      <c r="G185" s="831">
        <v>2024014901</v>
      </c>
      <c r="H185" s="43" t="s">
        <v>86</v>
      </c>
      <c r="I185" s="43" t="s">
        <v>86</v>
      </c>
      <c r="J185" s="49"/>
      <c r="K185" s="49"/>
      <c r="L185" s="49"/>
      <c r="M185" s="49"/>
      <c r="N185" s="49"/>
      <c r="O185" s="49"/>
      <c r="P185" s="49"/>
      <c r="Q185" s="49"/>
      <c r="R185" s="49"/>
      <c r="S185" s="49"/>
    </row>
    <row r="186" spans="1:19" ht="18.75" customHeight="1">
      <c r="A186" s="828">
        <v>6429</v>
      </c>
      <c r="B186" s="828" t="s">
        <v>300</v>
      </c>
      <c r="C186" s="826" t="s">
        <v>13</v>
      </c>
      <c r="D186" s="48">
        <v>155.87</v>
      </c>
      <c r="E186" s="829">
        <v>0.15000857191839501</v>
      </c>
      <c r="F186" s="833">
        <v>47.86</v>
      </c>
      <c r="G186" s="831">
        <v>2024014901</v>
      </c>
      <c r="H186" s="43" t="s">
        <v>86</v>
      </c>
      <c r="I186" s="43"/>
      <c r="J186" s="49"/>
      <c r="K186" s="49"/>
      <c r="L186" s="49"/>
      <c r="M186" s="49"/>
      <c r="N186" s="49"/>
      <c r="O186" s="49"/>
      <c r="P186" s="49"/>
      <c r="Q186" s="49"/>
      <c r="R186" s="49"/>
      <c r="S186" s="49"/>
    </row>
    <row r="187" spans="1:19" ht="18.75" customHeight="1">
      <c r="A187" s="828">
        <v>6430</v>
      </c>
      <c r="B187" s="828" t="s">
        <v>302</v>
      </c>
      <c r="C187" s="826" t="s">
        <v>13</v>
      </c>
      <c r="D187" s="48">
        <v>73.06</v>
      </c>
      <c r="E187" s="829">
        <v>1</v>
      </c>
      <c r="F187" s="833">
        <v>47.86</v>
      </c>
      <c r="G187" s="831">
        <v>2024014901</v>
      </c>
      <c r="H187" s="43" t="s">
        <v>86</v>
      </c>
      <c r="I187" s="43"/>
      <c r="J187" s="49"/>
      <c r="K187" s="49"/>
      <c r="L187" s="49"/>
      <c r="M187" s="49"/>
      <c r="N187" s="49"/>
      <c r="O187" s="49"/>
      <c r="P187" s="49"/>
      <c r="Q187" s="49"/>
      <c r="R187" s="49"/>
      <c r="S187" s="49"/>
    </row>
    <row r="188" spans="1:19" ht="18.75" customHeight="1">
      <c r="A188" s="828">
        <v>6431</v>
      </c>
      <c r="B188" s="828" t="s">
        <v>303</v>
      </c>
      <c r="C188" s="826" t="s">
        <v>13</v>
      </c>
      <c r="D188" s="48">
        <v>324.72000000000003</v>
      </c>
      <c r="E188" s="829">
        <v>0.30001714383679101</v>
      </c>
      <c r="F188" s="833">
        <v>47.86</v>
      </c>
      <c r="G188" s="831">
        <v>2024014901</v>
      </c>
      <c r="H188" s="43"/>
      <c r="I188" s="43" t="s">
        <v>86</v>
      </c>
      <c r="J188" s="49"/>
      <c r="K188" s="49"/>
      <c r="L188" s="49"/>
      <c r="M188" s="49"/>
      <c r="N188" s="49"/>
      <c r="O188" s="49"/>
      <c r="P188" s="49"/>
      <c r="Q188" s="49"/>
      <c r="R188" s="49"/>
      <c r="S188" s="49"/>
    </row>
    <row r="189" spans="1:19" ht="18.75" customHeight="1">
      <c r="A189" s="828">
        <v>6432</v>
      </c>
      <c r="B189" s="828" t="s">
        <v>305</v>
      </c>
      <c r="C189" s="826" t="s">
        <v>13</v>
      </c>
      <c r="D189" s="48">
        <v>9741.6</v>
      </c>
      <c r="E189" s="829">
        <v>0.30001714383679101</v>
      </c>
      <c r="F189" s="833">
        <v>47.86</v>
      </c>
      <c r="G189" s="831">
        <v>2021014001</v>
      </c>
      <c r="H189" s="43"/>
      <c r="I189" s="43" t="s">
        <v>86</v>
      </c>
      <c r="J189" s="49"/>
      <c r="K189" s="49"/>
      <c r="L189" s="49"/>
      <c r="M189" s="49"/>
      <c r="N189" s="49"/>
      <c r="O189" s="49"/>
      <c r="P189" s="49"/>
      <c r="Q189" s="49"/>
      <c r="R189" s="49"/>
      <c r="S189" s="49"/>
    </row>
    <row r="190" spans="1:19" ht="18.75" customHeight="1">
      <c r="A190" s="828">
        <v>6433</v>
      </c>
      <c r="B190" s="828" t="s">
        <v>421</v>
      </c>
      <c r="C190" s="826" t="s">
        <v>13</v>
      </c>
      <c r="D190" s="48"/>
      <c r="E190" s="829">
        <v>11</v>
      </c>
      <c r="F190" s="833">
        <v>1340.11</v>
      </c>
      <c r="G190" s="831">
        <v>2024014901</v>
      </c>
      <c r="H190" s="43" t="s">
        <v>86</v>
      </c>
      <c r="I190" s="43"/>
      <c r="J190" s="49"/>
      <c r="K190" s="49"/>
      <c r="L190" s="49"/>
      <c r="M190" s="49"/>
      <c r="N190" s="49"/>
      <c r="O190" s="49"/>
      <c r="P190" s="49"/>
      <c r="Q190" s="49"/>
      <c r="R190" s="49"/>
      <c r="S190" s="49"/>
    </row>
    <row r="191" spans="1:19" ht="18.75" customHeight="1">
      <c r="A191" s="828">
        <v>6434</v>
      </c>
      <c r="B191" s="828" t="s">
        <v>422</v>
      </c>
      <c r="C191" s="826"/>
      <c r="D191" s="46"/>
      <c r="E191" s="829"/>
      <c r="F191" s="833">
        <v>1340.11</v>
      </c>
      <c r="G191" s="831">
        <v>2024014901</v>
      </c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</row>
    <row r="192" spans="1:19" ht="18.75" customHeight="1">
      <c r="A192" s="828">
        <v>6435</v>
      </c>
      <c r="B192" s="828" t="s">
        <v>425</v>
      </c>
      <c r="C192" s="826" t="s">
        <v>13</v>
      </c>
      <c r="D192" s="48"/>
      <c r="E192" s="829">
        <v>0.15000857191839501</v>
      </c>
      <c r="F192" s="833">
        <v>19.14</v>
      </c>
      <c r="G192" s="831">
        <v>2024014901</v>
      </c>
      <c r="H192" s="43" t="s">
        <v>86</v>
      </c>
      <c r="I192" s="43"/>
      <c r="J192" s="49"/>
      <c r="K192" s="49"/>
      <c r="L192" s="49"/>
      <c r="M192" s="49"/>
      <c r="N192" s="49"/>
      <c r="O192" s="49"/>
      <c r="P192" s="49"/>
      <c r="Q192" s="49"/>
      <c r="R192" s="49"/>
      <c r="S192" s="49"/>
    </row>
    <row r="193" spans="1:19" ht="18.75" customHeight="1">
      <c r="A193" s="828">
        <v>6436</v>
      </c>
      <c r="B193" s="828" t="s">
        <v>372</v>
      </c>
      <c r="C193" s="826" t="s">
        <v>13</v>
      </c>
      <c r="D193" s="48">
        <v>86.05</v>
      </c>
      <c r="E193" s="829">
        <v>0.30001714383679101</v>
      </c>
      <c r="F193" s="833">
        <v>124.44</v>
      </c>
      <c r="G193" s="831">
        <v>2021014001</v>
      </c>
      <c r="H193" s="43"/>
      <c r="I193" s="43" t="s">
        <v>86</v>
      </c>
      <c r="J193" s="49"/>
      <c r="K193" s="49"/>
      <c r="L193" s="49"/>
      <c r="M193" s="49"/>
      <c r="N193" s="49"/>
      <c r="O193" s="49"/>
      <c r="P193" s="49"/>
      <c r="Q193" s="49"/>
      <c r="R193" s="49"/>
      <c r="S193" s="49"/>
    </row>
    <row r="194" spans="1:19" ht="18.75" customHeight="1">
      <c r="A194" s="828">
        <v>6437</v>
      </c>
      <c r="B194" s="828" t="s">
        <v>374</v>
      </c>
      <c r="C194" s="826" t="s">
        <v>13</v>
      </c>
      <c r="D194" s="48"/>
      <c r="E194" s="829">
        <v>1.74987142122407</v>
      </c>
      <c r="F194" s="833">
        <v>124.44</v>
      </c>
      <c r="G194" s="831">
        <v>2024014901</v>
      </c>
      <c r="H194" s="43" t="s">
        <v>86</v>
      </c>
      <c r="I194" s="43" t="s">
        <v>86</v>
      </c>
      <c r="J194" s="49"/>
      <c r="K194" s="49"/>
      <c r="L194" s="49"/>
      <c r="M194" s="49"/>
      <c r="N194" s="49"/>
      <c r="O194" s="49"/>
      <c r="P194" s="49"/>
      <c r="Q194" s="49"/>
      <c r="R194" s="49"/>
      <c r="S194" s="49"/>
    </row>
    <row r="195" spans="1:19" ht="18.75" customHeight="1">
      <c r="A195" s="828">
        <v>6438</v>
      </c>
      <c r="B195" s="828" t="s">
        <v>356</v>
      </c>
      <c r="C195" s="826" t="s">
        <v>105</v>
      </c>
      <c r="D195" s="48"/>
      <c r="E195" s="829">
        <v>0.06</v>
      </c>
      <c r="F195" s="833">
        <v>47.86</v>
      </c>
      <c r="G195" s="831"/>
      <c r="H195" s="43" t="s">
        <v>86</v>
      </c>
      <c r="I195" s="43"/>
      <c r="J195" s="49"/>
      <c r="K195" s="49"/>
      <c r="L195" s="49"/>
      <c r="M195" s="49"/>
      <c r="N195" s="49"/>
      <c r="O195" s="49"/>
      <c r="P195" s="49"/>
      <c r="Q195" s="49"/>
      <c r="R195" s="49"/>
      <c r="S195" s="49"/>
    </row>
    <row r="196" spans="1:19" ht="18.75" customHeight="1">
      <c r="A196" s="828">
        <v>6439</v>
      </c>
      <c r="B196" s="828" t="s">
        <v>359</v>
      </c>
      <c r="C196" s="826" t="s">
        <v>13</v>
      </c>
      <c r="D196" s="48"/>
      <c r="E196" s="829">
        <v>4</v>
      </c>
      <c r="F196" s="833">
        <v>19.14</v>
      </c>
      <c r="G196" s="831">
        <v>2024014901</v>
      </c>
      <c r="H196" s="43" t="s">
        <v>86</v>
      </c>
      <c r="I196" s="43"/>
      <c r="J196" s="49"/>
      <c r="K196" s="49"/>
      <c r="L196" s="49"/>
      <c r="M196" s="49"/>
      <c r="N196" s="49"/>
      <c r="O196" s="49"/>
      <c r="P196" s="49"/>
      <c r="Q196" s="49"/>
      <c r="R196" s="49"/>
      <c r="S196" s="49"/>
    </row>
    <row r="197" spans="1:19" ht="18.75" customHeight="1">
      <c r="A197" s="828">
        <v>6440</v>
      </c>
      <c r="B197" s="828" t="s">
        <v>360</v>
      </c>
      <c r="C197" s="826" t="s">
        <v>13</v>
      </c>
      <c r="D197" s="48"/>
      <c r="E197" s="829">
        <v>1.71438367906738E-2</v>
      </c>
      <c r="F197" s="833">
        <v>9.58</v>
      </c>
      <c r="G197" s="831">
        <v>2024014901</v>
      </c>
      <c r="H197" s="43" t="s">
        <v>86</v>
      </c>
      <c r="I197" s="43"/>
      <c r="J197" s="49"/>
      <c r="K197" s="49"/>
      <c r="L197" s="49"/>
      <c r="M197" s="49"/>
      <c r="N197" s="49"/>
      <c r="O197" s="49"/>
      <c r="P197" s="49"/>
      <c r="Q197" s="49"/>
      <c r="R197" s="49"/>
      <c r="S197" s="49"/>
    </row>
    <row r="198" spans="1:19" ht="18.75" customHeight="1">
      <c r="A198" s="828">
        <v>6441</v>
      </c>
      <c r="B198" s="828" t="s">
        <v>362</v>
      </c>
      <c r="C198" s="826" t="s">
        <v>13</v>
      </c>
      <c r="D198" s="48"/>
      <c r="E198" s="829">
        <v>0.39996571232641898</v>
      </c>
      <c r="F198" s="833">
        <v>47.86</v>
      </c>
      <c r="G198" s="831">
        <v>2021014001</v>
      </c>
      <c r="H198" s="43"/>
      <c r="I198" s="43" t="s">
        <v>86</v>
      </c>
      <c r="J198" s="49"/>
      <c r="K198" s="49"/>
      <c r="L198" s="49"/>
      <c r="M198" s="49"/>
      <c r="N198" s="49"/>
      <c r="O198" s="49"/>
      <c r="P198" s="49"/>
      <c r="Q198" s="49"/>
      <c r="R198" s="49"/>
      <c r="S198" s="49"/>
    </row>
    <row r="199" spans="1:19" ht="18.75" customHeight="1">
      <c r="A199" s="828">
        <v>6442</v>
      </c>
      <c r="B199" s="828" t="s">
        <v>364</v>
      </c>
      <c r="C199" s="826" t="s">
        <v>13</v>
      </c>
      <c r="D199" s="48"/>
      <c r="E199" s="829">
        <v>0.39996571232641898</v>
      </c>
      <c r="F199" s="833">
        <v>47.86</v>
      </c>
      <c r="G199" s="831">
        <v>2021014001</v>
      </c>
      <c r="H199" s="43"/>
      <c r="I199" s="43" t="s">
        <v>86</v>
      </c>
      <c r="J199" s="49"/>
      <c r="K199" s="49"/>
      <c r="L199" s="49"/>
      <c r="M199" s="49"/>
      <c r="N199" s="49"/>
      <c r="O199" s="49"/>
      <c r="P199" s="49"/>
      <c r="Q199" s="49"/>
      <c r="R199" s="49"/>
      <c r="S199" s="49"/>
    </row>
    <row r="200" spans="1:19" ht="18.75" customHeight="1">
      <c r="A200" s="828">
        <v>6443</v>
      </c>
      <c r="B200" s="828" t="s">
        <v>366</v>
      </c>
      <c r="C200" s="826"/>
      <c r="D200" s="46"/>
      <c r="E200" s="829"/>
      <c r="F200" s="833">
        <v>19.14</v>
      </c>
      <c r="G200" s="831">
        <v>2024014901</v>
      </c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</row>
    <row r="201" spans="1:19" ht="18.75" customHeight="1">
      <c r="A201" s="828">
        <v>6444</v>
      </c>
      <c r="B201" s="828" t="s">
        <v>365</v>
      </c>
      <c r="C201" s="826"/>
      <c r="D201" s="46"/>
      <c r="E201" s="829"/>
      <c r="F201" s="833">
        <v>9.58</v>
      </c>
      <c r="G201" s="831">
        <v>2024014901</v>
      </c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</row>
    <row r="202" spans="1:19" ht="18.75" customHeight="1">
      <c r="A202" s="828">
        <v>6445</v>
      </c>
      <c r="B202" s="828" t="s">
        <v>347</v>
      </c>
      <c r="C202" s="826"/>
      <c r="D202" s="46"/>
      <c r="E202" s="829"/>
      <c r="F202" s="833">
        <v>47.86</v>
      </c>
      <c r="G202" s="831">
        <v>2024014901</v>
      </c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</row>
    <row r="203" spans="1:19" ht="18.75" customHeight="1">
      <c r="A203" s="828">
        <v>6446</v>
      </c>
      <c r="B203" s="828" t="s">
        <v>351</v>
      </c>
      <c r="C203" s="826" t="s">
        <v>13</v>
      </c>
      <c r="D203" s="48"/>
      <c r="E203" s="829">
        <v>4.3800788616492401</v>
      </c>
      <c r="F203" s="833">
        <v>765.78</v>
      </c>
      <c r="G203" s="831">
        <v>2024014901</v>
      </c>
      <c r="H203" s="43" t="s">
        <v>86</v>
      </c>
      <c r="I203" s="43" t="s">
        <v>86</v>
      </c>
      <c r="J203" s="49"/>
      <c r="K203" s="49"/>
      <c r="L203" s="49"/>
      <c r="M203" s="49"/>
      <c r="N203" s="49"/>
      <c r="O203" s="49"/>
      <c r="P203" s="49"/>
      <c r="Q203" s="49"/>
      <c r="R203" s="49"/>
      <c r="S203" s="49"/>
    </row>
    <row r="204" spans="1:19" ht="18.75" customHeight="1">
      <c r="A204" s="828">
        <v>6447</v>
      </c>
      <c r="B204" s="828" t="s">
        <v>352</v>
      </c>
      <c r="C204" s="826" t="s">
        <v>13</v>
      </c>
      <c r="D204" s="48"/>
      <c r="E204" s="829">
        <v>7</v>
      </c>
      <c r="F204" s="833">
        <v>47.86</v>
      </c>
      <c r="G204" s="831">
        <v>2024014901</v>
      </c>
      <c r="H204" s="43" t="s">
        <v>86</v>
      </c>
      <c r="I204" s="43" t="s">
        <v>86</v>
      </c>
      <c r="J204" s="49"/>
      <c r="K204" s="49"/>
      <c r="L204" s="49"/>
      <c r="M204" s="49"/>
      <c r="N204" s="49"/>
      <c r="O204" s="49"/>
      <c r="P204" s="49"/>
      <c r="Q204" s="49"/>
      <c r="R204" s="49"/>
      <c r="S204" s="49"/>
    </row>
    <row r="205" spans="1:19" ht="18.75" customHeight="1">
      <c r="A205" s="828">
        <v>6448</v>
      </c>
      <c r="B205" s="828" t="s">
        <v>355</v>
      </c>
      <c r="C205" s="826"/>
      <c r="D205" s="46"/>
      <c r="E205" s="829"/>
      <c r="F205" s="833">
        <v>47.86</v>
      </c>
      <c r="G205" s="831">
        <v>2024014901</v>
      </c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</row>
    <row r="206" spans="1:19" ht="18.75" customHeight="1">
      <c r="A206" s="828">
        <v>6449</v>
      </c>
      <c r="B206" s="828" t="s">
        <v>426</v>
      </c>
      <c r="C206" s="826"/>
      <c r="D206" s="46"/>
      <c r="E206" s="829"/>
      <c r="F206" s="833">
        <v>191.44</v>
      </c>
      <c r="G206" s="831">
        <v>2024014901</v>
      </c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</row>
    <row r="207" spans="1:19" ht="18.75" customHeight="1">
      <c r="A207" s="828">
        <v>6450</v>
      </c>
      <c r="B207" s="828" t="s">
        <v>427</v>
      </c>
      <c r="C207" s="826" t="s">
        <v>13</v>
      </c>
      <c r="D207" s="48"/>
      <c r="E207" s="829">
        <v>6</v>
      </c>
      <c r="F207" s="833">
        <v>574.33000000000004</v>
      </c>
      <c r="G207" s="831"/>
      <c r="H207" s="43" t="s">
        <v>86</v>
      </c>
      <c r="I207" s="43"/>
      <c r="J207" s="49"/>
      <c r="K207" s="49"/>
      <c r="L207" s="49"/>
      <c r="M207" s="49"/>
      <c r="N207" s="49"/>
      <c r="O207" s="49"/>
      <c r="P207" s="49"/>
      <c r="Q207" s="49"/>
      <c r="R207" s="49"/>
      <c r="S207" s="49"/>
    </row>
    <row r="208" spans="1:19" ht="18.75" customHeight="1">
      <c r="A208" s="828">
        <v>6451</v>
      </c>
      <c r="B208" s="828" t="s">
        <v>443</v>
      </c>
      <c r="C208" s="826" t="s">
        <v>13</v>
      </c>
      <c r="D208" s="48"/>
      <c r="E208" s="829">
        <v>1</v>
      </c>
      <c r="F208" s="833">
        <v>89.98</v>
      </c>
      <c r="G208" s="831">
        <v>2024014901</v>
      </c>
      <c r="H208" s="43" t="s">
        <v>86</v>
      </c>
      <c r="I208" s="43"/>
      <c r="J208" s="49"/>
      <c r="K208" s="49"/>
      <c r="L208" s="49"/>
      <c r="M208" s="49"/>
      <c r="N208" s="49"/>
      <c r="O208" s="49"/>
      <c r="P208" s="49"/>
      <c r="Q208" s="49"/>
      <c r="R208" s="49"/>
      <c r="S208" s="49"/>
    </row>
    <row r="209" spans="1:19" ht="18.75" customHeight="1">
      <c r="A209" s="828">
        <v>6452</v>
      </c>
      <c r="B209" s="828" t="s">
        <v>434</v>
      </c>
      <c r="C209" s="826" t="s">
        <v>13</v>
      </c>
      <c r="D209" s="48"/>
      <c r="E209" s="829">
        <v>1.71438367906738E-2</v>
      </c>
      <c r="F209" s="833">
        <v>9.58</v>
      </c>
      <c r="G209" s="831">
        <v>2024014901</v>
      </c>
      <c r="H209" s="43" t="s">
        <v>86</v>
      </c>
      <c r="I209" s="43"/>
      <c r="J209" s="49"/>
      <c r="K209" s="49"/>
      <c r="L209" s="49"/>
      <c r="M209" s="49"/>
      <c r="N209" s="49"/>
      <c r="O209" s="49"/>
      <c r="P209" s="49"/>
      <c r="Q209" s="49"/>
      <c r="R209" s="49"/>
      <c r="S209" s="49"/>
    </row>
    <row r="210" spans="1:19" ht="18.75" customHeight="1">
      <c r="A210" s="828">
        <v>6453</v>
      </c>
      <c r="B210" s="828" t="s">
        <v>463</v>
      </c>
      <c r="C210" s="826" t="s">
        <v>13</v>
      </c>
      <c r="D210" s="48"/>
      <c r="E210" s="829">
        <v>16.129950282873299</v>
      </c>
      <c r="F210" s="833">
        <v>95.72</v>
      </c>
      <c r="G210" s="831">
        <v>2024014901</v>
      </c>
      <c r="H210" s="43" t="s">
        <v>86</v>
      </c>
      <c r="I210" s="43"/>
      <c r="J210" s="49"/>
      <c r="K210" s="49"/>
      <c r="L210" s="49"/>
      <c r="M210" s="49"/>
      <c r="N210" s="49"/>
      <c r="O210" s="49"/>
      <c r="P210" s="49"/>
      <c r="Q210" s="49"/>
      <c r="R210" s="49"/>
      <c r="S210" s="49"/>
    </row>
    <row r="211" spans="1:19" ht="18.75" customHeight="1">
      <c r="A211" s="828">
        <v>6454</v>
      </c>
      <c r="B211" s="828" t="s">
        <v>464</v>
      </c>
      <c r="C211" s="826" t="s">
        <v>13</v>
      </c>
      <c r="D211" s="48">
        <v>73.06</v>
      </c>
      <c r="E211" s="829">
        <v>28.8199897136979</v>
      </c>
      <c r="F211" s="833">
        <v>71.8</v>
      </c>
      <c r="G211" s="831">
        <v>2024014901</v>
      </c>
      <c r="H211" s="43" t="s">
        <v>86</v>
      </c>
      <c r="I211" s="43"/>
      <c r="J211" s="49"/>
      <c r="K211" s="49"/>
      <c r="L211" s="49"/>
      <c r="M211" s="49"/>
      <c r="N211" s="49"/>
      <c r="O211" s="49"/>
      <c r="P211" s="49"/>
      <c r="Q211" s="49"/>
      <c r="R211" s="49"/>
      <c r="S211" s="49"/>
    </row>
    <row r="212" spans="1:19" ht="18.75" customHeight="1">
      <c r="A212" s="828">
        <v>6455</v>
      </c>
      <c r="B212" s="828" t="s">
        <v>121</v>
      </c>
      <c r="C212" s="826" t="s">
        <v>13</v>
      </c>
      <c r="D212" s="48"/>
      <c r="E212" s="829">
        <v>9.9948568489628006E-2</v>
      </c>
      <c r="F212" s="833">
        <v>38.28</v>
      </c>
      <c r="G212" s="831">
        <v>2021014001</v>
      </c>
      <c r="H212" s="43"/>
      <c r="I212" s="43" t="s">
        <v>86</v>
      </c>
      <c r="J212" s="49"/>
      <c r="K212" s="49"/>
      <c r="L212" s="49"/>
      <c r="M212" s="49"/>
      <c r="N212" s="49"/>
      <c r="O212" s="49"/>
      <c r="P212" s="49"/>
      <c r="Q212" s="49"/>
      <c r="R212" s="49"/>
      <c r="S212" s="49"/>
    </row>
    <row r="213" spans="1:19" ht="18.75" customHeight="1">
      <c r="A213" s="828">
        <v>6456</v>
      </c>
      <c r="B213" s="828" t="s">
        <v>120</v>
      </c>
      <c r="C213" s="826" t="s">
        <v>13</v>
      </c>
      <c r="D213" s="48">
        <v>40.590000000000003</v>
      </c>
      <c r="E213" s="829">
        <v>22</v>
      </c>
      <c r="F213" s="833">
        <v>19.14</v>
      </c>
      <c r="G213" s="831">
        <v>2024014901</v>
      </c>
      <c r="H213" s="43" t="s">
        <v>86</v>
      </c>
      <c r="I213" s="43"/>
      <c r="J213" s="49"/>
      <c r="K213" s="49"/>
      <c r="L213" s="49"/>
      <c r="M213" s="49"/>
      <c r="N213" s="49"/>
      <c r="O213" s="49"/>
      <c r="P213" s="49"/>
      <c r="Q213" s="49"/>
      <c r="R213" s="49"/>
      <c r="S213" s="49"/>
    </row>
    <row r="214" spans="1:19" ht="18.75" customHeight="1">
      <c r="A214" s="828">
        <v>6458</v>
      </c>
      <c r="B214" s="828" t="s">
        <v>333</v>
      </c>
      <c r="C214" s="826"/>
      <c r="D214" s="46"/>
      <c r="E214" s="829"/>
      <c r="F214" s="833">
        <v>1052.94</v>
      </c>
      <c r="G214" s="831">
        <v>2024014901</v>
      </c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</row>
    <row r="215" spans="1:19" ht="18.75" customHeight="1">
      <c r="A215" s="828">
        <v>6459</v>
      </c>
      <c r="B215" s="828" t="s">
        <v>337</v>
      </c>
      <c r="C215" s="826"/>
      <c r="D215" s="46"/>
      <c r="E215" s="829"/>
      <c r="F215" s="833">
        <v>191.44</v>
      </c>
      <c r="G215" s="831">
        <v>2024014901</v>
      </c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</row>
    <row r="216" spans="1:19" ht="18.75" customHeight="1">
      <c r="A216" s="828">
        <v>6461</v>
      </c>
      <c r="B216" s="828" t="s">
        <v>201</v>
      </c>
      <c r="C216" s="826" t="s">
        <v>13</v>
      </c>
      <c r="D216" s="48"/>
      <c r="E216" s="829">
        <v>1.71438367906738E-2</v>
      </c>
      <c r="F216" s="833">
        <v>191.44</v>
      </c>
      <c r="G216" s="831">
        <v>2024014901</v>
      </c>
      <c r="H216" s="43" t="s">
        <v>86</v>
      </c>
      <c r="I216" s="43"/>
      <c r="J216" s="49"/>
      <c r="K216" s="49"/>
      <c r="L216" s="49"/>
      <c r="M216" s="49"/>
      <c r="N216" s="49"/>
      <c r="O216" s="49"/>
      <c r="P216" s="49"/>
      <c r="Q216" s="49"/>
      <c r="R216" s="49"/>
      <c r="S216" s="49"/>
    </row>
    <row r="217" spans="1:19" ht="18.75" customHeight="1">
      <c r="A217" s="828">
        <v>6462</v>
      </c>
      <c r="B217" s="828" t="s">
        <v>252</v>
      </c>
      <c r="C217" s="826" t="s">
        <v>13</v>
      </c>
      <c r="D217" s="48"/>
      <c r="E217" s="829">
        <v>0.12995028287330701</v>
      </c>
      <c r="F217" s="833">
        <v>57.44</v>
      </c>
      <c r="G217" s="831">
        <v>2024014901</v>
      </c>
      <c r="H217" s="43" t="s">
        <v>86</v>
      </c>
      <c r="I217" s="43"/>
      <c r="J217" s="49"/>
      <c r="K217" s="49"/>
      <c r="L217" s="49"/>
      <c r="M217" s="49"/>
      <c r="N217" s="49"/>
      <c r="O217" s="49"/>
      <c r="P217" s="49"/>
      <c r="Q217" s="49"/>
      <c r="R217" s="49"/>
      <c r="S217" s="49"/>
    </row>
    <row r="218" spans="1:19" ht="18.75" customHeight="1">
      <c r="A218" s="828">
        <v>6463</v>
      </c>
      <c r="B218" s="828" t="s">
        <v>404</v>
      </c>
      <c r="C218" s="826"/>
      <c r="D218" s="46"/>
      <c r="E218" s="829"/>
      <c r="F218" s="833">
        <v>124.44</v>
      </c>
      <c r="G218" s="831">
        <v>2024014901</v>
      </c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</row>
    <row r="219" spans="1:19" ht="18.75" customHeight="1">
      <c r="A219" s="828">
        <v>6466</v>
      </c>
      <c r="B219" s="828" t="s">
        <v>445</v>
      </c>
      <c r="C219" s="826"/>
      <c r="D219" s="46"/>
      <c r="E219" s="829"/>
      <c r="F219" s="833">
        <v>287.17</v>
      </c>
      <c r="G219" s="831">
        <v>2024014901</v>
      </c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</row>
    <row r="220" spans="1:19" ht="18.75" customHeight="1">
      <c r="A220" s="828">
        <v>6467</v>
      </c>
      <c r="B220" s="828" t="s">
        <v>106</v>
      </c>
      <c r="C220" s="826"/>
      <c r="D220" s="46"/>
      <c r="E220" s="829"/>
      <c r="F220" s="833">
        <v>1914.44</v>
      </c>
      <c r="G220" s="831">
        <v>2024014901</v>
      </c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</row>
    <row r="221" spans="1:19" ht="18.75" customHeight="1">
      <c r="A221" s="828">
        <v>6468</v>
      </c>
      <c r="B221" s="828" t="s">
        <v>104</v>
      </c>
      <c r="C221" s="826" t="s">
        <v>13</v>
      </c>
      <c r="D221" s="48"/>
      <c r="E221" s="829">
        <v>0.50008571918395295</v>
      </c>
      <c r="F221" s="833">
        <v>1531.56</v>
      </c>
      <c r="G221" s="831">
        <v>2024014901</v>
      </c>
      <c r="H221" s="43" t="s">
        <v>86</v>
      </c>
      <c r="I221" s="43"/>
      <c r="J221" s="49"/>
      <c r="K221" s="49"/>
      <c r="L221" s="49"/>
      <c r="M221" s="49"/>
      <c r="N221" s="49"/>
      <c r="O221" s="49"/>
      <c r="P221" s="49"/>
      <c r="Q221" s="49"/>
      <c r="R221" s="49"/>
      <c r="S221" s="49"/>
    </row>
    <row r="222" spans="1:19" ht="18.75" customHeight="1">
      <c r="A222" s="828">
        <v>6469</v>
      </c>
      <c r="B222" s="828" t="s">
        <v>212</v>
      </c>
      <c r="C222" s="826" t="s">
        <v>13</v>
      </c>
      <c r="D222" s="48"/>
      <c r="E222" s="829">
        <v>6.0003428767358098E-2</v>
      </c>
      <c r="F222" s="834">
        <v>287.17</v>
      </c>
      <c r="G222" s="831">
        <v>2024014901</v>
      </c>
      <c r="H222" s="43" t="s">
        <v>86</v>
      </c>
      <c r="I222" s="43"/>
      <c r="J222" s="49"/>
      <c r="K222" s="49"/>
      <c r="L222" s="49"/>
      <c r="M222" s="49"/>
      <c r="N222" s="49"/>
      <c r="O222" s="49"/>
      <c r="P222" s="49"/>
      <c r="Q222" s="49"/>
      <c r="R222" s="49"/>
      <c r="S222" s="49"/>
    </row>
    <row r="223" spans="1:19" ht="18.75" customHeight="1">
      <c r="A223" s="828">
        <v>6470</v>
      </c>
      <c r="B223" s="828" t="s">
        <v>210</v>
      </c>
      <c r="C223" s="826" t="s">
        <v>13</v>
      </c>
      <c r="D223" s="48">
        <v>276.01</v>
      </c>
      <c r="E223" s="829">
        <v>9.9948568489628006E-2</v>
      </c>
      <c r="F223" s="833">
        <v>47.86</v>
      </c>
      <c r="G223" s="831">
        <v>2021014001</v>
      </c>
      <c r="H223" s="43"/>
      <c r="I223" s="43" t="s">
        <v>86</v>
      </c>
      <c r="J223" s="49"/>
      <c r="K223" s="49"/>
      <c r="L223" s="49"/>
      <c r="M223" s="49"/>
      <c r="N223" s="49"/>
      <c r="O223" s="49"/>
      <c r="P223" s="49"/>
      <c r="Q223" s="49"/>
      <c r="R223" s="49"/>
      <c r="S223" s="49"/>
    </row>
    <row r="224" spans="1:19" ht="18.75" customHeight="1">
      <c r="A224" s="828">
        <v>6472</v>
      </c>
      <c r="B224" s="828" t="s">
        <v>309</v>
      </c>
      <c r="C224" s="826" t="s">
        <v>13</v>
      </c>
      <c r="D224" s="48"/>
      <c r="E224" s="829">
        <v>8.0061717812446406E-2</v>
      </c>
      <c r="F224" s="833">
        <v>19.14</v>
      </c>
      <c r="G224" s="831">
        <v>2024014901</v>
      </c>
      <c r="H224" s="43" t="s">
        <v>86</v>
      </c>
      <c r="I224" s="43"/>
      <c r="J224" s="49"/>
      <c r="K224" s="49"/>
      <c r="L224" s="49"/>
      <c r="M224" s="49"/>
      <c r="N224" s="49"/>
      <c r="O224" s="49"/>
      <c r="P224" s="49"/>
      <c r="Q224" s="49"/>
      <c r="R224" s="49"/>
      <c r="S224" s="49"/>
    </row>
    <row r="225" spans="1:19" ht="18.75" customHeight="1">
      <c r="A225" s="828">
        <v>6473</v>
      </c>
      <c r="B225" s="828" t="s">
        <v>251</v>
      </c>
      <c r="C225" s="826" t="s">
        <v>13</v>
      </c>
      <c r="D225" s="48"/>
      <c r="E225" s="829">
        <v>2.6699811417795298</v>
      </c>
      <c r="F225" s="833">
        <v>4.78</v>
      </c>
      <c r="G225" s="831">
        <v>2024014901</v>
      </c>
      <c r="H225" s="43" t="s">
        <v>86</v>
      </c>
      <c r="I225" s="43"/>
      <c r="J225" s="49"/>
      <c r="K225" s="49"/>
      <c r="L225" s="49"/>
      <c r="M225" s="49"/>
      <c r="N225" s="49"/>
      <c r="O225" s="49"/>
      <c r="P225" s="49"/>
      <c r="Q225" s="49"/>
      <c r="R225" s="49"/>
      <c r="S225" s="49"/>
    </row>
    <row r="226" spans="1:19" ht="18.75" customHeight="1">
      <c r="A226" s="828">
        <v>6474</v>
      </c>
      <c r="B226" s="828" t="s">
        <v>236</v>
      </c>
      <c r="C226" s="826"/>
      <c r="D226" s="46"/>
      <c r="E226" s="829"/>
      <c r="F226" s="833">
        <v>5360.44</v>
      </c>
      <c r="G226" s="831">
        <v>2024014901</v>
      </c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</row>
    <row r="227" spans="1:19" ht="18.75" customHeight="1">
      <c r="A227" s="828">
        <v>6475</v>
      </c>
      <c r="B227" s="828" t="s">
        <v>237</v>
      </c>
      <c r="C227" s="826" t="s">
        <v>13</v>
      </c>
      <c r="D227" s="48"/>
      <c r="E227" s="829">
        <v>0.68986799245671204</v>
      </c>
      <c r="F227" s="833">
        <v>2680.22</v>
      </c>
      <c r="G227" s="831">
        <v>2024014901</v>
      </c>
      <c r="H227" s="43" t="s">
        <v>86</v>
      </c>
      <c r="I227" s="43" t="s">
        <v>86</v>
      </c>
      <c r="J227" s="49"/>
      <c r="K227" s="49"/>
      <c r="L227" s="49"/>
      <c r="M227" s="49"/>
      <c r="N227" s="49"/>
      <c r="O227" s="49"/>
      <c r="P227" s="49"/>
      <c r="Q227" s="49"/>
      <c r="R227" s="49"/>
      <c r="S227" s="49"/>
    </row>
    <row r="228" spans="1:19" ht="18.75" customHeight="1">
      <c r="A228" s="828">
        <v>6477</v>
      </c>
      <c r="B228" s="828" t="s">
        <v>416</v>
      </c>
      <c r="C228" s="826" t="s">
        <v>13</v>
      </c>
      <c r="D228" s="48">
        <v>974.16</v>
      </c>
      <c r="E228" s="829">
        <v>0.72998457054688803</v>
      </c>
      <c r="F228" s="833">
        <v>153.16</v>
      </c>
      <c r="G228" s="831">
        <v>2024014901</v>
      </c>
      <c r="H228" s="43" t="s">
        <v>86</v>
      </c>
      <c r="I228" s="43"/>
      <c r="J228" s="49"/>
      <c r="K228" s="49"/>
      <c r="L228" s="49"/>
      <c r="M228" s="49"/>
      <c r="N228" s="49"/>
      <c r="O228" s="49"/>
      <c r="P228" s="49"/>
      <c r="Q228" s="49"/>
      <c r="R228" s="49"/>
      <c r="S228" s="49"/>
    </row>
    <row r="229" spans="1:19" ht="18.75" customHeight="1">
      <c r="A229" s="828">
        <v>6478</v>
      </c>
      <c r="B229" s="828" t="s">
        <v>417</v>
      </c>
      <c r="C229" s="826" t="s">
        <v>13</v>
      </c>
      <c r="D229" s="48">
        <v>128.26</v>
      </c>
      <c r="E229" s="829">
        <v>2</v>
      </c>
      <c r="F229" s="833">
        <v>107.21</v>
      </c>
      <c r="G229" s="831">
        <v>2024014901</v>
      </c>
      <c r="H229" s="43" t="s">
        <v>86</v>
      </c>
      <c r="I229" s="43"/>
      <c r="J229" s="49"/>
      <c r="K229" s="49"/>
      <c r="L229" s="49"/>
      <c r="M229" s="49"/>
      <c r="N229" s="49"/>
      <c r="O229" s="49"/>
      <c r="P229" s="49"/>
      <c r="Q229" s="49"/>
      <c r="R229" s="49"/>
      <c r="S229" s="49"/>
    </row>
    <row r="230" spans="1:19" ht="18.75" customHeight="1">
      <c r="A230" s="828">
        <v>6479</v>
      </c>
      <c r="B230" s="828" t="s">
        <v>375</v>
      </c>
      <c r="C230" s="826" t="s">
        <v>13</v>
      </c>
      <c r="D230" s="48">
        <v>162.36000000000001</v>
      </c>
      <c r="E230" s="829">
        <v>0.50008571918395295</v>
      </c>
      <c r="F230" s="833">
        <v>1435.83</v>
      </c>
      <c r="G230" s="831">
        <v>2024014901</v>
      </c>
      <c r="H230" s="43" t="s">
        <v>86</v>
      </c>
      <c r="I230" s="43"/>
      <c r="J230" s="49"/>
      <c r="K230" s="49"/>
      <c r="L230" s="49"/>
      <c r="M230" s="49"/>
      <c r="N230" s="49"/>
      <c r="O230" s="49"/>
      <c r="P230" s="49"/>
      <c r="Q230" s="49"/>
      <c r="R230" s="49"/>
      <c r="S230" s="49"/>
    </row>
    <row r="231" spans="1:19" ht="18.75" customHeight="1">
      <c r="A231" s="828">
        <v>6481</v>
      </c>
      <c r="B231" s="828" t="s">
        <v>446</v>
      </c>
      <c r="C231" s="826"/>
      <c r="D231" s="46"/>
      <c r="E231" s="829"/>
      <c r="F231" s="833">
        <v>191.44</v>
      </c>
      <c r="G231" s="831">
        <v>2024014901</v>
      </c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</row>
    <row r="232" spans="1:19" ht="18.75" customHeight="1">
      <c r="A232" s="828">
        <v>6482</v>
      </c>
      <c r="B232" s="828" t="s">
        <v>448</v>
      </c>
      <c r="C232" s="826" t="s">
        <v>13</v>
      </c>
      <c r="D232" s="48">
        <v>51.96</v>
      </c>
      <c r="E232" s="829">
        <v>0.120006857534716</v>
      </c>
      <c r="F232" s="833">
        <v>47.86</v>
      </c>
      <c r="G232" s="831">
        <v>2024014901</v>
      </c>
      <c r="H232" s="43" t="s">
        <v>86</v>
      </c>
      <c r="I232" s="43"/>
      <c r="J232" s="49"/>
      <c r="K232" s="49"/>
      <c r="L232" s="49"/>
      <c r="M232" s="49"/>
      <c r="N232" s="49"/>
      <c r="O232" s="49"/>
      <c r="P232" s="49"/>
      <c r="Q232" s="49"/>
      <c r="R232" s="49"/>
      <c r="S232" s="49"/>
    </row>
    <row r="233" spans="1:19" ht="18.75" customHeight="1">
      <c r="A233" s="828">
        <v>6483</v>
      </c>
      <c r="B233" s="828" t="s">
        <v>449</v>
      </c>
      <c r="C233" s="826" t="s">
        <v>13</v>
      </c>
      <c r="D233" s="48">
        <v>276.01</v>
      </c>
      <c r="E233" s="829">
        <v>0.50008571918395295</v>
      </c>
      <c r="F233" s="833">
        <v>382.89</v>
      </c>
      <c r="G233" s="831">
        <v>2024014901</v>
      </c>
      <c r="H233" s="43" t="s">
        <v>86</v>
      </c>
      <c r="I233" s="43"/>
      <c r="J233" s="49"/>
      <c r="K233" s="49"/>
      <c r="L233" s="49"/>
      <c r="M233" s="49"/>
      <c r="N233" s="49"/>
      <c r="O233" s="49"/>
      <c r="P233" s="49"/>
      <c r="Q233" s="49"/>
      <c r="R233" s="49"/>
      <c r="S233" s="49"/>
    </row>
    <row r="234" spans="1:19" ht="18.75" customHeight="1">
      <c r="A234" s="828">
        <v>6484</v>
      </c>
      <c r="B234" s="828" t="s">
        <v>432</v>
      </c>
      <c r="C234" s="826" t="s">
        <v>13</v>
      </c>
      <c r="D234" s="48">
        <v>245.16</v>
      </c>
      <c r="E234" s="829">
        <v>0.50008571918395295</v>
      </c>
      <c r="F234" s="833">
        <v>47.86</v>
      </c>
      <c r="G234" s="831">
        <v>2024014901</v>
      </c>
      <c r="H234" s="43" t="s">
        <v>86</v>
      </c>
      <c r="I234" s="43"/>
      <c r="J234" s="49"/>
      <c r="K234" s="49"/>
      <c r="L234" s="49"/>
      <c r="M234" s="49"/>
      <c r="N234" s="49"/>
      <c r="O234" s="49"/>
      <c r="P234" s="49"/>
      <c r="Q234" s="49"/>
      <c r="R234" s="49"/>
      <c r="S234" s="49"/>
    </row>
    <row r="235" spans="1:19" ht="18.75" customHeight="1">
      <c r="A235" s="828">
        <v>6486</v>
      </c>
      <c r="B235" s="828" t="s">
        <v>415</v>
      </c>
      <c r="C235" s="826" t="s">
        <v>13</v>
      </c>
      <c r="D235" s="48">
        <v>86.05</v>
      </c>
      <c r="E235" s="829">
        <v>0.20006857534716299</v>
      </c>
      <c r="F235" s="833">
        <v>153.16</v>
      </c>
      <c r="G235" s="831">
        <v>2024014901</v>
      </c>
      <c r="H235" s="43" t="s">
        <v>86</v>
      </c>
      <c r="I235" s="43" t="s">
        <v>86</v>
      </c>
      <c r="J235" s="49"/>
      <c r="K235" s="49"/>
      <c r="L235" s="49"/>
      <c r="M235" s="49"/>
      <c r="N235" s="49"/>
      <c r="O235" s="49"/>
      <c r="P235" s="49"/>
      <c r="Q235" s="49"/>
      <c r="R235" s="49"/>
      <c r="S235" s="49"/>
    </row>
    <row r="236" spans="1:19" ht="18.75" customHeight="1">
      <c r="A236" s="828">
        <v>6498</v>
      </c>
      <c r="B236" s="828" t="s">
        <v>418</v>
      </c>
      <c r="C236" s="826" t="s">
        <v>13</v>
      </c>
      <c r="D236" s="48"/>
      <c r="E236" s="829">
        <v>5</v>
      </c>
      <c r="F236" s="833">
        <v>47.86</v>
      </c>
      <c r="G236" s="831">
        <v>2024014901</v>
      </c>
      <c r="H236" s="43" t="s">
        <v>86</v>
      </c>
      <c r="I236" s="43"/>
      <c r="J236" s="49"/>
      <c r="K236" s="49"/>
      <c r="L236" s="49"/>
      <c r="M236" s="49"/>
      <c r="N236" s="49"/>
      <c r="O236" s="49"/>
      <c r="P236" s="49"/>
      <c r="Q236" s="49"/>
      <c r="R236" s="49"/>
      <c r="S236" s="49"/>
    </row>
    <row r="237" spans="1:19" ht="18.75" customHeight="1">
      <c r="A237" s="828">
        <v>6500</v>
      </c>
      <c r="B237" s="828" t="s">
        <v>109</v>
      </c>
      <c r="C237" s="826" t="s">
        <v>13</v>
      </c>
      <c r="D237" s="48">
        <v>259.77999999999997</v>
      </c>
      <c r="E237" s="829">
        <v>1.7200411452083</v>
      </c>
      <c r="F237" s="833">
        <v>957.22</v>
      </c>
      <c r="G237" s="831">
        <v>2024014901</v>
      </c>
      <c r="H237" s="43" t="s">
        <v>86</v>
      </c>
      <c r="I237" s="43" t="s">
        <v>86</v>
      </c>
      <c r="J237" s="49"/>
      <c r="K237" s="49"/>
      <c r="L237" s="49"/>
      <c r="M237" s="49"/>
      <c r="N237" s="49"/>
      <c r="O237" s="49"/>
      <c r="P237" s="49"/>
      <c r="Q237" s="49"/>
      <c r="R237" s="49"/>
      <c r="S237" s="49"/>
    </row>
    <row r="238" spans="1:19" ht="18.75" customHeight="1">
      <c r="A238" s="828">
        <v>6501</v>
      </c>
      <c r="B238" s="828" t="s">
        <v>458</v>
      </c>
      <c r="C238" s="826"/>
      <c r="D238" s="46"/>
      <c r="E238" s="829"/>
      <c r="F238" s="833">
        <v>47.86</v>
      </c>
      <c r="G238" s="831">
        <v>2024014901</v>
      </c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</row>
    <row r="239" spans="1:19" ht="18.75" customHeight="1">
      <c r="A239" s="828">
        <v>6502</v>
      </c>
      <c r="B239" s="828" t="s">
        <v>459</v>
      </c>
      <c r="C239" s="826" t="s">
        <v>13</v>
      </c>
      <c r="D239" s="48">
        <v>2597.7600000000002</v>
      </c>
      <c r="E239" s="829">
        <v>0.20006857534716299</v>
      </c>
      <c r="F239" s="833">
        <v>38.29</v>
      </c>
      <c r="G239" s="831">
        <v>2021014001</v>
      </c>
      <c r="H239" s="43"/>
      <c r="I239" s="43" t="s">
        <v>86</v>
      </c>
      <c r="J239" s="49"/>
      <c r="K239" s="49"/>
      <c r="L239" s="49"/>
      <c r="M239" s="49"/>
      <c r="N239" s="49"/>
      <c r="O239" s="49"/>
      <c r="P239" s="49"/>
      <c r="Q239" s="49"/>
      <c r="R239" s="49"/>
      <c r="S239" s="49"/>
    </row>
    <row r="240" spans="1:19" ht="18.75" customHeight="1">
      <c r="A240" s="828">
        <v>6503</v>
      </c>
      <c r="B240" s="828" t="s">
        <v>462</v>
      </c>
      <c r="C240" s="826" t="s">
        <v>13</v>
      </c>
      <c r="D240" s="48">
        <v>259.77999999999997</v>
      </c>
      <c r="E240" s="829">
        <v>5.0399451397222697</v>
      </c>
      <c r="F240" s="833">
        <v>47.86</v>
      </c>
      <c r="G240" s="831">
        <v>2024014901</v>
      </c>
      <c r="H240" s="43" t="s">
        <v>86</v>
      </c>
      <c r="I240" s="43" t="s">
        <v>86</v>
      </c>
      <c r="J240" s="49"/>
      <c r="K240" s="49"/>
      <c r="L240" s="49"/>
      <c r="M240" s="49"/>
      <c r="N240" s="49"/>
      <c r="O240" s="49"/>
      <c r="P240" s="49"/>
      <c r="Q240" s="49"/>
      <c r="R240" s="49"/>
      <c r="S240" s="49"/>
    </row>
    <row r="241" spans="1:19" ht="18.75" customHeight="1">
      <c r="A241" s="828">
        <v>6506</v>
      </c>
      <c r="B241" s="828" t="s">
        <v>461</v>
      </c>
      <c r="C241" s="826"/>
      <c r="D241" s="46"/>
      <c r="E241" s="829"/>
      <c r="F241" s="833">
        <v>47.86</v>
      </c>
      <c r="G241" s="831">
        <v>2024014901</v>
      </c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</row>
    <row r="242" spans="1:19" ht="18.75" customHeight="1">
      <c r="A242" s="828">
        <v>6511</v>
      </c>
      <c r="B242" s="828" t="s">
        <v>395</v>
      </c>
      <c r="C242" s="826" t="s">
        <v>13</v>
      </c>
      <c r="D242" s="48">
        <v>77.930000000000007</v>
      </c>
      <c r="E242" s="829">
        <v>0.20006857534716299</v>
      </c>
      <c r="F242" s="833">
        <v>167.52</v>
      </c>
      <c r="G242" s="831">
        <v>2024014901</v>
      </c>
      <c r="H242" s="43" t="s">
        <v>86</v>
      </c>
      <c r="I242" s="43" t="s">
        <v>86</v>
      </c>
      <c r="J242" s="49"/>
      <c r="K242" s="49"/>
      <c r="L242" s="49"/>
      <c r="M242" s="49"/>
      <c r="N242" s="49"/>
      <c r="O242" s="49"/>
      <c r="P242" s="49"/>
      <c r="Q242" s="49"/>
      <c r="R242" s="49"/>
      <c r="S242" s="49"/>
    </row>
    <row r="243" spans="1:19" ht="18.75" customHeight="1">
      <c r="A243" s="828">
        <v>6513</v>
      </c>
      <c r="B243" s="828" t="s">
        <v>396</v>
      </c>
      <c r="C243" s="826" t="s">
        <v>13</v>
      </c>
      <c r="D243" s="48">
        <v>2273.04</v>
      </c>
      <c r="E243" s="829">
        <v>8</v>
      </c>
      <c r="F243" s="833">
        <v>419.25</v>
      </c>
      <c r="G243" s="831">
        <v>2024014901</v>
      </c>
      <c r="H243" s="43" t="s">
        <v>86</v>
      </c>
      <c r="I243" s="43"/>
      <c r="J243" s="49"/>
      <c r="K243" s="49"/>
      <c r="L243" s="49"/>
      <c r="M243" s="49"/>
      <c r="N243" s="49"/>
      <c r="O243" s="49"/>
      <c r="P243" s="49"/>
      <c r="Q243" s="49"/>
      <c r="R243" s="49"/>
      <c r="S243" s="49"/>
    </row>
    <row r="244" spans="1:19" ht="18.75" customHeight="1">
      <c r="A244" s="828">
        <v>6516</v>
      </c>
      <c r="B244" s="828" t="s">
        <v>397</v>
      </c>
      <c r="C244" s="826" t="s">
        <v>13</v>
      </c>
      <c r="D244" s="48"/>
      <c r="E244" s="829">
        <v>9.5000857191839501</v>
      </c>
      <c r="F244" s="833">
        <v>670.05</v>
      </c>
      <c r="G244" s="831">
        <v>2024014901</v>
      </c>
      <c r="H244" s="43" t="s">
        <v>86</v>
      </c>
      <c r="I244" s="43"/>
      <c r="J244" s="49"/>
      <c r="K244" s="49"/>
      <c r="L244" s="49"/>
      <c r="M244" s="49"/>
      <c r="N244" s="49"/>
      <c r="O244" s="49"/>
      <c r="P244" s="49"/>
      <c r="Q244" s="49"/>
      <c r="R244" s="49"/>
      <c r="S244" s="49"/>
    </row>
    <row r="245" spans="1:19" ht="18.75" customHeight="1">
      <c r="A245" s="828">
        <v>6517</v>
      </c>
      <c r="B245" s="828" t="s">
        <v>386</v>
      </c>
      <c r="C245" s="826"/>
      <c r="D245" s="46"/>
      <c r="E245" s="829"/>
      <c r="F245" s="833">
        <v>193.36</v>
      </c>
      <c r="G245" s="831">
        <v>2024014901</v>
      </c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</row>
    <row r="246" spans="1:19" ht="18.75" customHeight="1">
      <c r="A246" s="828">
        <v>6519</v>
      </c>
      <c r="B246" s="828" t="s">
        <v>398</v>
      </c>
      <c r="C246" s="826" t="s">
        <v>13</v>
      </c>
      <c r="D246" s="48"/>
      <c r="E246" s="829">
        <v>5.0399451397222697</v>
      </c>
      <c r="F246" s="833">
        <v>66.06</v>
      </c>
      <c r="G246" s="831">
        <v>2024014901</v>
      </c>
      <c r="H246" s="43" t="s">
        <v>86</v>
      </c>
      <c r="I246" s="43" t="s">
        <v>86</v>
      </c>
      <c r="J246" s="49"/>
      <c r="K246" s="49"/>
      <c r="L246" s="49"/>
      <c r="M246" s="49"/>
      <c r="N246" s="49"/>
      <c r="O246" s="49"/>
      <c r="P246" s="49"/>
      <c r="Q246" s="49"/>
      <c r="R246" s="49"/>
      <c r="S246" s="49"/>
    </row>
    <row r="247" spans="1:19" ht="18.75" customHeight="1">
      <c r="A247" s="828">
        <v>6520</v>
      </c>
      <c r="B247" s="828" t="s">
        <v>399</v>
      </c>
      <c r="C247" s="826" t="s">
        <v>13</v>
      </c>
      <c r="D247" s="48">
        <v>211.07</v>
      </c>
      <c r="E247" s="829">
        <v>1.04988856506086</v>
      </c>
      <c r="F247" s="833">
        <v>164.64</v>
      </c>
      <c r="G247" s="831">
        <v>2024014901</v>
      </c>
      <c r="H247" s="43" t="s">
        <v>86</v>
      </c>
      <c r="I247" s="43" t="s">
        <v>86</v>
      </c>
      <c r="J247" s="49"/>
      <c r="K247" s="49"/>
      <c r="L247" s="49"/>
      <c r="M247" s="49"/>
      <c r="N247" s="49"/>
      <c r="O247" s="49"/>
      <c r="P247" s="49"/>
      <c r="Q247" s="49"/>
      <c r="R247" s="49"/>
      <c r="S247" s="49"/>
    </row>
    <row r="248" spans="1:19" ht="18.75" customHeight="1">
      <c r="A248" s="828">
        <v>6521</v>
      </c>
      <c r="B248" s="828" t="s">
        <v>400</v>
      </c>
      <c r="C248" s="826" t="s">
        <v>13</v>
      </c>
      <c r="D248" s="48"/>
      <c r="E248" s="829">
        <v>0.50008571918395295</v>
      </c>
      <c r="F248" s="833">
        <v>482.44</v>
      </c>
      <c r="G248" s="831">
        <v>2024014901</v>
      </c>
      <c r="H248" s="43" t="s">
        <v>86</v>
      </c>
      <c r="I248" s="43"/>
      <c r="J248" s="49"/>
      <c r="K248" s="49"/>
      <c r="L248" s="49"/>
      <c r="M248" s="49"/>
      <c r="N248" s="49"/>
      <c r="O248" s="49"/>
      <c r="P248" s="49"/>
      <c r="Q248" s="49"/>
      <c r="R248" s="49"/>
      <c r="S248" s="49"/>
    </row>
    <row r="249" spans="1:19" ht="18.75" customHeight="1">
      <c r="A249" s="828">
        <v>6522</v>
      </c>
      <c r="B249" s="828" t="s">
        <v>401</v>
      </c>
      <c r="C249" s="826" t="s">
        <v>13</v>
      </c>
      <c r="D249" s="48">
        <v>73.06</v>
      </c>
      <c r="E249" s="829">
        <v>2.5000857191839501</v>
      </c>
      <c r="F249" s="833">
        <v>482.44</v>
      </c>
      <c r="G249" s="831">
        <v>2024014901</v>
      </c>
      <c r="H249" s="43" t="s">
        <v>86</v>
      </c>
      <c r="I249" s="43"/>
      <c r="J249" s="49"/>
      <c r="K249" s="49"/>
      <c r="L249" s="49"/>
      <c r="M249" s="49"/>
      <c r="N249" s="49"/>
      <c r="O249" s="49"/>
      <c r="P249" s="49"/>
      <c r="Q249" s="49"/>
      <c r="R249" s="49"/>
      <c r="S249" s="49"/>
    </row>
    <row r="250" spans="1:19" ht="18.75" customHeight="1">
      <c r="A250" s="828">
        <v>6523</v>
      </c>
      <c r="B250" s="828" t="s">
        <v>408</v>
      </c>
      <c r="C250" s="826"/>
      <c r="D250" s="46"/>
      <c r="E250" s="829"/>
      <c r="F250" s="833">
        <v>46.91</v>
      </c>
      <c r="G250" s="831">
        <v>2024014901</v>
      </c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</row>
    <row r="251" spans="1:19" ht="18.75" customHeight="1">
      <c r="A251" s="828">
        <v>6524</v>
      </c>
      <c r="B251" s="828" t="s">
        <v>409</v>
      </c>
      <c r="C251" s="826" t="s">
        <v>13</v>
      </c>
      <c r="D251" s="48"/>
      <c r="E251" s="829">
        <v>0.39996571232641898</v>
      </c>
      <c r="F251" s="833">
        <v>46.91</v>
      </c>
      <c r="G251" s="831">
        <v>2021014001</v>
      </c>
      <c r="H251" s="43"/>
      <c r="I251" s="43" t="s">
        <v>86</v>
      </c>
      <c r="J251" s="49"/>
      <c r="K251" s="49"/>
      <c r="L251" s="49"/>
      <c r="M251" s="49"/>
      <c r="N251" s="49"/>
      <c r="O251" s="49"/>
      <c r="P251" s="49"/>
      <c r="Q251" s="49"/>
      <c r="R251" s="49"/>
      <c r="S251" s="49"/>
    </row>
    <row r="252" spans="1:19" ht="18.75" customHeight="1">
      <c r="A252" s="828">
        <v>6525</v>
      </c>
      <c r="B252" s="828" t="s">
        <v>410</v>
      </c>
      <c r="C252" s="826" t="s">
        <v>13</v>
      </c>
      <c r="D252" s="48"/>
      <c r="E252" s="829">
        <v>0.170066860963484</v>
      </c>
      <c r="F252" s="833">
        <v>46.91</v>
      </c>
      <c r="G252" s="831">
        <v>2024014901</v>
      </c>
      <c r="H252" s="43" t="s">
        <v>86</v>
      </c>
      <c r="I252" s="43"/>
      <c r="J252" s="49"/>
      <c r="K252" s="49"/>
      <c r="L252" s="49"/>
      <c r="M252" s="49"/>
      <c r="N252" s="49"/>
      <c r="O252" s="49"/>
      <c r="P252" s="49"/>
      <c r="Q252" s="49"/>
      <c r="R252" s="49"/>
      <c r="S252" s="49"/>
    </row>
    <row r="253" spans="1:19" ht="18.75" customHeight="1">
      <c r="A253" s="828">
        <v>6527</v>
      </c>
      <c r="B253" s="828" t="s">
        <v>447</v>
      </c>
      <c r="C253" s="826"/>
      <c r="D253" s="46"/>
      <c r="E253" s="829"/>
      <c r="F253" s="833">
        <v>526.47</v>
      </c>
      <c r="G253" s="831">
        <v>2024014901</v>
      </c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</row>
    <row r="254" spans="1:19" ht="18.75" customHeight="1">
      <c r="A254" s="828">
        <v>6530</v>
      </c>
      <c r="B254" s="828" t="s">
        <v>405</v>
      </c>
      <c r="C254" s="826" t="s">
        <v>13</v>
      </c>
      <c r="D254" s="48">
        <v>77.930000000000007</v>
      </c>
      <c r="E254" s="829">
        <v>0.18995371164066499</v>
      </c>
      <c r="F254" s="833">
        <v>124.44</v>
      </c>
      <c r="G254" s="831">
        <v>2024014901</v>
      </c>
      <c r="H254" s="43" t="s">
        <v>86</v>
      </c>
      <c r="I254" s="43"/>
      <c r="J254" s="49"/>
      <c r="K254" s="49"/>
      <c r="L254" s="49"/>
      <c r="M254" s="49"/>
      <c r="N254" s="49"/>
      <c r="O254" s="49"/>
      <c r="P254" s="49"/>
      <c r="Q254" s="49"/>
      <c r="R254" s="49"/>
      <c r="S254" s="49"/>
    </row>
    <row r="255" spans="1:19" ht="18.75" customHeight="1">
      <c r="A255" s="828">
        <v>6532</v>
      </c>
      <c r="B255" s="828" t="s">
        <v>101</v>
      </c>
      <c r="C255" s="826" t="s">
        <v>13</v>
      </c>
      <c r="D255" s="48">
        <v>47.08</v>
      </c>
      <c r="E255" s="829">
        <v>0.50008571918395295</v>
      </c>
      <c r="F255" s="833">
        <v>287.17</v>
      </c>
      <c r="G255" s="831">
        <v>2024014901</v>
      </c>
      <c r="H255" s="43" t="s">
        <v>86</v>
      </c>
      <c r="I255" s="43"/>
      <c r="J255" s="49"/>
      <c r="K255" s="49"/>
      <c r="L255" s="49"/>
      <c r="M255" s="49"/>
      <c r="N255" s="49"/>
      <c r="O255" s="49"/>
      <c r="P255" s="49"/>
      <c r="Q255" s="49"/>
      <c r="R255" s="49"/>
      <c r="S255" s="49"/>
    </row>
    <row r="256" spans="1:19" ht="18.75" customHeight="1">
      <c r="A256" s="828">
        <v>6537</v>
      </c>
      <c r="B256" s="828" t="s">
        <v>137</v>
      </c>
      <c r="C256" s="826" t="s">
        <v>13</v>
      </c>
      <c r="D256" s="48"/>
      <c r="E256" s="829">
        <v>5</v>
      </c>
      <c r="F256" s="833">
        <v>191.44</v>
      </c>
      <c r="G256" s="831">
        <v>2024014901</v>
      </c>
      <c r="H256" s="43" t="s">
        <v>86</v>
      </c>
      <c r="I256" s="43"/>
      <c r="J256" s="49"/>
      <c r="K256" s="49"/>
      <c r="L256" s="49"/>
      <c r="M256" s="49"/>
      <c r="N256" s="49"/>
      <c r="O256" s="49"/>
      <c r="P256" s="49"/>
      <c r="Q256" s="49"/>
      <c r="R256" s="49"/>
      <c r="S256" s="49"/>
    </row>
    <row r="257" spans="1:19" ht="18.75" customHeight="1">
      <c r="A257" s="828">
        <v>6538</v>
      </c>
      <c r="B257" s="828" t="s">
        <v>139</v>
      </c>
      <c r="C257" s="826" t="s">
        <v>13</v>
      </c>
      <c r="D257" s="48"/>
      <c r="E257" s="829">
        <v>0.18995371164066499</v>
      </c>
      <c r="F257" s="833">
        <v>191.44</v>
      </c>
      <c r="G257" s="831">
        <v>2024014901</v>
      </c>
      <c r="H257" s="43" t="s">
        <v>86</v>
      </c>
      <c r="I257" s="43"/>
      <c r="J257" s="49"/>
      <c r="K257" s="49"/>
      <c r="L257" s="49"/>
      <c r="M257" s="49"/>
      <c r="N257" s="49"/>
      <c r="O257" s="49"/>
      <c r="P257" s="49"/>
      <c r="Q257" s="49"/>
      <c r="R257" s="49"/>
      <c r="S257" s="49"/>
    </row>
    <row r="258" spans="1:19" ht="18.75" customHeight="1">
      <c r="A258" s="828">
        <v>6540</v>
      </c>
      <c r="B258" s="828" t="s">
        <v>167</v>
      </c>
      <c r="C258" s="826"/>
      <c r="D258" s="46"/>
      <c r="E258" s="829"/>
      <c r="F258" s="833">
        <v>15.31</v>
      </c>
      <c r="G258" s="831">
        <v>2024014901</v>
      </c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</row>
    <row r="259" spans="1:19" ht="18.75" customHeight="1">
      <c r="A259" s="828">
        <v>6545</v>
      </c>
      <c r="B259" s="828" t="s">
        <v>456</v>
      </c>
      <c r="C259" s="826" t="s">
        <v>13</v>
      </c>
      <c r="D259" s="48"/>
      <c r="E259" s="829">
        <v>5</v>
      </c>
      <c r="F259" s="833">
        <v>19.149999999999999</v>
      </c>
      <c r="G259" s="831">
        <v>2024014901</v>
      </c>
      <c r="H259" s="43" t="s">
        <v>86</v>
      </c>
      <c r="I259" s="43"/>
      <c r="J259" s="49"/>
      <c r="K259" s="49"/>
      <c r="L259" s="49"/>
      <c r="M259" s="49"/>
      <c r="N259" s="49"/>
      <c r="O259" s="49"/>
      <c r="P259" s="49"/>
      <c r="Q259" s="49"/>
      <c r="R259" s="49"/>
      <c r="S259" s="49"/>
    </row>
    <row r="260" spans="1:19" ht="18.75" customHeight="1">
      <c r="A260" s="828">
        <v>6549</v>
      </c>
      <c r="B260" s="828" t="s">
        <v>230</v>
      </c>
      <c r="C260" s="826" t="s">
        <v>13</v>
      </c>
      <c r="D260" s="48">
        <v>487.08</v>
      </c>
      <c r="E260" s="829">
        <v>0.50008571918395295</v>
      </c>
      <c r="F260" s="833">
        <v>414.48</v>
      </c>
      <c r="G260" s="831">
        <v>2024014901</v>
      </c>
      <c r="H260" s="43" t="s">
        <v>86</v>
      </c>
      <c r="I260" s="43"/>
      <c r="J260" s="49"/>
      <c r="K260" s="49"/>
      <c r="L260" s="49"/>
      <c r="M260" s="49"/>
      <c r="N260" s="49"/>
      <c r="O260" s="49"/>
      <c r="P260" s="49"/>
      <c r="Q260" s="49"/>
      <c r="R260" s="49"/>
      <c r="S260" s="49"/>
    </row>
    <row r="261" spans="1:19" ht="18.75" customHeight="1">
      <c r="A261" s="828">
        <v>6560</v>
      </c>
      <c r="B261" s="828" t="s">
        <v>262</v>
      </c>
      <c r="C261" s="826"/>
      <c r="D261" s="46"/>
      <c r="E261" s="829"/>
      <c r="F261" s="833">
        <v>909.36</v>
      </c>
      <c r="G261" s="831">
        <v>2024014901</v>
      </c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</row>
    <row r="262" spans="1:19" ht="18.75" customHeight="1">
      <c r="A262" s="828">
        <v>6563</v>
      </c>
      <c r="B262" s="828" t="s">
        <v>304</v>
      </c>
      <c r="C262" s="826" t="s">
        <v>13</v>
      </c>
      <c r="D262" s="48"/>
      <c r="E262" s="829">
        <v>0.50008571918395295</v>
      </c>
      <c r="F262" s="833">
        <v>47.86</v>
      </c>
      <c r="G262" s="831">
        <v>2024014901</v>
      </c>
      <c r="H262" s="43" t="s">
        <v>86</v>
      </c>
      <c r="I262" s="43"/>
      <c r="J262" s="49"/>
      <c r="K262" s="49"/>
      <c r="L262" s="49"/>
      <c r="M262" s="49"/>
      <c r="N262" s="49"/>
      <c r="O262" s="49"/>
      <c r="P262" s="49"/>
      <c r="Q262" s="49"/>
      <c r="R262" s="49"/>
      <c r="S262" s="49"/>
    </row>
    <row r="263" spans="1:19" ht="18.75" customHeight="1">
      <c r="A263" s="828">
        <v>6572</v>
      </c>
      <c r="B263" s="828" t="s">
        <v>256</v>
      </c>
      <c r="C263" s="826"/>
      <c r="D263" s="46"/>
      <c r="E263" s="829"/>
      <c r="F263" s="833">
        <v>14.36</v>
      </c>
      <c r="G263" s="831">
        <v>2024014901</v>
      </c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</row>
    <row r="264" spans="1:19" ht="18.75" customHeight="1">
      <c r="A264" s="828">
        <v>6573</v>
      </c>
      <c r="B264" s="828" t="s">
        <v>266</v>
      </c>
      <c r="C264" s="826"/>
      <c r="D264" s="46"/>
      <c r="E264" s="829"/>
      <c r="F264" s="833">
        <v>191.44</v>
      </c>
      <c r="G264" s="831">
        <v>2024014901</v>
      </c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</row>
    <row r="265" spans="1:19" ht="18.75" customHeight="1">
      <c r="A265" s="828">
        <v>6574</v>
      </c>
      <c r="B265" s="828" t="s">
        <v>267</v>
      </c>
      <c r="C265" s="826" t="s">
        <v>13</v>
      </c>
      <c r="D265" s="48">
        <v>73.06</v>
      </c>
      <c r="E265" s="829">
        <v>10.1800102863021</v>
      </c>
      <c r="F265" s="833">
        <v>191.44</v>
      </c>
      <c r="G265" s="831">
        <v>2024014901</v>
      </c>
      <c r="H265" s="43" t="s">
        <v>86</v>
      </c>
      <c r="I265" s="43"/>
      <c r="J265" s="49"/>
      <c r="K265" s="49"/>
      <c r="L265" s="49"/>
      <c r="M265" s="49"/>
      <c r="N265" s="49"/>
      <c r="O265" s="49"/>
      <c r="P265" s="49"/>
      <c r="Q265" s="49"/>
      <c r="R265" s="49"/>
      <c r="S265" s="49"/>
    </row>
    <row r="266" spans="1:19" ht="18.75" customHeight="1">
      <c r="A266" s="828">
        <v>6575</v>
      </c>
      <c r="B266" s="828" t="s">
        <v>269</v>
      </c>
      <c r="C266" s="826" t="s">
        <v>13</v>
      </c>
      <c r="D266" s="48">
        <v>97.42</v>
      </c>
      <c r="E266" s="829">
        <v>2</v>
      </c>
      <c r="F266" s="833">
        <v>191.44</v>
      </c>
      <c r="G266" s="831">
        <v>2024014901</v>
      </c>
      <c r="H266" s="43" t="s">
        <v>86</v>
      </c>
      <c r="I266" s="43"/>
      <c r="J266" s="49"/>
      <c r="K266" s="49"/>
      <c r="L266" s="49"/>
      <c r="M266" s="49"/>
      <c r="N266" s="49"/>
      <c r="O266" s="49"/>
      <c r="P266" s="49"/>
      <c r="Q266" s="49"/>
      <c r="R266" s="49"/>
      <c r="S266" s="49"/>
    </row>
    <row r="267" spans="1:19" ht="18.75" customHeight="1">
      <c r="A267" s="828">
        <v>6577</v>
      </c>
      <c r="B267" s="828" t="s">
        <v>270</v>
      </c>
      <c r="C267" s="826" t="s">
        <v>13</v>
      </c>
      <c r="D267" s="46"/>
      <c r="E267" s="829">
        <v>0.25</v>
      </c>
      <c r="F267" s="833">
        <v>478.61</v>
      </c>
      <c r="G267" s="831">
        <v>2024014901</v>
      </c>
      <c r="H267" s="43" t="s">
        <v>86</v>
      </c>
      <c r="I267" s="43" t="s">
        <v>86</v>
      </c>
      <c r="J267" s="49"/>
      <c r="K267" s="49"/>
      <c r="L267" s="49"/>
      <c r="M267" s="49"/>
      <c r="N267" s="49"/>
      <c r="O267" s="49"/>
      <c r="P267" s="49"/>
      <c r="Q267" s="49"/>
      <c r="R267" s="49"/>
      <c r="S267" s="49"/>
    </row>
    <row r="268" spans="1:19" ht="18.75" customHeight="1">
      <c r="A268" s="828">
        <v>6579</v>
      </c>
      <c r="B268" s="828" t="s">
        <v>264</v>
      </c>
      <c r="C268" s="826"/>
      <c r="D268" s="46"/>
      <c r="E268" s="829"/>
      <c r="F268" s="833">
        <v>478.61</v>
      </c>
      <c r="G268" s="831">
        <v>2024014901</v>
      </c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</row>
    <row r="269" spans="1:19" ht="18.75" customHeight="1">
      <c r="A269" s="828">
        <v>6580</v>
      </c>
      <c r="B269" s="828" t="s">
        <v>265</v>
      </c>
      <c r="C269" s="826" t="s">
        <v>13</v>
      </c>
      <c r="D269" s="48">
        <v>162.36000000000001</v>
      </c>
      <c r="E269" s="829">
        <v>0.45996914109377701</v>
      </c>
      <c r="F269" s="833">
        <v>478.61</v>
      </c>
      <c r="G269" s="831">
        <v>2024014901</v>
      </c>
      <c r="H269" s="43" t="s">
        <v>86</v>
      </c>
      <c r="I269" s="43" t="s">
        <v>86</v>
      </c>
      <c r="J269" s="49"/>
      <c r="K269" s="49"/>
      <c r="L269" s="49"/>
      <c r="M269" s="49"/>
      <c r="N269" s="49"/>
      <c r="O269" s="49"/>
      <c r="P269" s="49"/>
      <c r="Q269" s="49"/>
      <c r="R269" s="49"/>
      <c r="S269" s="49"/>
    </row>
    <row r="270" spans="1:19" ht="18.75" customHeight="1">
      <c r="A270" s="828">
        <v>6581</v>
      </c>
      <c r="B270" s="828" t="s">
        <v>272</v>
      </c>
      <c r="C270" s="826"/>
      <c r="D270" s="46"/>
      <c r="E270" s="829"/>
      <c r="F270" s="833">
        <v>478.61</v>
      </c>
      <c r="G270" s="831">
        <v>2024014901</v>
      </c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</row>
    <row r="271" spans="1:19" ht="18.75" customHeight="1">
      <c r="A271" s="828">
        <v>6582</v>
      </c>
      <c r="B271" s="828" t="s">
        <v>273</v>
      </c>
      <c r="C271" s="826" t="s">
        <v>13</v>
      </c>
      <c r="D271" s="48"/>
      <c r="E271" s="829">
        <v>0.50008571918395295</v>
      </c>
      <c r="F271" s="833">
        <v>478.61</v>
      </c>
      <c r="G271" s="831">
        <v>2024014901</v>
      </c>
      <c r="H271" s="43" t="s">
        <v>86</v>
      </c>
      <c r="I271" s="43"/>
      <c r="J271" s="49"/>
      <c r="K271" s="49"/>
      <c r="L271" s="49"/>
      <c r="M271" s="49"/>
      <c r="N271" s="49"/>
      <c r="O271" s="49"/>
      <c r="P271" s="49"/>
      <c r="Q271" s="49"/>
      <c r="R271" s="49"/>
      <c r="S271" s="49"/>
    </row>
    <row r="272" spans="1:19" ht="18.75" customHeight="1">
      <c r="A272" s="828">
        <v>6583</v>
      </c>
      <c r="B272" s="828" t="s">
        <v>274</v>
      </c>
      <c r="C272" s="826" t="s">
        <v>105</v>
      </c>
      <c r="D272" s="48"/>
      <c r="E272" s="829">
        <v>3</v>
      </c>
      <c r="F272" s="833">
        <v>478.61</v>
      </c>
      <c r="G272" s="831">
        <v>2024014901</v>
      </c>
      <c r="H272" s="43" t="s">
        <v>86</v>
      </c>
      <c r="I272" s="43"/>
      <c r="J272" s="49"/>
      <c r="K272" s="49"/>
      <c r="L272" s="49"/>
      <c r="M272" s="49"/>
      <c r="N272" s="49"/>
      <c r="O272" s="49"/>
      <c r="P272" s="49"/>
      <c r="Q272" s="49"/>
      <c r="R272" s="49"/>
      <c r="S272" s="49"/>
    </row>
    <row r="273" spans="1:19" ht="18.75" customHeight="1">
      <c r="A273" s="828">
        <v>6584</v>
      </c>
      <c r="B273" s="828" t="s">
        <v>275</v>
      </c>
      <c r="C273" s="826" t="s">
        <v>13</v>
      </c>
      <c r="D273" s="48">
        <v>150.99</v>
      </c>
      <c r="E273" s="829">
        <v>2</v>
      </c>
      <c r="F273" s="833">
        <v>478.61</v>
      </c>
      <c r="G273" s="831">
        <v>2024014901</v>
      </c>
      <c r="H273" s="43" t="s">
        <v>86</v>
      </c>
      <c r="I273" s="43"/>
      <c r="J273" s="49"/>
      <c r="K273" s="49"/>
      <c r="L273" s="49"/>
      <c r="M273" s="49"/>
      <c r="N273" s="49"/>
      <c r="O273" s="49"/>
      <c r="P273" s="49"/>
      <c r="Q273" s="49"/>
      <c r="R273" s="49"/>
      <c r="S273" s="49"/>
    </row>
    <row r="274" spans="1:19" ht="18.75" customHeight="1">
      <c r="A274" s="828">
        <v>6586</v>
      </c>
      <c r="B274" s="828" t="s">
        <v>276</v>
      </c>
      <c r="C274" s="826" t="s">
        <v>13</v>
      </c>
      <c r="D274" s="48">
        <v>243.54</v>
      </c>
      <c r="E274" s="829">
        <v>2</v>
      </c>
      <c r="F274" s="833">
        <v>478.61</v>
      </c>
      <c r="G274" s="831">
        <v>2024014901</v>
      </c>
      <c r="H274" s="43" t="s">
        <v>86</v>
      </c>
      <c r="I274" s="43"/>
      <c r="J274" s="49"/>
      <c r="K274" s="49"/>
      <c r="L274" s="49"/>
      <c r="M274" s="49"/>
      <c r="N274" s="49"/>
      <c r="O274" s="49"/>
      <c r="P274" s="49"/>
      <c r="Q274" s="49"/>
      <c r="R274" s="49"/>
      <c r="S274" s="49"/>
    </row>
    <row r="275" spans="1:19" ht="18.75" customHeight="1">
      <c r="A275" s="828">
        <v>6589</v>
      </c>
      <c r="B275" s="828" t="s">
        <v>288</v>
      </c>
      <c r="C275" s="826" t="s">
        <v>13</v>
      </c>
      <c r="D275" s="48">
        <v>211.07</v>
      </c>
      <c r="E275" s="829">
        <v>2</v>
      </c>
      <c r="F275" s="833">
        <v>191.44</v>
      </c>
      <c r="G275" s="831">
        <v>2024014901</v>
      </c>
      <c r="H275" s="43" t="s">
        <v>86</v>
      </c>
      <c r="I275" s="43"/>
      <c r="J275" s="49"/>
      <c r="K275" s="49"/>
      <c r="L275" s="49"/>
      <c r="M275" s="49"/>
      <c r="N275" s="49"/>
      <c r="O275" s="49"/>
      <c r="P275" s="49"/>
      <c r="Q275" s="49"/>
      <c r="R275" s="49"/>
      <c r="S275" s="49"/>
    </row>
    <row r="276" spans="1:19" ht="18.75" customHeight="1">
      <c r="A276" s="828">
        <v>6594</v>
      </c>
      <c r="B276" s="828" t="s">
        <v>282</v>
      </c>
      <c r="C276" s="826"/>
      <c r="D276" s="46"/>
      <c r="E276" s="829"/>
      <c r="F276" s="833">
        <v>670.06</v>
      </c>
      <c r="G276" s="831">
        <v>2024014901</v>
      </c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</row>
    <row r="277" spans="1:19" ht="18.75" customHeight="1">
      <c r="A277" s="828">
        <v>6595</v>
      </c>
      <c r="B277" s="828" t="s">
        <v>335</v>
      </c>
      <c r="C277" s="826" t="s">
        <v>13</v>
      </c>
      <c r="D277" s="48"/>
      <c r="E277" s="829">
        <v>5</v>
      </c>
      <c r="F277" s="833">
        <v>1435.83</v>
      </c>
      <c r="G277" s="831">
        <v>2024014901</v>
      </c>
      <c r="H277" s="43" t="s">
        <v>86</v>
      </c>
      <c r="I277" s="43"/>
      <c r="J277" s="49"/>
      <c r="K277" s="49"/>
      <c r="L277" s="49"/>
      <c r="M277" s="49"/>
      <c r="N277" s="49"/>
      <c r="O277" s="49"/>
      <c r="P277" s="49"/>
      <c r="Q277" s="49"/>
      <c r="R277" s="49"/>
      <c r="S277" s="49"/>
    </row>
    <row r="278" spans="1:19" ht="18.75" customHeight="1">
      <c r="A278" s="828">
        <v>6596</v>
      </c>
      <c r="B278" s="828" t="s">
        <v>336</v>
      </c>
      <c r="C278" s="826" t="s">
        <v>105</v>
      </c>
      <c r="D278" s="48">
        <v>42.21</v>
      </c>
      <c r="E278" s="829">
        <v>2.2499571404080201</v>
      </c>
      <c r="F278" s="833">
        <v>1435.83</v>
      </c>
      <c r="G278" s="831">
        <v>2024014901</v>
      </c>
      <c r="H278" s="43" t="s">
        <v>86</v>
      </c>
      <c r="I278" s="43"/>
      <c r="J278" s="49"/>
      <c r="K278" s="49"/>
      <c r="L278" s="49"/>
      <c r="M278" s="49"/>
      <c r="N278" s="49"/>
      <c r="O278" s="49"/>
      <c r="P278" s="49"/>
      <c r="Q278" s="49"/>
      <c r="R278" s="49"/>
      <c r="S278" s="49"/>
    </row>
    <row r="279" spans="1:19" ht="18.75" customHeight="1">
      <c r="A279" s="828">
        <v>6598</v>
      </c>
      <c r="B279" s="828" t="s">
        <v>373</v>
      </c>
      <c r="C279" s="826" t="s">
        <v>13</v>
      </c>
      <c r="D279" s="48">
        <v>259.77999999999997</v>
      </c>
      <c r="E279" s="829">
        <v>0.50008571918395295</v>
      </c>
      <c r="F279" s="833">
        <v>162.72</v>
      </c>
      <c r="G279" s="831">
        <v>2024014901</v>
      </c>
      <c r="H279" s="43" t="s">
        <v>86</v>
      </c>
      <c r="I279" s="43" t="s">
        <v>86</v>
      </c>
      <c r="J279" s="49"/>
      <c r="K279" s="49"/>
      <c r="L279" s="49"/>
      <c r="M279" s="49"/>
      <c r="N279" s="49"/>
      <c r="O279" s="49"/>
      <c r="P279" s="49"/>
      <c r="Q279" s="49"/>
      <c r="R279" s="49"/>
      <c r="S279" s="49"/>
    </row>
    <row r="280" spans="1:19" ht="18.75" customHeight="1">
      <c r="A280" s="828">
        <v>6599</v>
      </c>
      <c r="B280" s="828" t="s">
        <v>411</v>
      </c>
      <c r="C280" s="826" t="s">
        <v>13</v>
      </c>
      <c r="D280" s="48">
        <v>86.05</v>
      </c>
      <c r="E280" s="829">
        <v>1</v>
      </c>
      <c r="F280" s="833">
        <v>1107.51</v>
      </c>
      <c r="G280" s="831">
        <v>2021014001</v>
      </c>
      <c r="H280" s="43"/>
      <c r="I280" s="43" t="s">
        <v>86</v>
      </c>
      <c r="J280" s="49"/>
      <c r="K280" s="49"/>
      <c r="L280" s="49"/>
      <c r="M280" s="49"/>
      <c r="N280" s="49"/>
      <c r="O280" s="49"/>
      <c r="P280" s="49"/>
      <c r="Q280" s="49"/>
      <c r="R280" s="49"/>
      <c r="S280" s="49"/>
    </row>
    <row r="281" spans="1:19" ht="18.75" customHeight="1">
      <c r="A281" s="828">
        <v>6603</v>
      </c>
      <c r="B281" s="828" t="s">
        <v>348</v>
      </c>
      <c r="C281" s="826" t="s">
        <v>13</v>
      </c>
      <c r="D281" s="48">
        <v>32.47</v>
      </c>
      <c r="E281" s="829">
        <v>5</v>
      </c>
      <c r="F281" s="833">
        <v>255.58</v>
      </c>
      <c r="G281" s="831">
        <v>2024014901</v>
      </c>
      <c r="H281" s="43" t="s">
        <v>86</v>
      </c>
      <c r="I281" s="43"/>
      <c r="J281" s="49"/>
      <c r="K281" s="49"/>
      <c r="L281" s="49"/>
      <c r="M281" s="49"/>
      <c r="N281" s="49"/>
      <c r="O281" s="49"/>
      <c r="P281" s="49"/>
      <c r="Q281" s="49"/>
      <c r="R281" s="49"/>
      <c r="S281" s="49"/>
    </row>
    <row r="282" spans="1:19" ht="18.75" customHeight="1">
      <c r="A282" s="828">
        <v>6604</v>
      </c>
      <c r="B282" s="828" t="s">
        <v>107</v>
      </c>
      <c r="C282" s="826" t="s">
        <v>13</v>
      </c>
      <c r="D282" s="48"/>
      <c r="E282" s="829">
        <v>1</v>
      </c>
      <c r="F282" s="833">
        <v>765.78</v>
      </c>
      <c r="G282" s="831">
        <v>2021014001</v>
      </c>
      <c r="H282" s="43"/>
      <c r="I282" s="43" t="s">
        <v>86</v>
      </c>
      <c r="J282" s="49"/>
      <c r="K282" s="49"/>
      <c r="L282" s="49"/>
      <c r="M282" s="49"/>
      <c r="N282" s="49"/>
      <c r="O282" s="49"/>
      <c r="P282" s="49"/>
      <c r="Q282" s="49"/>
      <c r="R282" s="49"/>
      <c r="S282" s="49"/>
    </row>
    <row r="283" spans="1:19" ht="18.75" customHeight="1">
      <c r="A283" s="828">
        <v>6608</v>
      </c>
      <c r="B283" s="828" t="s">
        <v>181</v>
      </c>
      <c r="C283" s="826" t="s">
        <v>13</v>
      </c>
      <c r="D283" s="48">
        <v>81.180000000000007</v>
      </c>
      <c r="E283" s="829">
        <v>1.30001714383679</v>
      </c>
      <c r="F283" s="833">
        <v>430.75</v>
      </c>
      <c r="G283" s="831">
        <v>2021014001</v>
      </c>
      <c r="H283" s="43"/>
      <c r="I283" s="43" t="s">
        <v>86</v>
      </c>
      <c r="J283" s="49"/>
      <c r="K283" s="49"/>
      <c r="L283" s="49"/>
      <c r="M283" s="49"/>
      <c r="N283" s="49"/>
      <c r="O283" s="49"/>
      <c r="P283" s="49"/>
      <c r="Q283" s="49"/>
      <c r="R283" s="49"/>
      <c r="S283" s="49"/>
    </row>
    <row r="284" spans="1:19" ht="18.75" customHeight="1">
      <c r="A284" s="828">
        <v>6609</v>
      </c>
      <c r="B284" s="828" t="s">
        <v>457</v>
      </c>
      <c r="C284" s="826" t="s">
        <v>13</v>
      </c>
      <c r="D284" s="48">
        <v>2273.04</v>
      </c>
      <c r="E284" s="829">
        <v>1.30001714383679</v>
      </c>
      <c r="F284" s="833">
        <v>19.149999999999999</v>
      </c>
      <c r="G284" s="831">
        <v>2024014901</v>
      </c>
      <c r="H284" s="43" t="s">
        <v>86</v>
      </c>
      <c r="I284" s="43" t="s">
        <v>86</v>
      </c>
      <c r="J284" s="49"/>
      <c r="K284" s="49"/>
      <c r="L284" s="49"/>
      <c r="M284" s="49"/>
      <c r="N284" s="49"/>
      <c r="O284" s="49"/>
      <c r="P284" s="49"/>
      <c r="Q284" s="49"/>
      <c r="R284" s="49"/>
      <c r="S284" s="49"/>
    </row>
    <row r="285" spans="1:19" ht="18.75" customHeight="1">
      <c r="A285" s="828">
        <v>6610</v>
      </c>
      <c r="B285" s="828" t="s">
        <v>424</v>
      </c>
      <c r="C285" s="826" t="s">
        <v>13</v>
      </c>
      <c r="D285" s="48">
        <v>113.65</v>
      </c>
      <c r="E285" s="829">
        <v>2.3300188582204702</v>
      </c>
      <c r="F285" s="833">
        <v>1340.11</v>
      </c>
      <c r="G285" s="831">
        <v>2021014001</v>
      </c>
      <c r="H285" s="43"/>
      <c r="I285" s="43" t="s">
        <v>86</v>
      </c>
      <c r="J285" s="49"/>
      <c r="K285" s="49"/>
      <c r="L285" s="49"/>
      <c r="M285" s="49"/>
      <c r="N285" s="49"/>
      <c r="O285" s="49"/>
      <c r="P285" s="49"/>
      <c r="Q285" s="49"/>
      <c r="R285" s="49"/>
      <c r="S285" s="49"/>
    </row>
    <row r="286" spans="1:19" ht="18.75" customHeight="1">
      <c r="A286" s="828">
        <v>6611</v>
      </c>
      <c r="B286" s="828" t="s">
        <v>423</v>
      </c>
      <c r="C286" s="826" t="s">
        <v>13</v>
      </c>
      <c r="D286" s="48"/>
      <c r="E286" s="829">
        <v>5</v>
      </c>
      <c r="F286" s="833">
        <v>957.23</v>
      </c>
      <c r="G286" s="831">
        <v>2024014901</v>
      </c>
      <c r="H286" s="43" t="s">
        <v>86</v>
      </c>
      <c r="I286" s="43"/>
      <c r="J286" s="49"/>
      <c r="K286" s="49"/>
      <c r="L286" s="49"/>
      <c r="M286" s="49"/>
      <c r="N286" s="49"/>
      <c r="O286" s="49"/>
      <c r="P286" s="49"/>
      <c r="Q286" s="49"/>
      <c r="R286" s="49"/>
      <c r="S286" s="49"/>
    </row>
    <row r="287" spans="1:19" ht="18.75" customHeight="1">
      <c r="A287" s="828">
        <v>6612</v>
      </c>
      <c r="B287" s="828" t="s">
        <v>865</v>
      </c>
      <c r="C287" s="826"/>
      <c r="D287" s="46"/>
      <c r="E287" s="829"/>
      <c r="F287" s="833">
        <v>156.94999999999999</v>
      </c>
      <c r="G287" s="831">
        <v>2024014901</v>
      </c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</row>
    <row r="288" spans="1:19" ht="18.75" customHeight="1">
      <c r="A288" s="828">
        <v>6614</v>
      </c>
      <c r="B288" s="828" t="s">
        <v>349</v>
      </c>
      <c r="C288" s="826"/>
      <c r="D288" s="48"/>
      <c r="E288" s="829"/>
      <c r="F288" s="833">
        <v>191.44</v>
      </c>
      <c r="G288" s="831">
        <v>2024014901</v>
      </c>
      <c r="H288" s="43"/>
      <c r="I288" s="43"/>
      <c r="J288" s="49"/>
      <c r="K288" s="49"/>
      <c r="L288" s="49"/>
      <c r="M288" s="49"/>
      <c r="N288" s="49"/>
      <c r="O288" s="49"/>
      <c r="P288" s="49"/>
      <c r="Q288" s="49"/>
      <c r="R288" s="49"/>
      <c r="S288" s="49"/>
    </row>
    <row r="289" spans="1:19" ht="18.75" customHeight="1">
      <c r="A289" s="828">
        <v>6615</v>
      </c>
      <c r="B289" s="828" t="s">
        <v>460</v>
      </c>
      <c r="C289" s="826" t="s">
        <v>13</v>
      </c>
      <c r="D289" s="48"/>
      <c r="E289" s="829">
        <v>0.50008571918395295</v>
      </c>
      <c r="F289" s="833">
        <v>124.44</v>
      </c>
      <c r="G289" s="831">
        <v>2024014901</v>
      </c>
      <c r="H289" s="43" t="s">
        <v>86</v>
      </c>
      <c r="I289" s="43"/>
      <c r="J289" s="49"/>
      <c r="K289" s="49"/>
      <c r="L289" s="49"/>
      <c r="M289" s="49"/>
      <c r="N289" s="49"/>
      <c r="O289" s="49"/>
      <c r="P289" s="49"/>
      <c r="Q289" s="49"/>
      <c r="R289" s="49"/>
      <c r="S289" s="49"/>
    </row>
    <row r="290" spans="1:19" ht="18.75" customHeight="1">
      <c r="A290" s="828">
        <v>6628</v>
      </c>
      <c r="B290" s="828" t="s">
        <v>812</v>
      </c>
      <c r="C290" s="826"/>
      <c r="D290" s="48"/>
      <c r="E290" s="829"/>
      <c r="F290" s="833">
        <v>28.72</v>
      </c>
      <c r="G290" s="831">
        <v>2024014901</v>
      </c>
      <c r="H290" s="43"/>
      <c r="I290" s="43"/>
      <c r="J290" s="49"/>
      <c r="K290" s="49"/>
      <c r="L290" s="49"/>
      <c r="M290" s="49"/>
      <c r="N290" s="49"/>
      <c r="O290" s="49"/>
      <c r="P290" s="49"/>
      <c r="Q290" s="49"/>
      <c r="R290" s="49"/>
      <c r="S290" s="49"/>
    </row>
    <row r="291" spans="1:19" ht="18.75" customHeight="1">
      <c r="A291" s="828">
        <v>6629</v>
      </c>
      <c r="B291" s="828" t="s">
        <v>145</v>
      </c>
      <c r="C291" s="826" t="s">
        <v>13</v>
      </c>
      <c r="D291" s="48"/>
      <c r="E291" s="829">
        <v>2</v>
      </c>
      <c r="F291" s="833">
        <v>287.17</v>
      </c>
      <c r="G291" s="831">
        <v>2021014001</v>
      </c>
      <c r="H291" s="43"/>
      <c r="I291" s="43" t="s">
        <v>86</v>
      </c>
      <c r="J291" s="49"/>
      <c r="K291" s="49"/>
      <c r="L291" s="49"/>
      <c r="M291" s="49"/>
      <c r="N291" s="49"/>
      <c r="O291" s="49"/>
      <c r="P291" s="49"/>
      <c r="Q291" s="49"/>
      <c r="R291" s="49"/>
      <c r="S291" s="49"/>
    </row>
    <row r="292" spans="1:19" ht="18.75" customHeight="1">
      <c r="A292" s="828">
        <v>6632</v>
      </c>
      <c r="B292" s="828" t="s">
        <v>229</v>
      </c>
      <c r="C292" s="826" t="s">
        <v>13</v>
      </c>
      <c r="D292" s="48"/>
      <c r="E292" s="829">
        <v>1</v>
      </c>
      <c r="F292" s="833">
        <v>2680.22</v>
      </c>
      <c r="G292" s="831">
        <v>2021014001</v>
      </c>
      <c r="H292" s="43"/>
      <c r="I292" s="43" t="s">
        <v>86</v>
      </c>
      <c r="J292" s="49"/>
      <c r="K292" s="49"/>
      <c r="L292" s="49"/>
      <c r="M292" s="49"/>
      <c r="N292" s="49"/>
      <c r="O292" s="49"/>
      <c r="P292" s="49"/>
      <c r="Q292" s="49"/>
      <c r="R292" s="49"/>
      <c r="S292" s="49"/>
    </row>
    <row r="293" spans="1:19" ht="18.75" customHeight="1">
      <c r="A293" s="828">
        <v>6633</v>
      </c>
      <c r="B293" s="828" t="s">
        <v>228</v>
      </c>
      <c r="C293" s="826" t="s">
        <v>13</v>
      </c>
      <c r="D293" s="48"/>
      <c r="E293" s="829">
        <v>1.30001714383679</v>
      </c>
      <c r="F293" s="833">
        <v>2201.61</v>
      </c>
      <c r="G293" s="831">
        <v>2024014901</v>
      </c>
      <c r="H293" s="43" t="s">
        <v>86</v>
      </c>
      <c r="I293" s="43" t="s">
        <v>86</v>
      </c>
      <c r="J293" s="49"/>
      <c r="K293" s="49"/>
      <c r="L293" s="49"/>
      <c r="M293" s="49"/>
      <c r="N293" s="49"/>
      <c r="O293" s="49"/>
      <c r="P293" s="49"/>
      <c r="Q293" s="49"/>
      <c r="R293" s="49"/>
      <c r="S293" s="49"/>
    </row>
    <row r="294" spans="1:19" ht="18.75" customHeight="1">
      <c r="A294" s="828">
        <v>6634</v>
      </c>
      <c r="B294" s="828" t="s">
        <v>308</v>
      </c>
      <c r="C294" s="826"/>
      <c r="D294" s="48"/>
      <c r="E294" s="829"/>
      <c r="F294" s="833">
        <v>95.72</v>
      </c>
      <c r="G294" s="831">
        <v>2024014901</v>
      </c>
      <c r="H294" s="43"/>
      <c r="I294" s="43"/>
      <c r="J294" s="49"/>
      <c r="K294" s="49"/>
      <c r="L294" s="49"/>
      <c r="M294" s="49"/>
      <c r="N294" s="49"/>
      <c r="O294" s="49"/>
      <c r="P294" s="49"/>
      <c r="Q294" s="49"/>
      <c r="R294" s="49"/>
      <c r="S294" s="49"/>
    </row>
    <row r="295" spans="1:19" ht="18.75" customHeight="1">
      <c r="A295" s="828">
        <v>6635</v>
      </c>
      <c r="B295" s="828" t="s">
        <v>323</v>
      </c>
      <c r="C295" s="826"/>
      <c r="D295" s="46"/>
      <c r="E295" s="829"/>
      <c r="F295" s="833">
        <v>5743.33</v>
      </c>
      <c r="G295" s="831">
        <v>2024014901</v>
      </c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</row>
    <row r="296" spans="1:19" ht="18.75" customHeight="1">
      <c r="A296" s="828">
        <v>6636</v>
      </c>
      <c r="B296" s="828" t="s">
        <v>337</v>
      </c>
      <c r="C296" s="826"/>
      <c r="D296" s="46"/>
      <c r="E296" s="829"/>
      <c r="F296" s="833">
        <v>191.44</v>
      </c>
      <c r="G296" s="831">
        <v>2024014901</v>
      </c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</row>
    <row r="297" spans="1:19" ht="18.75" customHeight="1">
      <c r="A297" s="828">
        <v>6641</v>
      </c>
      <c r="B297" s="828" t="s">
        <v>900</v>
      </c>
      <c r="C297" s="826" t="s">
        <v>13</v>
      </c>
      <c r="D297" s="48">
        <v>116.9</v>
      </c>
      <c r="E297" s="829">
        <v>1.5000857191839501</v>
      </c>
      <c r="F297" s="833">
        <v>32.549999999999997</v>
      </c>
      <c r="G297" s="831">
        <v>2024014901</v>
      </c>
      <c r="H297" s="43" t="s">
        <v>86</v>
      </c>
      <c r="I297" s="43"/>
      <c r="J297" s="49"/>
      <c r="K297" s="49"/>
      <c r="L297" s="49"/>
      <c r="M297" s="49"/>
      <c r="N297" s="49"/>
      <c r="O297" s="49"/>
      <c r="P297" s="49"/>
      <c r="Q297" s="49"/>
      <c r="R297" s="49"/>
      <c r="S297" s="49"/>
    </row>
    <row r="298" spans="1:19" ht="18.75" customHeight="1">
      <c r="A298" s="828">
        <v>6642</v>
      </c>
      <c r="B298" s="828" t="s">
        <v>193</v>
      </c>
      <c r="C298" s="826"/>
      <c r="D298" s="46"/>
      <c r="E298" s="829"/>
      <c r="F298" s="833">
        <v>47.86</v>
      </c>
      <c r="G298" s="831">
        <v>2024014901</v>
      </c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</row>
    <row r="299" spans="1:19" ht="18.75" customHeight="1">
      <c r="A299" s="828">
        <v>6644</v>
      </c>
      <c r="B299" s="828" t="s">
        <v>938</v>
      </c>
      <c r="C299" s="826" t="s">
        <v>13</v>
      </c>
      <c r="D299" s="48"/>
      <c r="E299" s="829">
        <v>0.75998628493056697</v>
      </c>
      <c r="F299" s="833">
        <v>261.33</v>
      </c>
      <c r="G299" s="831">
        <v>2024014901</v>
      </c>
      <c r="H299" s="43" t="s">
        <v>86</v>
      </c>
      <c r="I299" s="43"/>
      <c r="J299" s="49"/>
      <c r="K299" s="49"/>
      <c r="L299" s="49"/>
      <c r="M299" s="49"/>
      <c r="N299" s="49"/>
      <c r="O299" s="49"/>
      <c r="P299" s="49"/>
      <c r="Q299" s="49"/>
      <c r="R299" s="49"/>
      <c r="S299" s="49"/>
    </row>
    <row r="300" spans="1:19" ht="18.75" customHeight="1">
      <c r="A300" s="828">
        <v>6645</v>
      </c>
      <c r="B300" s="828" t="s">
        <v>854</v>
      </c>
      <c r="C300" s="826" t="s">
        <v>13</v>
      </c>
      <c r="D300" s="48">
        <v>45.46</v>
      </c>
      <c r="E300" s="829">
        <v>4</v>
      </c>
      <c r="F300" s="833">
        <v>217.28</v>
      </c>
      <c r="G300" s="831">
        <v>2021014001</v>
      </c>
      <c r="H300" s="43"/>
      <c r="I300" s="43" t="s">
        <v>86</v>
      </c>
      <c r="J300" s="49"/>
      <c r="K300" s="49"/>
      <c r="L300" s="49"/>
      <c r="M300" s="49"/>
      <c r="N300" s="49"/>
      <c r="O300" s="49"/>
      <c r="P300" s="49"/>
      <c r="Q300" s="49"/>
      <c r="R300" s="49"/>
      <c r="S300" s="49"/>
    </row>
    <row r="301" spans="1:19" ht="18.75" customHeight="1">
      <c r="A301" s="828">
        <v>6653</v>
      </c>
      <c r="B301" s="828" t="s">
        <v>211</v>
      </c>
      <c r="C301" s="826" t="s">
        <v>13</v>
      </c>
      <c r="D301" s="48"/>
      <c r="E301" s="829">
        <v>5</v>
      </c>
      <c r="F301" s="833">
        <v>143.59</v>
      </c>
      <c r="G301" s="831">
        <v>2024014901</v>
      </c>
      <c r="H301" s="43" t="s">
        <v>86</v>
      </c>
      <c r="I301" s="43"/>
      <c r="J301" s="49"/>
      <c r="K301" s="49"/>
      <c r="L301" s="49"/>
      <c r="M301" s="49"/>
      <c r="N301" s="49"/>
      <c r="O301" s="49"/>
      <c r="P301" s="49"/>
      <c r="Q301" s="49"/>
      <c r="R301" s="49"/>
      <c r="S301" s="49"/>
    </row>
    <row r="302" spans="1:19" ht="18.75" customHeight="1">
      <c r="A302" s="828">
        <v>6655</v>
      </c>
      <c r="B302" s="828" t="s">
        <v>412</v>
      </c>
      <c r="C302" s="826"/>
      <c r="D302" s="46"/>
      <c r="E302" s="829"/>
      <c r="F302" s="833">
        <v>19.149999999999999</v>
      </c>
      <c r="G302" s="831">
        <v>2024014901</v>
      </c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</row>
    <row r="303" spans="1:19" ht="18.75" customHeight="1">
      <c r="A303" s="828">
        <v>6656</v>
      </c>
      <c r="B303" s="828" t="s">
        <v>295</v>
      </c>
      <c r="C303" s="826" t="s">
        <v>13</v>
      </c>
      <c r="D303" s="48"/>
      <c r="E303" s="829">
        <v>5</v>
      </c>
      <c r="F303" s="833">
        <v>478.61</v>
      </c>
      <c r="G303" s="831">
        <v>2024014901</v>
      </c>
      <c r="H303" s="43" t="s">
        <v>86</v>
      </c>
      <c r="I303" s="43"/>
      <c r="J303" s="49"/>
      <c r="K303" s="49"/>
      <c r="L303" s="49"/>
      <c r="M303" s="49"/>
      <c r="N303" s="49"/>
      <c r="O303" s="49"/>
      <c r="P303" s="49"/>
      <c r="Q303" s="49"/>
      <c r="R303" s="49"/>
      <c r="S303" s="49"/>
    </row>
    <row r="304" spans="1:19" ht="18.75" customHeight="1">
      <c r="A304" s="828">
        <v>6657</v>
      </c>
      <c r="B304" s="828" t="s">
        <v>97</v>
      </c>
      <c r="C304" s="826" t="s">
        <v>13</v>
      </c>
      <c r="D304" s="48">
        <v>276.01</v>
      </c>
      <c r="E304" s="829">
        <v>6.30996056917538</v>
      </c>
      <c r="F304" s="833">
        <v>287.17</v>
      </c>
      <c r="G304" s="831">
        <v>2024014901</v>
      </c>
      <c r="H304" s="43" t="s">
        <v>86</v>
      </c>
      <c r="I304" s="43" t="s">
        <v>86</v>
      </c>
      <c r="J304" s="49"/>
      <c r="K304" s="49"/>
      <c r="L304" s="49"/>
      <c r="M304" s="49"/>
      <c r="N304" s="49"/>
      <c r="O304" s="49"/>
      <c r="P304" s="49"/>
      <c r="Q304" s="49"/>
      <c r="R304" s="49"/>
      <c r="S304" s="49"/>
    </row>
    <row r="305" spans="1:19" ht="18.75" customHeight="1">
      <c r="A305" s="828">
        <v>6661</v>
      </c>
      <c r="B305" s="828" t="s">
        <v>213</v>
      </c>
      <c r="C305" s="826" t="s">
        <v>13</v>
      </c>
      <c r="D305" s="48"/>
      <c r="E305" s="829">
        <v>0.50008571918395295</v>
      </c>
      <c r="F305" s="833">
        <v>5743.33</v>
      </c>
      <c r="G305" s="831">
        <v>2024014901</v>
      </c>
      <c r="H305" s="43" t="s">
        <v>86</v>
      </c>
      <c r="I305" s="43"/>
      <c r="J305" s="49"/>
      <c r="K305" s="49"/>
      <c r="L305" s="49"/>
      <c r="M305" s="49"/>
      <c r="N305" s="49"/>
      <c r="O305" s="49"/>
      <c r="P305" s="49"/>
      <c r="Q305" s="49"/>
      <c r="R305" s="49"/>
      <c r="S305" s="49"/>
    </row>
    <row r="306" spans="1:19" ht="18.75" customHeight="1">
      <c r="A306" s="828">
        <v>6665</v>
      </c>
      <c r="B306" s="828" t="s">
        <v>88</v>
      </c>
      <c r="C306" s="826"/>
      <c r="D306" s="46"/>
      <c r="E306" s="829"/>
      <c r="F306" s="833">
        <v>684.41</v>
      </c>
      <c r="G306" s="831">
        <v>2024014901</v>
      </c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</row>
    <row r="307" spans="1:19" ht="18.75" customHeight="1">
      <c r="A307" s="828">
        <v>6670</v>
      </c>
      <c r="B307" s="828" t="s">
        <v>108</v>
      </c>
      <c r="C307" s="826"/>
      <c r="D307" s="46"/>
      <c r="E307" s="829"/>
      <c r="F307" s="833">
        <v>957.22</v>
      </c>
      <c r="G307" s="831">
        <v>2024014901</v>
      </c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</row>
    <row r="308" spans="1:19" ht="18.75" customHeight="1">
      <c r="A308" s="828">
        <v>6671</v>
      </c>
      <c r="B308" s="828" t="s">
        <v>89</v>
      </c>
      <c r="C308" s="826" t="s">
        <v>13</v>
      </c>
      <c r="D308" s="48"/>
      <c r="E308" s="829">
        <v>5</v>
      </c>
      <c r="F308" s="833">
        <v>6317.67</v>
      </c>
      <c r="G308" s="831">
        <v>2024014901</v>
      </c>
      <c r="H308" s="43" t="s">
        <v>86</v>
      </c>
      <c r="I308" s="43"/>
      <c r="J308" s="49"/>
      <c r="K308" s="49"/>
      <c r="L308" s="49"/>
      <c r="M308" s="49"/>
      <c r="N308" s="49"/>
      <c r="O308" s="49"/>
      <c r="P308" s="49"/>
      <c r="Q308" s="49"/>
      <c r="R308" s="49"/>
      <c r="S308" s="49"/>
    </row>
    <row r="309" spans="1:19" ht="18.75" customHeight="1">
      <c r="A309" s="828">
        <v>6674</v>
      </c>
      <c r="B309" s="828" t="s">
        <v>823</v>
      </c>
      <c r="C309" s="826"/>
      <c r="D309" s="46"/>
      <c r="E309" s="829"/>
      <c r="F309" s="833">
        <v>188.34</v>
      </c>
      <c r="G309" s="831">
        <v>2024014901</v>
      </c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</row>
    <row r="310" spans="1:19" ht="18.75" customHeight="1">
      <c r="A310" s="828">
        <v>6675</v>
      </c>
      <c r="B310" s="828" t="s">
        <v>927</v>
      </c>
      <c r="C310" s="826"/>
      <c r="D310" s="46"/>
      <c r="E310" s="829"/>
      <c r="F310" s="833">
        <v>188.34</v>
      </c>
      <c r="G310" s="831">
        <v>2024014901</v>
      </c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</row>
    <row r="311" spans="1:19" ht="18.75" customHeight="1">
      <c r="A311" s="828">
        <v>6676</v>
      </c>
      <c r="B311" s="828" t="s">
        <v>872</v>
      </c>
      <c r="C311" s="826" t="s">
        <v>13</v>
      </c>
      <c r="D311" s="48">
        <v>45.46</v>
      </c>
      <c r="E311" s="829">
        <v>1</v>
      </c>
      <c r="F311" s="833">
        <v>313.89999999999998</v>
      </c>
      <c r="G311" s="831">
        <v>2021014001</v>
      </c>
      <c r="H311" s="43"/>
      <c r="I311" s="43" t="s">
        <v>86</v>
      </c>
      <c r="J311" s="49"/>
      <c r="K311" s="49"/>
      <c r="L311" s="49"/>
      <c r="M311" s="49"/>
      <c r="N311" s="49"/>
      <c r="O311" s="49"/>
      <c r="P311" s="49"/>
      <c r="Q311" s="49"/>
      <c r="R311" s="49"/>
      <c r="S311" s="49"/>
    </row>
    <row r="312" spans="1:19" ht="18.75" customHeight="1">
      <c r="A312" s="828">
        <v>6677</v>
      </c>
      <c r="B312" s="828" t="s">
        <v>944</v>
      </c>
      <c r="C312" s="826"/>
      <c r="D312" s="48"/>
      <c r="E312" s="829"/>
      <c r="F312" s="833">
        <v>188.34</v>
      </c>
      <c r="G312" s="831">
        <v>2024014901</v>
      </c>
      <c r="H312" s="43"/>
      <c r="I312" s="43"/>
      <c r="J312" s="49"/>
      <c r="K312" s="49"/>
      <c r="L312" s="49"/>
      <c r="M312" s="49"/>
      <c r="N312" s="49"/>
      <c r="O312" s="49"/>
      <c r="P312" s="49"/>
      <c r="Q312" s="49"/>
      <c r="R312" s="49"/>
      <c r="S312" s="49"/>
    </row>
    <row r="313" spans="1:19" ht="18.75" customHeight="1">
      <c r="A313" s="828">
        <v>6678</v>
      </c>
      <c r="B313" s="828" t="s">
        <v>776</v>
      </c>
      <c r="C313" s="826"/>
      <c r="D313" s="46"/>
      <c r="E313" s="829"/>
      <c r="F313" s="833">
        <v>125.55</v>
      </c>
      <c r="G313" s="831">
        <v>2024014901</v>
      </c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</row>
    <row r="314" spans="1:19" ht="18.75" customHeight="1">
      <c r="A314" s="828">
        <v>6679</v>
      </c>
      <c r="B314" s="828" t="s">
        <v>920</v>
      </c>
      <c r="C314" s="826" t="s">
        <v>13</v>
      </c>
      <c r="D314" s="48">
        <v>243.54</v>
      </c>
      <c r="E314" s="829">
        <v>5</v>
      </c>
      <c r="F314" s="833">
        <v>62.77</v>
      </c>
      <c r="G314" s="831">
        <v>2024014901</v>
      </c>
      <c r="H314" s="43" t="s">
        <v>86</v>
      </c>
      <c r="I314" s="43"/>
      <c r="J314" s="49"/>
      <c r="K314" s="49"/>
      <c r="L314" s="49"/>
      <c r="M314" s="49"/>
      <c r="N314" s="49"/>
      <c r="O314" s="49"/>
      <c r="P314" s="49"/>
      <c r="Q314" s="49"/>
      <c r="R314" s="49"/>
      <c r="S314" s="49"/>
    </row>
    <row r="315" spans="1:19" ht="18.75" customHeight="1">
      <c r="A315" s="828">
        <v>6680</v>
      </c>
      <c r="B315" s="828" t="s">
        <v>894</v>
      </c>
      <c r="C315" s="826"/>
      <c r="D315" s="46"/>
      <c r="E315" s="829"/>
      <c r="F315" s="833">
        <v>703.13</v>
      </c>
      <c r="G315" s="831">
        <v>2024014901</v>
      </c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</row>
    <row r="316" spans="1:19" ht="18.75" customHeight="1">
      <c r="A316" s="828">
        <v>6681</v>
      </c>
      <c r="B316" s="828" t="s">
        <v>767</v>
      </c>
      <c r="C316" s="826" t="s">
        <v>13</v>
      </c>
      <c r="D316" s="48"/>
      <c r="E316" s="829">
        <v>5.0060003428767402E-2</v>
      </c>
      <c r="F316" s="833">
        <v>841.23</v>
      </c>
      <c r="G316" s="831">
        <v>2024014901</v>
      </c>
      <c r="H316" s="43"/>
      <c r="I316" s="43" t="s">
        <v>86</v>
      </c>
      <c r="J316" s="49"/>
      <c r="K316" s="49"/>
      <c r="L316" s="49"/>
      <c r="M316" s="49"/>
      <c r="N316" s="49"/>
      <c r="O316" s="49"/>
      <c r="P316" s="49"/>
      <c r="Q316" s="49"/>
      <c r="R316" s="49"/>
      <c r="S316" s="49"/>
    </row>
    <row r="317" spans="1:19" ht="18.75" customHeight="1">
      <c r="A317" s="828">
        <v>6682</v>
      </c>
      <c r="B317" s="828" t="s">
        <v>768</v>
      </c>
      <c r="C317" s="826"/>
      <c r="D317" s="46"/>
      <c r="E317" s="829"/>
      <c r="F317" s="833">
        <v>150.66999999999999</v>
      </c>
      <c r="G317" s="831">
        <v>2024014901</v>
      </c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</row>
    <row r="318" spans="1:19" ht="18.75" customHeight="1">
      <c r="A318" s="828">
        <v>6683</v>
      </c>
      <c r="B318" s="828" t="s">
        <v>760</v>
      </c>
      <c r="C318" s="826" t="s">
        <v>13</v>
      </c>
      <c r="D318" s="48">
        <v>4.87</v>
      </c>
      <c r="E318" s="829">
        <v>12</v>
      </c>
      <c r="F318" s="833">
        <v>150.66999999999999</v>
      </c>
      <c r="G318" s="831">
        <v>2024014901</v>
      </c>
      <c r="H318" s="43" t="s">
        <v>86</v>
      </c>
      <c r="I318" s="43"/>
      <c r="J318" s="49"/>
      <c r="K318" s="49"/>
      <c r="L318" s="49"/>
      <c r="M318" s="49"/>
      <c r="N318" s="49"/>
      <c r="O318" s="49"/>
      <c r="P318" s="49"/>
      <c r="Q318" s="49"/>
      <c r="R318" s="49"/>
      <c r="S318" s="49"/>
    </row>
    <row r="319" spans="1:19" ht="18.75" customHeight="1">
      <c r="A319" s="828">
        <v>6687</v>
      </c>
      <c r="B319" s="828" t="s">
        <v>843</v>
      </c>
      <c r="C319" s="826" t="s">
        <v>577</v>
      </c>
      <c r="D319" s="48"/>
      <c r="E319" s="829">
        <v>4.21001200068575</v>
      </c>
      <c r="F319" s="833">
        <v>226.01</v>
      </c>
      <c r="G319" s="831">
        <v>2024014901</v>
      </c>
      <c r="H319" s="43" t="s">
        <v>86</v>
      </c>
      <c r="I319" s="43" t="s">
        <v>86</v>
      </c>
      <c r="J319" s="49"/>
      <c r="K319" s="49"/>
      <c r="L319" s="49"/>
      <c r="M319" s="49"/>
      <c r="N319" s="49"/>
      <c r="O319" s="49"/>
      <c r="P319" s="49"/>
      <c r="Q319" s="49"/>
      <c r="R319" s="49"/>
      <c r="S319" s="49"/>
    </row>
    <row r="320" spans="1:19" ht="18.75" customHeight="1">
      <c r="A320" s="828">
        <v>6688</v>
      </c>
      <c r="B320" s="828" t="s">
        <v>895</v>
      </c>
      <c r="C320" s="826" t="s">
        <v>13</v>
      </c>
      <c r="D320" s="48"/>
      <c r="E320" s="829">
        <v>5</v>
      </c>
      <c r="F320" s="833">
        <v>448.87</v>
      </c>
      <c r="G320" s="831">
        <v>2024014901</v>
      </c>
      <c r="H320" s="43" t="s">
        <v>86</v>
      </c>
      <c r="I320" s="43"/>
      <c r="J320" s="49"/>
      <c r="K320" s="49"/>
      <c r="L320" s="49"/>
      <c r="M320" s="49"/>
      <c r="N320" s="49"/>
      <c r="O320" s="49"/>
      <c r="P320" s="49"/>
      <c r="Q320" s="49"/>
      <c r="R320" s="49"/>
      <c r="S320" s="49"/>
    </row>
    <row r="321" spans="1:19" ht="18.75" customHeight="1">
      <c r="A321" s="828">
        <v>6690</v>
      </c>
      <c r="B321" s="828" t="s">
        <v>836</v>
      </c>
      <c r="C321" s="826" t="s">
        <v>13</v>
      </c>
      <c r="D321" s="48">
        <v>86.05</v>
      </c>
      <c r="E321" s="829">
        <v>5</v>
      </c>
      <c r="F321" s="833">
        <v>125.55</v>
      </c>
      <c r="G321" s="831">
        <v>2024014901</v>
      </c>
      <c r="H321" s="43" t="s">
        <v>86</v>
      </c>
      <c r="I321" s="43"/>
      <c r="J321" s="49"/>
      <c r="K321" s="49"/>
      <c r="L321" s="49"/>
      <c r="M321" s="49"/>
      <c r="N321" s="49"/>
      <c r="O321" s="49"/>
      <c r="P321" s="49"/>
      <c r="Q321" s="49"/>
      <c r="R321" s="49"/>
      <c r="S321" s="49"/>
    </row>
    <row r="322" spans="1:19" ht="18.75" customHeight="1">
      <c r="A322" s="828">
        <v>6691</v>
      </c>
      <c r="B322" s="828" t="s">
        <v>769</v>
      </c>
      <c r="C322" s="826" t="s">
        <v>13</v>
      </c>
      <c r="D322" s="48">
        <v>81.180000000000007</v>
      </c>
      <c r="E322" s="829">
        <v>1</v>
      </c>
      <c r="F322" s="833">
        <v>31.39</v>
      </c>
      <c r="G322" s="831">
        <v>2024014901</v>
      </c>
      <c r="H322" s="43"/>
      <c r="I322" s="43" t="s">
        <v>86</v>
      </c>
      <c r="J322" s="49"/>
      <c r="K322" s="49"/>
      <c r="L322" s="49"/>
      <c r="M322" s="49"/>
      <c r="N322" s="49"/>
      <c r="O322" s="49"/>
      <c r="P322" s="49"/>
      <c r="Q322" s="49"/>
      <c r="R322" s="49"/>
      <c r="S322" s="49"/>
    </row>
    <row r="323" spans="1:19" ht="18.75" customHeight="1">
      <c r="A323" s="828">
        <v>6692</v>
      </c>
      <c r="B323" s="828" t="s">
        <v>886</v>
      </c>
      <c r="C323" s="826" t="s">
        <v>13</v>
      </c>
      <c r="D323" s="48">
        <v>487.08</v>
      </c>
      <c r="E323" s="829">
        <v>0.69998285616320899</v>
      </c>
      <c r="F323" s="833">
        <v>627.79</v>
      </c>
      <c r="G323" s="831">
        <v>2024014901</v>
      </c>
      <c r="H323" s="43" t="s">
        <v>86</v>
      </c>
      <c r="I323" s="43"/>
      <c r="J323" s="49"/>
      <c r="K323" s="49"/>
      <c r="L323" s="49"/>
      <c r="M323" s="49"/>
      <c r="N323" s="49"/>
      <c r="O323" s="49"/>
      <c r="P323" s="49"/>
      <c r="Q323" s="49"/>
      <c r="R323" s="49"/>
      <c r="S323" s="49"/>
    </row>
    <row r="324" spans="1:19" ht="18.75" customHeight="1">
      <c r="A324" s="828">
        <v>6693</v>
      </c>
      <c r="B324" s="828" t="s">
        <v>912</v>
      </c>
      <c r="C324" s="826" t="s">
        <v>13</v>
      </c>
      <c r="D324" s="48">
        <v>3247.2</v>
      </c>
      <c r="E324" s="829">
        <v>5</v>
      </c>
      <c r="F324" s="833">
        <v>109.87</v>
      </c>
      <c r="G324" s="831">
        <v>2024014901</v>
      </c>
      <c r="H324" s="43" t="s">
        <v>86</v>
      </c>
      <c r="I324" s="43"/>
      <c r="J324" s="49"/>
      <c r="K324" s="49"/>
      <c r="L324" s="49"/>
      <c r="M324" s="49"/>
      <c r="N324" s="49"/>
      <c r="O324" s="49"/>
      <c r="P324" s="49"/>
      <c r="Q324" s="49"/>
      <c r="R324" s="49"/>
      <c r="S324" s="49"/>
    </row>
    <row r="325" spans="1:19" ht="18.75" customHeight="1">
      <c r="A325" s="828">
        <v>6694</v>
      </c>
      <c r="B325" s="828" t="s">
        <v>916</v>
      </c>
      <c r="C325" s="826"/>
      <c r="D325" s="46"/>
      <c r="E325" s="829"/>
      <c r="F325" s="833">
        <v>109.87</v>
      </c>
      <c r="G325" s="831">
        <v>2024014901</v>
      </c>
      <c r="H325" s="43"/>
      <c r="I325" s="43"/>
      <c r="J325" s="49"/>
      <c r="K325" s="49"/>
      <c r="L325" s="49"/>
      <c r="M325" s="49"/>
      <c r="N325" s="49"/>
      <c r="O325" s="49"/>
      <c r="P325" s="49"/>
      <c r="Q325" s="49"/>
      <c r="R325" s="49"/>
      <c r="S325" s="49"/>
    </row>
    <row r="326" spans="1:19" ht="18.75" customHeight="1">
      <c r="A326" s="828">
        <v>6695</v>
      </c>
      <c r="B326" s="828" t="s">
        <v>770</v>
      </c>
      <c r="C326" s="826" t="s">
        <v>13</v>
      </c>
      <c r="D326" s="48">
        <v>97.42</v>
      </c>
      <c r="E326" s="829">
        <v>5</v>
      </c>
      <c r="F326" s="833">
        <v>784.74</v>
      </c>
      <c r="G326" s="831">
        <v>2024014901</v>
      </c>
      <c r="H326" s="43" t="s">
        <v>86</v>
      </c>
      <c r="I326" s="43"/>
      <c r="J326" s="49"/>
      <c r="K326" s="49"/>
      <c r="L326" s="49"/>
      <c r="M326" s="49"/>
      <c r="N326" s="49"/>
      <c r="O326" s="49"/>
      <c r="P326" s="49"/>
      <c r="Q326" s="49"/>
      <c r="R326" s="49"/>
      <c r="S326" s="49"/>
    </row>
    <row r="327" spans="1:19" ht="18.75" customHeight="1">
      <c r="A327" s="828">
        <v>6696</v>
      </c>
      <c r="B327" s="828" t="s">
        <v>774</v>
      </c>
      <c r="C327" s="826" t="s">
        <v>13</v>
      </c>
      <c r="D327" s="48">
        <v>487.08</v>
      </c>
      <c r="E327" s="829">
        <v>7</v>
      </c>
      <c r="F327" s="833">
        <v>62.78</v>
      </c>
      <c r="G327" s="831">
        <v>2024014901</v>
      </c>
      <c r="H327" s="43" t="s">
        <v>86</v>
      </c>
      <c r="I327" s="43"/>
      <c r="J327" s="49"/>
      <c r="K327" s="49"/>
      <c r="L327" s="49"/>
      <c r="M327" s="49"/>
      <c r="N327" s="49"/>
      <c r="O327" s="49"/>
      <c r="P327" s="49"/>
      <c r="Q327" s="49"/>
      <c r="R327" s="49"/>
      <c r="S327" s="49"/>
    </row>
    <row r="328" spans="1:19" ht="18.75" customHeight="1">
      <c r="A328" s="828">
        <v>6697</v>
      </c>
      <c r="B328" s="828" t="s">
        <v>946</v>
      </c>
      <c r="C328" s="826" t="s">
        <v>13</v>
      </c>
      <c r="D328" s="48">
        <v>243.54</v>
      </c>
      <c r="E328" s="829">
        <v>3</v>
      </c>
      <c r="F328" s="833">
        <v>354.71</v>
      </c>
      <c r="G328" s="831">
        <v>2024014901</v>
      </c>
      <c r="H328" s="43"/>
      <c r="I328" s="43" t="s">
        <v>86</v>
      </c>
      <c r="J328" s="49"/>
      <c r="K328" s="49"/>
      <c r="L328" s="49"/>
      <c r="M328" s="49"/>
      <c r="N328" s="49"/>
      <c r="O328" s="49"/>
      <c r="P328" s="49"/>
      <c r="Q328" s="49"/>
      <c r="R328" s="49"/>
      <c r="S328" s="49"/>
    </row>
    <row r="329" spans="1:19" ht="18.75" customHeight="1">
      <c r="A329" s="828">
        <v>6698</v>
      </c>
      <c r="B329" s="828" t="s">
        <v>820</v>
      </c>
      <c r="C329" s="826"/>
      <c r="D329" s="46"/>
      <c r="E329" s="829"/>
      <c r="F329" s="833">
        <v>354.71</v>
      </c>
      <c r="G329" s="831">
        <v>2024014901</v>
      </c>
      <c r="H329" s="43"/>
      <c r="I329" s="43"/>
      <c r="J329" s="49"/>
      <c r="K329" s="49"/>
      <c r="L329" s="49"/>
      <c r="M329" s="49"/>
      <c r="N329" s="49"/>
      <c r="O329" s="49"/>
      <c r="P329" s="49"/>
      <c r="Q329" s="49"/>
      <c r="R329" s="49"/>
      <c r="S329" s="49"/>
    </row>
    <row r="330" spans="1:19" ht="18.75" customHeight="1">
      <c r="A330" s="828">
        <v>6699</v>
      </c>
      <c r="B330" s="828" t="s">
        <v>913</v>
      </c>
      <c r="C330" s="826" t="s">
        <v>13</v>
      </c>
      <c r="D330" s="48"/>
      <c r="E330" s="829">
        <v>2.39996571232642</v>
      </c>
      <c r="F330" s="833">
        <v>354.71</v>
      </c>
      <c r="G330" s="831">
        <v>2024014901</v>
      </c>
      <c r="H330" s="43" t="s">
        <v>86</v>
      </c>
      <c r="I330" s="43"/>
      <c r="J330" s="49"/>
      <c r="K330" s="49"/>
      <c r="L330" s="49"/>
      <c r="M330" s="49"/>
      <c r="N330" s="49"/>
      <c r="O330" s="49"/>
      <c r="P330" s="49"/>
      <c r="Q330" s="49"/>
      <c r="R330" s="49"/>
      <c r="S330" s="49"/>
    </row>
    <row r="331" spans="1:19" ht="18.75" customHeight="1">
      <c r="A331" s="828">
        <v>6700</v>
      </c>
      <c r="B331" s="828" t="s">
        <v>947</v>
      </c>
      <c r="C331" s="826" t="s">
        <v>105</v>
      </c>
      <c r="D331" s="48"/>
      <c r="E331" s="829">
        <v>0.489970855477456</v>
      </c>
      <c r="F331" s="833">
        <v>891.46</v>
      </c>
      <c r="G331" s="831">
        <v>2024014901</v>
      </c>
      <c r="H331" s="43" t="s">
        <v>86</v>
      </c>
      <c r="I331" s="43" t="s">
        <v>86</v>
      </c>
      <c r="J331" s="49"/>
      <c r="K331" s="49"/>
      <c r="L331" s="49"/>
      <c r="M331" s="49"/>
      <c r="N331" s="49"/>
      <c r="O331" s="49"/>
      <c r="P331" s="49"/>
      <c r="Q331" s="49"/>
      <c r="R331" s="49"/>
      <c r="S331" s="49"/>
    </row>
    <row r="332" spans="1:19" ht="18.75" customHeight="1">
      <c r="A332" s="828">
        <v>6701</v>
      </c>
      <c r="B332" s="828" t="s">
        <v>948</v>
      </c>
      <c r="C332" s="826" t="s">
        <v>13</v>
      </c>
      <c r="D332" s="48">
        <v>105.53</v>
      </c>
      <c r="E332" s="829">
        <v>0.489970855477456</v>
      </c>
      <c r="F332" s="833">
        <v>891.46</v>
      </c>
      <c r="G332" s="831">
        <v>2024014901</v>
      </c>
      <c r="H332" s="43" t="s">
        <v>86</v>
      </c>
      <c r="I332" s="43" t="s">
        <v>86</v>
      </c>
      <c r="J332" s="49"/>
      <c r="K332" s="49"/>
      <c r="L332" s="49"/>
      <c r="M332" s="49"/>
      <c r="N332" s="49"/>
      <c r="O332" s="49"/>
      <c r="P332" s="49"/>
      <c r="Q332" s="49"/>
      <c r="R332" s="49"/>
      <c r="S332" s="49"/>
    </row>
    <row r="333" spans="1:19" ht="18.75" customHeight="1">
      <c r="A333" s="828">
        <v>6702</v>
      </c>
      <c r="B333" s="828" t="s">
        <v>772</v>
      </c>
      <c r="C333" s="826"/>
      <c r="D333" s="46"/>
      <c r="E333" s="829"/>
      <c r="F333" s="833">
        <v>251.12</v>
      </c>
      <c r="G333" s="831">
        <v>2024014901</v>
      </c>
      <c r="H333" s="43"/>
      <c r="I333" s="43"/>
      <c r="J333" s="49"/>
      <c r="K333" s="49"/>
      <c r="L333" s="49"/>
      <c r="M333" s="49"/>
      <c r="N333" s="49"/>
      <c r="O333" s="49"/>
      <c r="P333" s="49"/>
      <c r="Q333" s="49"/>
      <c r="R333" s="49"/>
      <c r="S333" s="49"/>
    </row>
    <row r="334" spans="1:19" ht="18.75" customHeight="1">
      <c r="A334" s="828">
        <v>6703</v>
      </c>
      <c r="B334" s="828" t="s">
        <v>837</v>
      </c>
      <c r="C334" s="826"/>
      <c r="D334" s="46"/>
      <c r="E334" s="829"/>
      <c r="F334" s="833">
        <v>251.12</v>
      </c>
      <c r="G334" s="831">
        <v>2024014901</v>
      </c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</row>
    <row r="335" spans="1:19" ht="18.75" customHeight="1">
      <c r="A335" s="828">
        <v>6704</v>
      </c>
      <c r="B335" s="828" t="s">
        <v>949</v>
      </c>
      <c r="C335" s="826" t="s">
        <v>13</v>
      </c>
      <c r="D335" s="48"/>
      <c r="E335" s="829">
        <v>2.39996571232642</v>
      </c>
      <c r="F335" s="833">
        <v>627.79</v>
      </c>
      <c r="G335" s="831">
        <v>2024014901</v>
      </c>
      <c r="H335" s="43" t="s">
        <v>86</v>
      </c>
      <c r="I335" s="43"/>
      <c r="J335" s="49"/>
      <c r="K335" s="49"/>
      <c r="L335" s="49"/>
      <c r="M335" s="49"/>
      <c r="N335" s="49"/>
      <c r="O335" s="49"/>
      <c r="P335" s="49"/>
      <c r="Q335" s="49"/>
      <c r="R335" s="49"/>
      <c r="S335" s="49"/>
    </row>
    <row r="336" spans="1:19" ht="18.75" customHeight="1">
      <c r="A336" s="828">
        <v>6705</v>
      </c>
      <c r="B336" s="828" t="s">
        <v>838</v>
      </c>
      <c r="C336" s="826" t="s">
        <v>13</v>
      </c>
      <c r="D336" s="48"/>
      <c r="E336" s="829">
        <v>0.489970855477456</v>
      </c>
      <c r="F336" s="833">
        <v>627.79</v>
      </c>
      <c r="G336" s="831">
        <v>2024014901</v>
      </c>
      <c r="H336" s="43" t="s">
        <v>86</v>
      </c>
      <c r="I336" s="43" t="s">
        <v>86</v>
      </c>
      <c r="J336" s="49"/>
      <c r="K336" s="49"/>
      <c r="L336" s="49"/>
      <c r="M336" s="49"/>
      <c r="N336" s="49"/>
      <c r="O336" s="49"/>
      <c r="P336" s="49"/>
      <c r="Q336" s="49"/>
      <c r="R336" s="49"/>
      <c r="S336" s="49"/>
    </row>
    <row r="337" spans="1:19" ht="18.75" customHeight="1">
      <c r="A337" s="828">
        <v>6706</v>
      </c>
      <c r="B337" s="828" t="s">
        <v>861</v>
      </c>
      <c r="C337" s="826"/>
      <c r="D337" s="48"/>
      <c r="E337" s="829"/>
      <c r="F337" s="833">
        <v>662.32</v>
      </c>
      <c r="G337" s="831">
        <v>2024014901</v>
      </c>
      <c r="H337" s="43"/>
      <c r="I337" s="43"/>
      <c r="J337" s="49"/>
      <c r="K337" s="49"/>
      <c r="L337" s="49"/>
      <c r="M337" s="49"/>
      <c r="N337" s="49"/>
      <c r="O337" s="49"/>
      <c r="P337" s="49"/>
      <c r="Q337" s="49"/>
      <c r="R337" s="49"/>
      <c r="S337" s="49"/>
    </row>
    <row r="338" spans="1:19" ht="18.75" customHeight="1">
      <c r="A338" s="828">
        <v>6707</v>
      </c>
      <c r="B338" s="828" t="s">
        <v>771</v>
      </c>
      <c r="C338" s="826"/>
      <c r="D338" s="46"/>
      <c r="E338" s="829"/>
      <c r="F338" s="833">
        <v>219.72</v>
      </c>
      <c r="G338" s="831">
        <v>2024014901</v>
      </c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</row>
    <row r="339" spans="1:19" ht="18.75" customHeight="1">
      <c r="A339" s="828">
        <v>6708</v>
      </c>
      <c r="B339" s="828" t="s">
        <v>951</v>
      </c>
      <c r="C339" s="826"/>
      <c r="D339" s="46"/>
      <c r="E339" s="829"/>
      <c r="F339" s="833">
        <v>420.62</v>
      </c>
      <c r="G339" s="831">
        <v>2024014901</v>
      </c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</row>
    <row r="340" spans="1:19" ht="18.75" customHeight="1">
      <c r="A340" s="828">
        <v>6709</v>
      </c>
      <c r="B340" s="828" t="s">
        <v>799</v>
      </c>
      <c r="C340" s="826" t="s">
        <v>13</v>
      </c>
      <c r="D340" s="48"/>
      <c r="E340" s="829">
        <v>6</v>
      </c>
      <c r="F340" s="833">
        <v>401.79</v>
      </c>
      <c r="G340" s="831">
        <v>2024014901</v>
      </c>
      <c r="H340" s="43" t="s">
        <v>86</v>
      </c>
      <c r="I340" s="43"/>
      <c r="J340" s="49"/>
      <c r="K340" s="49"/>
      <c r="L340" s="49"/>
      <c r="M340" s="49"/>
      <c r="N340" s="49"/>
      <c r="O340" s="49"/>
      <c r="P340" s="49"/>
      <c r="Q340" s="49"/>
      <c r="R340" s="49"/>
      <c r="S340" s="49"/>
    </row>
    <row r="341" spans="1:19" ht="18.75" customHeight="1">
      <c r="A341" s="828">
        <v>6710</v>
      </c>
      <c r="B341" s="828" t="s">
        <v>773</v>
      </c>
      <c r="C341" s="826" t="s">
        <v>13</v>
      </c>
      <c r="D341" s="48"/>
      <c r="E341" s="829">
        <v>2</v>
      </c>
      <c r="F341" s="833">
        <v>458.29</v>
      </c>
      <c r="G341" s="831">
        <v>2024014901</v>
      </c>
      <c r="H341" s="43"/>
      <c r="I341" s="43" t="s">
        <v>86</v>
      </c>
      <c r="J341" s="49"/>
      <c r="K341" s="49"/>
      <c r="L341" s="49"/>
      <c r="M341" s="49"/>
      <c r="N341" s="49"/>
      <c r="O341" s="49"/>
      <c r="P341" s="49"/>
      <c r="Q341" s="49"/>
      <c r="R341" s="49"/>
      <c r="S341" s="49"/>
    </row>
    <row r="342" spans="1:19" ht="18.75" customHeight="1">
      <c r="A342" s="828">
        <v>6711</v>
      </c>
      <c r="B342" s="828" t="s">
        <v>888</v>
      </c>
      <c r="C342" s="826"/>
      <c r="D342" s="46"/>
      <c r="E342" s="829"/>
      <c r="F342" s="833">
        <v>401.79</v>
      </c>
      <c r="G342" s="831">
        <v>2024014901</v>
      </c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</row>
    <row r="343" spans="1:19" ht="18.75" customHeight="1">
      <c r="A343" s="828">
        <v>6712</v>
      </c>
      <c r="B343" s="828" t="s">
        <v>796</v>
      </c>
      <c r="C343" s="826" t="s">
        <v>13</v>
      </c>
      <c r="D343" s="48">
        <v>2435.4</v>
      </c>
      <c r="E343" s="829">
        <v>1.30001714383679</v>
      </c>
      <c r="F343" s="833">
        <v>665.45</v>
      </c>
      <c r="G343" s="831">
        <v>2024014901</v>
      </c>
      <c r="H343" s="43" t="s">
        <v>86</v>
      </c>
      <c r="I343" s="43"/>
      <c r="J343" s="49"/>
      <c r="K343" s="49"/>
      <c r="L343" s="49"/>
      <c r="M343" s="49"/>
      <c r="N343" s="49"/>
      <c r="O343" s="49"/>
      <c r="P343" s="49"/>
      <c r="Q343" s="49"/>
      <c r="R343" s="49"/>
      <c r="S343" s="49"/>
    </row>
    <row r="344" spans="1:19" ht="18.75" customHeight="1">
      <c r="A344" s="828">
        <v>6713</v>
      </c>
      <c r="B344" s="828" t="s">
        <v>798</v>
      </c>
      <c r="C344" s="826"/>
      <c r="D344" s="46"/>
      <c r="E344" s="829"/>
      <c r="F344" s="833">
        <v>458.29</v>
      </c>
      <c r="G344" s="831">
        <v>2024014901</v>
      </c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</row>
    <row r="345" spans="1:19" ht="18.75" customHeight="1">
      <c r="A345" s="828">
        <v>6714</v>
      </c>
      <c r="B345" s="828" t="s">
        <v>797</v>
      </c>
      <c r="C345" s="826" t="s">
        <v>13</v>
      </c>
      <c r="D345" s="48"/>
      <c r="E345" s="829">
        <v>0.50008571918395295</v>
      </c>
      <c r="F345" s="833">
        <v>178.93</v>
      </c>
      <c r="G345" s="831">
        <v>2024014901</v>
      </c>
      <c r="H345" s="43"/>
      <c r="I345" s="43" t="s">
        <v>86</v>
      </c>
      <c r="J345" s="49"/>
      <c r="K345" s="49"/>
      <c r="L345" s="49"/>
      <c r="M345" s="49"/>
      <c r="N345" s="49"/>
      <c r="O345" s="49"/>
      <c r="P345" s="49"/>
      <c r="Q345" s="49"/>
      <c r="R345" s="49"/>
      <c r="S345" s="49"/>
    </row>
    <row r="346" spans="1:19" ht="18.75" customHeight="1">
      <c r="A346" s="828">
        <v>6715</v>
      </c>
      <c r="B346" s="828" t="s">
        <v>862</v>
      </c>
      <c r="C346" s="826"/>
      <c r="D346" s="48"/>
      <c r="E346" s="829"/>
      <c r="F346" s="833">
        <v>125.55</v>
      </c>
      <c r="G346" s="831">
        <v>2024014901</v>
      </c>
      <c r="H346" s="43"/>
      <c r="I346" s="43"/>
      <c r="J346" s="49"/>
      <c r="K346" s="49"/>
      <c r="L346" s="49"/>
      <c r="M346" s="49"/>
      <c r="N346" s="49"/>
      <c r="O346" s="49"/>
      <c r="P346" s="49"/>
      <c r="Q346" s="49"/>
      <c r="R346" s="49"/>
      <c r="S346" s="49"/>
    </row>
    <row r="347" spans="1:19" ht="18.75" customHeight="1">
      <c r="A347" s="828">
        <v>6716</v>
      </c>
      <c r="B347" s="828" t="s">
        <v>801</v>
      </c>
      <c r="C347" s="826" t="s">
        <v>13</v>
      </c>
      <c r="D347" s="48"/>
      <c r="E347" s="829">
        <v>11.569861134922</v>
      </c>
      <c r="F347" s="833">
        <v>125.55</v>
      </c>
      <c r="G347" s="831">
        <v>2024014901</v>
      </c>
      <c r="H347" s="43" t="s">
        <v>86</v>
      </c>
      <c r="I347" s="43" t="s">
        <v>86</v>
      </c>
      <c r="J347" s="49"/>
      <c r="K347" s="49"/>
      <c r="L347" s="49"/>
      <c r="M347" s="49"/>
      <c r="N347" s="49"/>
      <c r="O347" s="49"/>
      <c r="P347" s="49"/>
      <c r="Q347" s="49"/>
      <c r="R347" s="49"/>
      <c r="S347" s="49"/>
    </row>
    <row r="348" spans="1:19" ht="18.75" customHeight="1">
      <c r="A348" s="828">
        <v>6717</v>
      </c>
      <c r="B348" s="828" t="s">
        <v>914</v>
      </c>
      <c r="C348" s="826"/>
      <c r="D348" s="48"/>
      <c r="E348" s="829"/>
      <c r="F348" s="833">
        <v>113</v>
      </c>
      <c r="G348" s="831">
        <v>2024014901</v>
      </c>
      <c r="H348" s="43"/>
      <c r="I348" s="43"/>
      <c r="J348" s="49"/>
      <c r="K348" s="49"/>
      <c r="L348" s="49"/>
      <c r="M348" s="49"/>
      <c r="N348" s="49"/>
      <c r="O348" s="49"/>
      <c r="P348" s="49"/>
      <c r="Q348" s="49"/>
      <c r="R348" s="49"/>
      <c r="S348" s="49"/>
    </row>
    <row r="349" spans="1:19" ht="18.75" customHeight="1">
      <c r="A349" s="828">
        <v>6718</v>
      </c>
      <c r="B349" s="828" t="s">
        <v>800</v>
      </c>
      <c r="C349" s="826" t="s">
        <v>13</v>
      </c>
      <c r="D349" s="48"/>
      <c r="E349" s="829">
        <v>1</v>
      </c>
      <c r="F349" s="833">
        <v>113</v>
      </c>
      <c r="G349" s="831">
        <v>2024014901</v>
      </c>
      <c r="H349" s="43" t="s">
        <v>86</v>
      </c>
      <c r="I349" s="43"/>
      <c r="J349" s="49"/>
      <c r="K349" s="49"/>
      <c r="L349" s="49"/>
      <c r="M349" s="49"/>
      <c r="N349" s="49"/>
      <c r="O349" s="49"/>
      <c r="P349" s="49"/>
      <c r="Q349" s="49"/>
      <c r="R349" s="49"/>
      <c r="S349" s="49"/>
    </row>
    <row r="350" spans="1:19" ht="18.75" customHeight="1">
      <c r="A350" s="828">
        <v>6719</v>
      </c>
      <c r="B350" s="828" t="s">
        <v>778</v>
      </c>
      <c r="C350" s="826"/>
      <c r="D350" s="46"/>
      <c r="E350" s="829"/>
      <c r="F350" s="833">
        <v>62.78</v>
      </c>
      <c r="G350" s="831">
        <v>2024014901</v>
      </c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</row>
    <row r="351" spans="1:19" ht="18.75" customHeight="1">
      <c r="A351" s="828">
        <v>6720</v>
      </c>
      <c r="B351" s="828" t="s">
        <v>863</v>
      </c>
      <c r="C351" s="826" t="s">
        <v>13</v>
      </c>
      <c r="D351" s="48"/>
      <c r="E351" s="829">
        <v>6</v>
      </c>
      <c r="F351" s="833">
        <v>301.33999999999997</v>
      </c>
      <c r="G351" s="831">
        <v>2024014901</v>
      </c>
      <c r="H351" s="43" t="s">
        <v>86</v>
      </c>
      <c r="I351" s="43"/>
      <c r="J351" s="49"/>
      <c r="K351" s="49"/>
      <c r="L351" s="49"/>
      <c r="M351" s="49"/>
      <c r="N351" s="49"/>
      <c r="O351" s="49"/>
      <c r="P351" s="49"/>
      <c r="Q351" s="49"/>
      <c r="R351" s="49"/>
      <c r="S351" s="49"/>
    </row>
    <row r="352" spans="1:19" ht="18.75" customHeight="1">
      <c r="A352" s="828">
        <v>6721</v>
      </c>
      <c r="B352" s="828" t="s">
        <v>802</v>
      </c>
      <c r="C352" s="826" t="s">
        <v>13</v>
      </c>
      <c r="D352" s="48">
        <v>3.25</v>
      </c>
      <c r="E352" s="829">
        <v>2</v>
      </c>
      <c r="F352" s="833">
        <v>87.89</v>
      </c>
      <c r="G352" s="831">
        <v>2024014901</v>
      </c>
      <c r="H352" s="43"/>
      <c r="I352" s="43" t="s">
        <v>86</v>
      </c>
      <c r="J352" s="49"/>
      <c r="K352" s="49"/>
      <c r="L352" s="49"/>
      <c r="M352" s="49"/>
      <c r="N352" s="49"/>
      <c r="O352" s="49"/>
      <c r="P352" s="49"/>
      <c r="Q352" s="49"/>
      <c r="R352" s="49"/>
      <c r="S352" s="49"/>
    </row>
    <row r="353" spans="1:19" ht="18.75" customHeight="1">
      <c r="A353" s="828">
        <v>6722</v>
      </c>
      <c r="B353" s="828" t="s">
        <v>839</v>
      </c>
      <c r="C353" s="826"/>
      <c r="D353" s="46"/>
      <c r="E353" s="829"/>
      <c r="F353" s="833">
        <v>113</v>
      </c>
      <c r="G353" s="831">
        <v>2024014901</v>
      </c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</row>
    <row r="354" spans="1:19" ht="18.75" customHeight="1">
      <c r="A354" s="828">
        <v>6723</v>
      </c>
      <c r="B354" s="828" t="s">
        <v>889</v>
      </c>
      <c r="C354" s="826" t="s">
        <v>13</v>
      </c>
      <c r="D354" s="48"/>
      <c r="E354" s="829">
        <v>1</v>
      </c>
      <c r="F354" s="833">
        <v>533.62</v>
      </c>
      <c r="G354" s="831">
        <v>2024014901</v>
      </c>
      <c r="H354" s="43" t="s">
        <v>86</v>
      </c>
      <c r="I354" s="43"/>
      <c r="J354" s="49"/>
      <c r="K354" s="49"/>
      <c r="L354" s="49"/>
      <c r="M354" s="49"/>
      <c r="N354" s="49"/>
      <c r="O354" s="49"/>
      <c r="P354" s="49"/>
      <c r="Q354" s="49"/>
      <c r="R354" s="49"/>
      <c r="S354" s="49"/>
    </row>
    <row r="355" spans="1:19" ht="18.75" customHeight="1">
      <c r="A355" s="828">
        <v>6724</v>
      </c>
      <c r="B355" s="828" t="s">
        <v>840</v>
      </c>
      <c r="C355" s="826" t="s">
        <v>13</v>
      </c>
      <c r="D355" s="48">
        <v>211.07</v>
      </c>
      <c r="E355" s="829">
        <v>6</v>
      </c>
      <c r="F355" s="833">
        <v>1412.53</v>
      </c>
      <c r="G355" s="831">
        <v>2024014901</v>
      </c>
      <c r="H355" s="43"/>
      <c r="I355" s="43" t="s">
        <v>86</v>
      </c>
      <c r="J355" s="49"/>
      <c r="K355" s="49"/>
      <c r="L355" s="49"/>
      <c r="M355" s="49"/>
      <c r="N355" s="49"/>
      <c r="O355" s="49"/>
      <c r="P355" s="49"/>
      <c r="Q355" s="49"/>
      <c r="R355" s="49"/>
      <c r="S355" s="49"/>
    </row>
    <row r="356" spans="1:19" ht="18.75" customHeight="1">
      <c r="A356" s="828">
        <v>6725</v>
      </c>
      <c r="B356" s="828" t="s">
        <v>950</v>
      </c>
      <c r="C356" s="826"/>
      <c r="D356" s="46"/>
      <c r="E356" s="829"/>
      <c r="F356" s="833">
        <v>910.29</v>
      </c>
      <c r="G356" s="831">
        <v>2024014901</v>
      </c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</row>
    <row r="357" spans="1:19" ht="18.75" customHeight="1">
      <c r="A357" s="828">
        <v>6726</v>
      </c>
      <c r="B357" s="828" t="s">
        <v>915</v>
      </c>
      <c r="C357" s="826" t="s">
        <v>13</v>
      </c>
      <c r="D357" s="48"/>
      <c r="E357" s="829">
        <v>0.79993142465283695</v>
      </c>
      <c r="F357" s="833">
        <v>662.32</v>
      </c>
      <c r="G357" s="831">
        <v>2024014901</v>
      </c>
      <c r="H357" s="43" t="s">
        <v>86</v>
      </c>
      <c r="I357" s="43"/>
      <c r="J357" s="49"/>
      <c r="K357" s="49"/>
      <c r="L357" s="49"/>
      <c r="M357" s="49"/>
      <c r="N357" s="49"/>
      <c r="O357" s="49"/>
      <c r="P357" s="49"/>
      <c r="Q357" s="49"/>
      <c r="R357" s="49"/>
      <c r="S357" s="49"/>
    </row>
    <row r="358" spans="1:19" ht="18.75" customHeight="1">
      <c r="A358" s="828">
        <v>6727</v>
      </c>
      <c r="B358" s="828" t="s">
        <v>890</v>
      </c>
      <c r="C358" s="826"/>
      <c r="D358" s="46"/>
      <c r="E358" s="829"/>
      <c r="F358" s="833">
        <v>2511.16</v>
      </c>
      <c r="G358" s="831">
        <v>2024014901</v>
      </c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</row>
    <row r="359" spans="1:19" ht="18.75" customHeight="1">
      <c r="A359" s="828">
        <v>6728</v>
      </c>
      <c r="B359" s="828" t="s">
        <v>864</v>
      </c>
      <c r="C359" s="826"/>
      <c r="D359" s="46"/>
      <c r="E359" s="829"/>
      <c r="F359" s="833">
        <v>3452.85</v>
      </c>
      <c r="G359" s="831">
        <v>2024014901</v>
      </c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</row>
    <row r="360" spans="1:19" ht="18.75" customHeight="1">
      <c r="A360" s="828">
        <v>6729</v>
      </c>
      <c r="B360" s="828" t="s">
        <v>958</v>
      </c>
      <c r="C360" s="826" t="s">
        <v>13</v>
      </c>
      <c r="D360" s="48">
        <v>974.16</v>
      </c>
      <c r="E360" s="829">
        <v>0.20006857534716299</v>
      </c>
      <c r="F360" s="833">
        <v>141.25</v>
      </c>
      <c r="G360" s="831">
        <v>2024014901</v>
      </c>
      <c r="H360" s="43" t="s">
        <v>86</v>
      </c>
      <c r="I360" s="43"/>
      <c r="J360" s="49"/>
      <c r="K360" s="49"/>
      <c r="L360" s="49"/>
      <c r="M360" s="49"/>
      <c r="N360" s="49"/>
      <c r="O360" s="49"/>
      <c r="P360" s="49"/>
      <c r="Q360" s="49"/>
      <c r="R360" s="49"/>
      <c r="S360" s="49"/>
    </row>
    <row r="361" spans="1:19" ht="18.75" customHeight="1">
      <c r="A361" s="828">
        <v>6730</v>
      </c>
      <c r="B361" s="828" t="s">
        <v>848</v>
      </c>
      <c r="C361" s="826"/>
      <c r="D361" s="46"/>
      <c r="E361" s="829"/>
      <c r="F361" s="833">
        <v>141.25</v>
      </c>
      <c r="G361" s="831">
        <v>2024014901</v>
      </c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</row>
    <row r="362" spans="1:19" ht="18.75" customHeight="1">
      <c r="A362" s="828">
        <v>6731</v>
      </c>
      <c r="B362" s="828" t="s">
        <v>779</v>
      </c>
      <c r="C362" s="826" t="s">
        <v>13</v>
      </c>
      <c r="D362" s="48">
        <v>97.42</v>
      </c>
      <c r="E362" s="829">
        <v>1.30001714383679</v>
      </c>
      <c r="F362" s="833">
        <v>78.47</v>
      </c>
      <c r="G362" s="831">
        <v>2024014901</v>
      </c>
      <c r="H362" s="43" t="s">
        <v>86</v>
      </c>
      <c r="I362" s="43"/>
      <c r="J362" s="49"/>
      <c r="K362" s="49"/>
      <c r="L362" s="49"/>
      <c r="M362" s="49"/>
      <c r="N362" s="49"/>
      <c r="O362" s="49"/>
      <c r="P362" s="49"/>
      <c r="Q362" s="49"/>
      <c r="R362" s="49"/>
      <c r="S362" s="49"/>
    </row>
    <row r="363" spans="1:19" ht="18.75" customHeight="1">
      <c r="A363" s="828">
        <v>6732</v>
      </c>
      <c r="B363" s="828" t="s">
        <v>807</v>
      </c>
      <c r="C363" s="826" t="s">
        <v>13</v>
      </c>
      <c r="D363" s="48">
        <v>342.58</v>
      </c>
      <c r="E363" s="829">
        <v>2</v>
      </c>
      <c r="F363" s="833">
        <v>78.47</v>
      </c>
      <c r="G363" s="831">
        <v>2024014901</v>
      </c>
      <c r="H363" s="43" t="s">
        <v>86</v>
      </c>
      <c r="I363" s="43"/>
      <c r="J363" s="49"/>
      <c r="K363" s="49"/>
      <c r="L363" s="49"/>
      <c r="M363" s="49"/>
      <c r="N363" s="49"/>
      <c r="O363" s="49"/>
      <c r="P363" s="49"/>
      <c r="Q363" s="49"/>
      <c r="R363" s="49"/>
      <c r="S363" s="49"/>
    </row>
    <row r="364" spans="1:19" ht="18.75" customHeight="1">
      <c r="A364" s="828">
        <v>6733</v>
      </c>
      <c r="B364" s="828" t="s">
        <v>952</v>
      </c>
      <c r="C364" s="826" t="s">
        <v>13</v>
      </c>
      <c r="D364" s="48">
        <v>1461.24</v>
      </c>
      <c r="E364" s="829">
        <v>8.0061717812446406E-2</v>
      </c>
      <c r="F364" s="833">
        <v>141.25</v>
      </c>
      <c r="G364" s="831">
        <v>2024014901</v>
      </c>
      <c r="H364" s="43" t="s">
        <v>86</v>
      </c>
      <c r="I364" s="43"/>
      <c r="J364" s="49"/>
      <c r="K364" s="49"/>
      <c r="L364" s="49"/>
      <c r="M364" s="49"/>
      <c r="N364" s="49"/>
      <c r="O364" s="49"/>
      <c r="P364" s="49"/>
      <c r="Q364" s="49"/>
      <c r="R364" s="49"/>
      <c r="S364" s="49"/>
    </row>
    <row r="365" spans="1:19" ht="18.75" customHeight="1">
      <c r="A365" s="828">
        <v>6734</v>
      </c>
      <c r="B365" s="828" t="s">
        <v>918</v>
      </c>
      <c r="C365" s="826" t="s">
        <v>13</v>
      </c>
      <c r="D365" s="48">
        <v>81.180000000000007</v>
      </c>
      <c r="E365" s="829">
        <v>2</v>
      </c>
      <c r="F365" s="833">
        <v>31.39</v>
      </c>
      <c r="G365" s="831">
        <v>2024014901</v>
      </c>
      <c r="H365" s="43"/>
      <c r="I365" s="43" t="s">
        <v>86</v>
      </c>
      <c r="J365" s="49"/>
      <c r="K365" s="49"/>
      <c r="L365" s="49"/>
      <c r="M365" s="49"/>
      <c r="N365" s="49"/>
      <c r="O365" s="49"/>
      <c r="P365" s="49"/>
      <c r="Q365" s="49"/>
      <c r="R365" s="49"/>
      <c r="S365" s="49"/>
    </row>
    <row r="366" spans="1:19" ht="18.75" customHeight="1">
      <c r="A366" s="828">
        <v>6736</v>
      </c>
      <c r="B366" s="828" t="s">
        <v>928</v>
      </c>
      <c r="C366" s="826" t="s">
        <v>13</v>
      </c>
      <c r="D366" s="48"/>
      <c r="E366" s="829">
        <v>2</v>
      </c>
      <c r="F366" s="833">
        <v>141.25</v>
      </c>
      <c r="G366" s="831">
        <v>2024014901</v>
      </c>
      <c r="H366" s="43"/>
      <c r="I366" s="43" t="s">
        <v>86</v>
      </c>
      <c r="J366" s="49"/>
      <c r="K366" s="49"/>
      <c r="L366" s="49"/>
      <c r="M366" s="49"/>
      <c r="N366" s="49"/>
      <c r="O366" s="49"/>
      <c r="P366" s="49"/>
      <c r="Q366" s="49"/>
      <c r="R366" s="49"/>
      <c r="S366" s="49"/>
    </row>
    <row r="367" spans="1:19" ht="18.75" customHeight="1">
      <c r="A367" s="828">
        <v>6737</v>
      </c>
      <c r="B367" s="828" t="s">
        <v>780</v>
      </c>
      <c r="C367" s="826"/>
      <c r="D367" s="48"/>
      <c r="E367" s="829"/>
      <c r="F367" s="833">
        <v>31.39</v>
      </c>
      <c r="G367" s="831">
        <v>2024014901</v>
      </c>
      <c r="H367" s="43"/>
      <c r="I367" s="43"/>
      <c r="J367" s="49"/>
      <c r="K367" s="49"/>
      <c r="L367" s="49"/>
      <c r="M367" s="49"/>
      <c r="N367" s="49"/>
      <c r="O367" s="49"/>
      <c r="P367" s="49"/>
      <c r="Q367" s="49"/>
      <c r="R367" s="49"/>
      <c r="S367" s="49"/>
    </row>
    <row r="368" spans="1:19" ht="18.75" customHeight="1">
      <c r="A368" s="828">
        <v>6738</v>
      </c>
      <c r="B368" s="828" t="s">
        <v>868</v>
      </c>
      <c r="C368" s="862"/>
      <c r="D368" s="46"/>
      <c r="E368" s="829"/>
      <c r="F368" s="833">
        <v>502.23</v>
      </c>
      <c r="G368" s="831">
        <v>2024014901</v>
      </c>
      <c r="H368" s="43"/>
      <c r="I368" s="43"/>
      <c r="J368" s="49"/>
      <c r="K368" s="49"/>
      <c r="L368" s="49"/>
      <c r="M368" s="49"/>
      <c r="N368" s="49"/>
      <c r="O368" s="49"/>
      <c r="P368" s="49"/>
      <c r="Q368" s="49"/>
      <c r="R368" s="49"/>
      <c r="S368" s="49"/>
    </row>
    <row r="369" spans="1:19" ht="18.75" customHeight="1">
      <c r="A369" s="828">
        <v>6739</v>
      </c>
      <c r="B369" s="828" t="s">
        <v>898</v>
      </c>
      <c r="C369" s="826" t="s">
        <v>105</v>
      </c>
      <c r="D369" s="48">
        <v>77.930000000000007</v>
      </c>
      <c r="E369" s="829">
        <v>2</v>
      </c>
      <c r="F369" s="833">
        <v>502.23</v>
      </c>
      <c r="G369" s="831">
        <v>2024014901</v>
      </c>
      <c r="H369" s="43" t="s">
        <v>86</v>
      </c>
      <c r="I369" s="43"/>
      <c r="J369" s="49"/>
      <c r="K369" s="49"/>
      <c r="L369" s="49"/>
      <c r="M369" s="49"/>
      <c r="N369" s="49"/>
      <c r="O369" s="49"/>
      <c r="P369" s="49"/>
      <c r="Q369" s="49"/>
      <c r="R369" s="49"/>
      <c r="S369" s="49"/>
    </row>
    <row r="370" spans="1:19" ht="18.75" customHeight="1">
      <c r="A370" s="828">
        <v>6740</v>
      </c>
      <c r="B370" s="828" t="s">
        <v>922</v>
      </c>
      <c r="C370" s="826" t="s">
        <v>13</v>
      </c>
      <c r="D370" s="48"/>
      <c r="E370" s="829">
        <v>2</v>
      </c>
      <c r="F370" s="833">
        <v>502.23</v>
      </c>
      <c r="G370" s="831">
        <v>2024014901</v>
      </c>
      <c r="H370" s="43"/>
      <c r="I370" s="43" t="s">
        <v>86</v>
      </c>
      <c r="J370" s="49"/>
      <c r="K370" s="49"/>
      <c r="L370" s="49"/>
      <c r="M370" s="49"/>
      <c r="N370" s="49"/>
      <c r="O370" s="49"/>
      <c r="P370" s="49"/>
      <c r="Q370" s="49"/>
      <c r="R370" s="49"/>
      <c r="S370" s="49"/>
    </row>
    <row r="371" spans="1:19" ht="18.75" customHeight="1">
      <c r="A371" s="828">
        <v>6741</v>
      </c>
      <c r="B371" s="828" t="s">
        <v>788</v>
      </c>
      <c r="C371" s="826" t="s">
        <v>13</v>
      </c>
      <c r="D371" s="48"/>
      <c r="E371" s="829">
        <v>2</v>
      </c>
      <c r="F371" s="833">
        <v>4708.43</v>
      </c>
      <c r="G371" s="831">
        <v>2024014901</v>
      </c>
      <c r="H371" s="43" t="s">
        <v>86</v>
      </c>
      <c r="I371" s="43"/>
      <c r="J371" s="49"/>
      <c r="K371" s="49"/>
      <c r="L371" s="49"/>
      <c r="M371" s="49"/>
      <c r="N371" s="49"/>
      <c r="O371" s="49"/>
      <c r="P371" s="49"/>
      <c r="Q371" s="49"/>
      <c r="R371" s="49"/>
      <c r="S371" s="49"/>
    </row>
    <row r="372" spans="1:19" ht="18.75" customHeight="1">
      <c r="A372" s="828">
        <v>6742</v>
      </c>
      <c r="B372" s="828" t="s">
        <v>869</v>
      </c>
      <c r="C372" s="826"/>
      <c r="D372" s="864"/>
      <c r="E372" s="865"/>
      <c r="F372" s="833">
        <v>408.07</v>
      </c>
      <c r="G372" s="831">
        <v>2024014901</v>
      </c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</row>
    <row r="373" spans="1:19" ht="18.75" customHeight="1">
      <c r="A373" s="828">
        <v>6743</v>
      </c>
      <c r="B373" s="828" t="s">
        <v>924</v>
      </c>
      <c r="C373" s="826" t="s">
        <v>13</v>
      </c>
      <c r="D373" s="48">
        <v>324.72000000000003</v>
      </c>
      <c r="E373" s="829">
        <v>5</v>
      </c>
      <c r="F373" s="833">
        <v>408.07</v>
      </c>
      <c r="G373" s="831">
        <v>2024014901</v>
      </c>
      <c r="H373" s="43" t="s">
        <v>86</v>
      </c>
      <c r="I373" s="43"/>
      <c r="J373" s="49"/>
      <c r="K373" s="49"/>
      <c r="L373" s="49"/>
      <c r="M373" s="49"/>
      <c r="N373" s="49"/>
      <c r="O373" s="49"/>
      <c r="P373" s="49"/>
      <c r="Q373" s="49"/>
      <c r="R373" s="49"/>
      <c r="S373" s="49"/>
    </row>
    <row r="374" spans="1:19" ht="18.75" customHeight="1">
      <c r="A374" s="828">
        <v>6744</v>
      </c>
      <c r="B374" s="828" t="s">
        <v>899</v>
      </c>
      <c r="C374" s="826" t="s">
        <v>13</v>
      </c>
      <c r="D374" s="48">
        <v>64.94</v>
      </c>
      <c r="E374" s="829">
        <v>0.20006857534716299</v>
      </c>
      <c r="F374" s="833">
        <v>408.07</v>
      </c>
      <c r="G374" s="831">
        <v>2024014901</v>
      </c>
      <c r="H374" s="43" t="s">
        <v>86</v>
      </c>
      <c r="I374" s="43" t="s">
        <v>86</v>
      </c>
      <c r="J374" s="49"/>
      <c r="K374" s="49"/>
      <c r="L374" s="49"/>
      <c r="M374" s="49"/>
      <c r="N374" s="49"/>
      <c r="O374" s="49"/>
      <c r="P374" s="49"/>
      <c r="Q374" s="49"/>
      <c r="R374" s="49"/>
      <c r="S374" s="49"/>
    </row>
    <row r="375" spans="1:19" ht="18.75" customHeight="1">
      <c r="A375" s="828">
        <v>6745</v>
      </c>
      <c r="B375" s="828" t="s">
        <v>787</v>
      </c>
      <c r="C375" s="826" t="s">
        <v>13</v>
      </c>
      <c r="D375" s="48">
        <v>1623.6</v>
      </c>
      <c r="E375" s="829">
        <v>1.30001714383679</v>
      </c>
      <c r="F375" s="833">
        <v>533.62</v>
      </c>
      <c r="G375" s="831">
        <v>2024014901</v>
      </c>
      <c r="H375" s="43" t="s">
        <v>86</v>
      </c>
      <c r="I375" s="43"/>
      <c r="J375" s="49"/>
      <c r="K375" s="49"/>
      <c r="L375" s="49"/>
      <c r="M375" s="49"/>
      <c r="N375" s="49"/>
      <c r="O375" s="49"/>
      <c r="P375" s="49"/>
      <c r="Q375" s="49"/>
      <c r="R375" s="49"/>
      <c r="S375" s="49"/>
    </row>
    <row r="376" spans="1:19" ht="18.75" customHeight="1">
      <c r="A376" s="828">
        <v>6746</v>
      </c>
      <c r="B376" s="828" t="s">
        <v>923</v>
      </c>
      <c r="C376" s="826"/>
      <c r="D376" s="46"/>
      <c r="E376" s="829"/>
      <c r="F376" s="833">
        <v>533.62</v>
      </c>
      <c r="G376" s="831">
        <v>2024014901</v>
      </c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</row>
    <row r="377" spans="1:19" ht="18.75" customHeight="1">
      <c r="A377" s="828">
        <v>6747</v>
      </c>
      <c r="B377" s="828" t="s">
        <v>777</v>
      </c>
      <c r="C377" s="826" t="s">
        <v>13</v>
      </c>
      <c r="D377" s="48">
        <v>32.47</v>
      </c>
      <c r="E377" s="829">
        <v>15</v>
      </c>
      <c r="F377" s="833">
        <v>81.61</v>
      </c>
      <c r="G377" s="831">
        <v>2024014901</v>
      </c>
      <c r="H377" s="43" t="s">
        <v>86</v>
      </c>
      <c r="I377" s="43"/>
      <c r="J377" s="49"/>
      <c r="K377" s="49"/>
      <c r="L377" s="49"/>
      <c r="M377" s="49"/>
      <c r="N377" s="49"/>
      <c r="O377" s="49"/>
      <c r="P377" s="49"/>
      <c r="Q377" s="49"/>
      <c r="R377" s="49"/>
      <c r="S377" s="49"/>
    </row>
    <row r="378" spans="1:19" ht="18.75" customHeight="1">
      <c r="A378" s="828">
        <v>6748</v>
      </c>
      <c r="B378" s="828" t="s">
        <v>821</v>
      </c>
      <c r="C378" s="826" t="s">
        <v>13</v>
      </c>
      <c r="D378" s="48"/>
      <c r="E378" s="829">
        <v>13</v>
      </c>
      <c r="F378" s="833">
        <v>156.94999999999999</v>
      </c>
      <c r="G378" s="831">
        <v>2024014901</v>
      </c>
      <c r="H378" s="43" t="s">
        <v>86</v>
      </c>
      <c r="I378" s="43"/>
      <c r="J378" s="49"/>
      <c r="K378" s="49"/>
      <c r="L378" s="49"/>
      <c r="M378" s="49"/>
      <c r="N378" s="49"/>
      <c r="O378" s="49"/>
      <c r="P378" s="49"/>
      <c r="Q378" s="49"/>
      <c r="R378" s="49"/>
      <c r="S378" s="49"/>
    </row>
    <row r="379" spans="1:19" ht="18.75" customHeight="1">
      <c r="A379" s="828">
        <v>6749</v>
      </c>
      <c r="B379" s="828" t="s">
        <v>892</v>
      </c>
      <c r="C379" s="826"/>
      <c r="D379" s="46"/>
      <c r="E379" s="829"/>
      <c r="F379" s="833">
        <v>408.07</v>
      </c>
      <c r="G379" s="831">
        <v>2024014901</v>
      </c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</row>
    <row r="380" spans="1:19" ht="18.75" customHeight="1">
      <c r="A380" s="828">
        <v>6750</v>
      </c>
      <c r="B380" s="828" t="s">
        <v>877</v>
      </c>
      <c r="C380" s="826"/>
      <c r="D380" s="46"/>
      <c r="E380" s="829"/>
      <c r="F380" s="833">
        <v>408.07</v>
      </c>
      <c r="G380" s="831">
        <v>2024014901</v>
      </c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</row>
    <row r="381" spans="1:19" ht="18.75" customHeight="1">
      <c r="A381" s="828">
        <v>6751</v>
      </c>
      <c r="B381" s="828" t="s">
        <v>925</v>
      </c>
      <c r="C381" s="826" t="s">
        <v>13</v>
      </c>
      <c r="D381" s="48">
        <v>73.06</v>
      </c>
      <c r="E381" s="829">
        <v>7.1398937082118996</v>
      </c>
      <c r="F381" s="833">
        <v>1883.37</v>
      </c>
      <c r="G381" s="831">
        <v>2024014901</v>
      </c>
      <c r="H381" s="43" t="s">
        <v>86</v>
      </c>
      <c r="I381" s="43" t="s">
        <v>86</v>
      </c>
      <c r="J381" s="49"/>
      <c r="K381" s="49"/>
      <c r="L381" s="49"/>
      <c r="M381" s="49"/>
      <c r="N381" s="49"/>
      <c r="O381" s="49"/>
      <c r="P381" s="49"/>
      <c r="Q381" s="49"/>
      <c r="R381" s="49"/>
      <c r="S381" s="49"/>
    </row>
    <row r="382" spans="1:19" ht="18.75" customHeight="1">
      <c r="A382" s="828">
        <v>6752</v>
      </c>
      <c r="B382" s="828" t="s">
        <v>842</v>
      </c>
      <c r="C382" s="826" t="s">
        <v>13</v>
      </c>
      <c r="D382" s="48"/>
      <c r="E382" s="829">
        <v>11.969998285616301</v>
      </c>
      <c r="F382" s="833">
        <v>4394.54</v>
      </c>
      <c r="G382" s="831">
        <v>2024014901</v>
      </c>
      <c r="H382" s="43" t="s">
        <v>86</v>
      </c>
      <c r="I382" s="43"/>
      <c r="J382" s="49"/>
      <c r="K382" s="49"/>
      <c r="L382" s="49"/>
      <c r="M382" s="49"/>
      <c r="N382" s="49"/>
      <c r="O382" s="49"/>
      <c r="P382" s="49"/>
      <c r="Q382" s="49"/>
      <c r="R382" s="49"/>
      <c r="S382" s="49"/>
    </row>
    <row r="383" spans="1:19" ht="18.75" customHeight="1">
      <c r="A383" s="828">
        <v>6753</v>
      </c>
      <c r="B383" s="828" t="s">
        <v>933</v>
      </c>
      <c r="C383" s="826"/>
      <c r="D383" s="46"/>
      <c r="E383" s="829"/>
      <c r="F383" s="833">
        <v>4394.54</v>
      </c>
      <c r="G383" s="831">
        <v>2024014901</v>
      </c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</row>
    <row r="384" spans="1:19" ht="18.75" customHeight="1">
      <c r="A384" s="828">
        <v>6754</v>
      </c>
      <c r="B384" s="828" t="s">
        <v>870</v>
      </c>
      <c r="C384" s="826"/>
      <c r="D384" s="864"/>
      <c r="E384" s="865"/>
      <c r="F384" s="833">
        <v>3138.96</v>
      </c>
      <c r="G384" s="831">
        <v>2024014901</v>
      </c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</row>
    <row r="385" spans="1:19" ht="18.75" customHeight="1">
      <c r="A385" s="828">
        <v>6755</v>
      </c>
      <c r="B385" s="828" t="s">
        <v>811</v>
      </c>
      <c r="C385" s="826"/>
      <c r="D385" s="46"/>
      <c r="E385" s="829"/>
      <c r="F385" s="833">
        <v>4394.54</v>
      </c>
      <c r="G385" s="831">
        <v>2024014901</v>
      </c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</row>
    <row r="386" spans="1:19" ht="18.75" customHeight="1">
      <c r="A386" s="828">
        <v>6758</v>
      </c>
      <c r="B386" s="828" t="s">
        <v>926</v>
      </c>
      <c r="C386" s="826"/>
      <c r="D386" s="46"/>
      <c r="E386" s="829"/>
      <c r="F386" s="833">
        <v>627.79</v>
      </c>
      <c r="G386" s="831">
        <v>2024014901</v>
      </c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</row>
    <row r="387" spans="1:19" ht="18.75" customHeight="1">
      <c r="A387" s="828">
        <v>6759</v>
      </c>
      <c r="B387" s="828" t="s">
        <v>871</v>
      </c>
      <c r="C387" s="826" t="s">
        <v>13</v>
      </c>
      <c r="D387" s="48">
        <v>211.07</v>
      </c>
      <c r="E387" s="829">
        <v>9.8199897136979306</v>
      </c>
      <c r="F387" s="833">
        <v>1883.37</v>
      </c>
      <c r="G387" s="831">
        <v>2024014901</v>
      </c>
      <c r="H387" s="43" t="s">
        <v>86</v>
      </c>
      <c r="I387" s="43" t="s">
        <v>86</v>
      </c>
      <c r="J387" s="49"/>
      <c r="K387" s="49"/>
      <c r="L387" s="49"/>
      <c r="M387" s="49"/>
      <c r="N387" s="49"/>
      <c r="O387" s="49"/>
      <c r="P387" s="49"/>
      <c r="Q387" s="49"/>
      <c r="R387" s="49"/>
      <c r="S387" s="49"/>
    </row>
    <row r="388" spans="1:19" ht="18.75" customHeight="1">
      <c r="A388" s="828">
        <v>6760</v>
      </c>
      <c r="B388" s="828" t="s">
        <v>893</v>
      </c>
      <c r="C388" s="826"/>
      <c r="D388" s="46"/>
      <c r="E388" s="829"/>
      <c r="F388" s="833">
        <v>502.24</v>
      </c>
      <c r="G388" s="831">
        <v>2024014901</v>
      </c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</row>
    <row r="389" spans="1:19" ht="18.75" customHeight="1">
      <c r="A389" s="828">
        <v>6761</v>
      </c>
      <c r="B389" s="828" t="s">
        <v>910</v>
      </c>
      <c r="C389" s="826" t="s">
        <v>13</v>
      </c>
      <c r="D389" s="48"/>
      <c r="E389" s="829">
        <v>9.9948568489628006E-2</v>
      </c>
      <c r="F389" s="833">
        <v>599.54</v>
      </c>
      <c r="G389" s="831">
        <v>2024014901</v>
      </c>
      <c r="H389" s="43" t="s">
        <v>86</v>
      </c>
      <c r="I389" s="43"/>
      <c r="J389" s="49"/>
      <c r="K389" s="49"/>
      <c r="L389" s="49"/>
      <c r="M389" s="49"/>
      <c r="N389" s="49"/>
      <c r="O389" s="49"/>
      <c r="P389" s="49"/>
      <c r="Q389" s="49"/>
      <c r="R389" s="49"/>
      <c r="S389" s="49"/>
    </row>
    <row r="390" spans="1:19" ht="18.75" customHeight="1">
      <c r="A390" s="828">
        <v>6762</v>
      </c>
      <c r="B390" s="828" t="s">
        <v>911</v>
      </c>
      <c r="C390" s="826" t="s">
        <v>13</v>
      </c>
      <c r="D390" s="48">
        <v>64.94</v>
      </c>
      <c r="E390" s="829">
        <v>0.38007886164923699</v>
      </c>
      <c r="F390" s="833">
        <v>941.69</v>
      </c>
      <c r="G390" s="831">
        <v>2024014901</v>
      </c>
      <c r="H390" s="43" t="s">
        <v>86</v>
      </c>
      <c r="I390" s="43"/>
      <c r="J390" s="49"/>
      <c r="K390" s="49"/>
      <c r="L390" s="49"/>
      <c r="M390" s="49"/>
      <c r="N390" s="49"/>
      <c r="O390" s="49"/>
      <c r="P390" s="49"/>
      <c r="Q390" s="49"/>
      <c r="R390" s="49"/>
      <c r="S390" s="49"/>
    </row>
    <row r="391" spans="1:19" ht="18.75" customHeight="1">
      <c r="A391" s="828">
        <v>6763</v>
      </c>
      <c r="B391" s="828" t="s">
        <v>939</v>
      </c>
      <c r="C391" s="826"/>
      <c r="D391" s="46"/>
      <c r="E391" s="829"/>
      <c r="F391" s="833">
        <v>116.14</v>
      </c>
      <c r="G391" s="831">
        <v>2024014901</v>
      </c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</row>
    <row r="392" spans="1:19" ht="18.75" customHeight="1">
      <c r="A392" s="828">
        <v>6765</v>
      </c>
      <c r="B392" s="828" t="s">
        <v>904</v>
      </c>
      <c r="C392" s="826" t="s">
        <v>13</v>
      </c>
      <c r="D392" s="48"/>
      <c r="E392" s="829">
        <v>1</v>
      </c>
      <c r="F392" s="833">
        <v>131.83000000000001</v>
      </c>
      <c r="G392" s="831">
        <v>2024014901</v>
      </c>
      <c r="H392" s="43" t="s">
        <v>86</v>
      </c>
      <c r="I392" s="43"/>
      <c r="J392" s="49"/>
      <c r="K392" s="49"/>
      <c r="L392" s="49"/>
      <c r="M392" s="49"/>
      <c r="N392" s="49"/>
      <c r="O392" s="49"/>
      <c r="P392" s="49"/>
      <c r="Q392" s="49"/>
      <c r="R392" s="49"/>
      <c r="S392" s="49"/>
    </row>
    <row r="393" spans="1:19" ht="18.75" customHeight="1">
      <c r="A393" s="828">
        <v>6766</v>
      </c>
      <c r="B393" s="828" t="s">
        <v>764</v>
      </c>
      <c r="C393" s="826"/>
      <c r="D393" s="46"/>
      <c r="E393" s="829"/>
      <c r="F393" s="833">
        <v>113</v>
      </c>
      <c r="G393" s="831">
        <v>2024014901</v>
      </c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</row>
    <row r="394" spans="1:19" ht="18.75" customHeight="1">
      <c r="A394" s="828">
        <v>6768</v>
      </c>
      <c r="B394" s="828" t="s">
        <v>763</v>
      </c>
      <c r="C394" s="826"/>
      <c r="D394" s="46"/>
      <c r="E394" s="829"/>
      <c r="F394" s="833">
        <v>6.28</v>
      </c>
      <c r="G394" s="831">
        <v>2024014901</v>
      </c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</row>
    <row r="395" spans="1:19" ht="18.75" customHeight="1">
      <c r="A395" s="828">
        <v>6769</v>
      </c>
      <c r="B395" s="828" t="s">
        <v>814</v>
      </c>
      <c r="C395" s="826" t="s">
        <v>13</v>
      </c>
      <c r="D395" s="48">
        <v>73.06</v>
      </c>
      <c r="E395" s="829">
        <v>2</v>
      </c>
      <c r="F395" s="833">
        <v>3.14</v>
      </c>
      <c r="G395" s="831">
        <v>2024014901</v>
      </c>
      <c r="H395" s="43"/>
      <c r="I395" s="43" t="s">
        <v>86</v>
      </c>
      <c r="J395" s="49"/>
      <c r="K395" s="49"/>
      <c r="L395" s="49"/>
      <c r="M395" s="49"/>
      <c r="N395" s="49"/>
      <c r="O395" s="49"/>
      <c r="P395" s="49"/>
      <c r="Q395" s="49"/>
      <c r="R395" s="49"/>
      <c r="S395" s="49"/>
    </row>
    <row r="396" spans="1:19" ht="18.75" customHeight="1">
      <c r="A396" s="828">
        <v>6770</v>
      </c>
      <c r="B396" s="828" t="s">
        <v>832</v>
      </c>
      <c r="C396" s="826" t="s">
        <v>13</v>
      </c>
      <c r="D396" s="48"/>
      <c r="E396" s="829">
        <v>1</v>
      </c>
      <c r="F396" s="833">
        <v>6.28</v>
      </c>
      <c r="G396" s="831">
        <v>2024014901</v>
      </c>
      <c r="H396" s="43" t="s">
        <v>86</v>
      </c>
      <c r="I396" s="43"/>
      <c r="J396" s="49"/>
      <c r="K396" s="49"/>
      <c r="L396" s="49"/>
      <c r="M396" s="49"/>
      <c r="N396" s="49"/>
      <c r="O396" s="49"/>
      <c r="P396" s="49"/>
      <c r="Q396" s="49"/>
      <c r="R396" s="49"/>
      <c r="S396" s="49"/>
    </row>
    <row r="397" spans="1:19" ht="18.75" customHeight="1">
      <c r="A397" s="828">
        <v>6771</v>
      </c>
      <c r="B397" s="828" t="s">
        <v>762</v>
      </c>
      <c r="C397" s="826"/>
      <c r="D397" s="46"/>
      <c r="E397" s="829"/>
      <c r="F397" s="833">
        <v>3.14</v>
      </c>
      <c r="G397" s="831">
        <v>2024014901</v>
      </c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</row>
    <row r="398" spans="1:19" ht="18.75" customHeight="1">
      <c r="A398" s="828">
        <v>6772</v>
      </c>
      <c r="B398" s="828" t="s">
        <v>847</v>
      </c>
      <c r="C398" s="827"/>
      <c r="D398" s="49"/>
      <c r="E398" s="830"/>
      <c r="F398" s="833">
        <v>313.89999999999998</v>
      </c>
      <c r="G398" s="831">
        <v>2024014901</v>
      </c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</row>
    <row r="399" spans="1:19" ht="18.75" customHeight="1">
      <c r="A399" s="828">
        <v>6773</v>
      </c>
      <c r="B399" s="828" t="s">
        <v>906</v>
      </c>
      <c r="C399" s="827"/>
      <c r="D399" s="49"/>
      <c r="E399" s="830"/>
      <c r="F399" s="833">
        <v>109.87</v>
      </c>
      <c r="G399" s="831">
        <v>2024014901</v>
      </c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</row>
    <row r="400" spans="1:19" ht="18.75" customHeight="1">
      <c r="A400" s="828">
        <v>6774</v>
      </c>
      <c r="B400" s="828" t="s">
        <v>909</v>
      </c>
      <c r="C400" s="827" t="s">
        <v>13</v>
      </c>
      <c r="D400" s="863">
        <v>113.65</v>
      </c>
      <c r="E400" s="830">
        <v>1</v>
      </c>
      <c r="F400" s="833">
        <v>109.87</v>
      </c>
      <c r="G400" s="831">
        <v>2024014901</v>
      </c>
      <c r="H400" s="43" t="s">
        <v>86</v>
      </c>
      <c r="I400" s="43"/>
      <c r="J400" s="49"/>
      <c r="K400" s="49"/>
      <c r="L400" s="49"/>
      <c r="M400" s="49"/>
      <c r="N400" s="49"/>
      <c r="O400" s="49"/>
      <c r="P400" s="49"/>
      <c r="Q400" s="49"/>
      <c r="R400" s="49"/>
      <c r="S400" s="49"/>
    </row>
    <row r="401" spans="1:19" ht="18.75" customHeight="1">
      <c r="A401" s="828">
        <v>6775</v>
      </c>
      <c r="B401" s="828" t="s">
        <v>792</v>
      </c>
      <c r="C401" s="827" t="s">
        <v>13</v>
      </c>
      <c r="D401" s="863">
        <v>811.8</v>
      </c>
      <c r="E401" s="830">
        <v>2.5000857191839501</v>
      </c>
      <c r="F401" s="833">
        <v>156.94999999999999</v>
      </c>
      <c r="G401" s="831">
        <v>2024014901</v>
      </c>
      <c r="H401" s="43" t="s">
        <v>86</v>
      </c>
      <c r="I401" s="43"/>
      <c r="J401" s="49"/>
      <c r="K401" s="49"/>
      <c r="L401" s="49"/>
      <c r="M401" s="49"/>
      <c r="N401" s="49"/>
      <c r="O401" s="49"/>
      <c r="P401" s="49"/>
      <c r="Q401" s="49"/>
      <c r="R401" s="49"/>
      <c r="S401" s="49"/>
    </row>
    <row r="402" spans="1:19" ht="18.75" customHeight="1">
      <c r="A402" s="828">
        <v>6776</v>
      </c>
      <c r="B402" s="828" t="s">
        <v>881</v>
      </c>
      <c r="C402" s="827"/>
      <c r="D402" s="49"/>
      <c r="E402" s="830"/>
      <c r="F402" s="833">
        <v>156.94999999999999</v>
      </c>
      <c r="G402" s="831">
        <v>2024014901</v>
      </c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</row>
    <row r="403" spans="1:19" ht="18.75" customHeight="1">
      <c r="A403" s="828">
        <v>6777</v>
      </c>
      <c r="B403" s="828" t="s">
        <v>942</v>
      </c>
      <c r="C403" s="827" t="s">
        <v>13</v>
      </c>
      <c r="D403" s="863"/>
      <c r="E403" s="830">
        <v>1.60003428767358</v>
      </c>
      <c r="F403" s="833">
        <v>156.94999999999999</v>
      </c>
      <c r="G403" s="831">
        <v>2024014901</v>
      </c>
      <c r="H403" s="43" t="s">
        <v>86</v>
      </c>
      <c r="I403" s="43" t="s">
        <v>86</v>
      </c>
      <c r="J403" s="49"/>
      <c r="K403" s="49"/>
      <c r="L403" s="49"/>
      <c r="M403" s="49"/>
      <c r="N403" s="49"/>
      <c r="O403" s="49"/>
      <c r="P403" s="49"/>
      <c r="Q403" s="49"/>
      <c r="R403" s="49"/>
      <c r="S403" s="49"/>
    </row>
    <row r="404" spans="1:19" ht="18.75" customHeight="1">
      <c r="A404" s="828">
        <v>6778</v>
      </c>
      <c r="B404" s="828" t="s">
        <v>785</v>
      </c>
      <c r="C404" s="827" t="s">
        <v>13</v>
      </c>
      <c r="D404" s="863">
        <v>105.53</v>
      </c>
      <c r="E404" s="830">
        <v>1.60003428767358</v>
      </c>
      <c r="F404" s="833">
        <v>627.79</v>
      </c>
      <c r="G404" s="831">
        <v>2024014901</v>
      </c>
      <c r="H404" s="43" t="s">
        <v>86</v>
      </c>
      <c r="I404" s="43" t="s">
        <v>86</v>
      </c>
      <c r="J404" s="49"/>
      <c r="K404" s="49"/>
      <c r="L404" s="49"/>
      <c r="M404" s="49"/>
      <c r="N404" s="49"/>
      <c r="O404" s="49"/>
      <c r="P404" s="49"/>
      <c r="Q404" s="49"/>
      <c r="R404" s="49"/>
      <c r="S404" s="49"/>
    </row>
    <row r="405" spans="1:19" ht="18.75" customHeight="1">
      <c r="A405" s="828">
        <v>6779</v>
      </c>
      <c r="B405" s="828" t="s">
        <v>825</v>
      </c>
      <c r="C405" s="827"/>
      <c r="D405" s="49"/>
      <c r="E405" s="830"/>
      <c r="F405" s="833">
        <v>627.79</v>
      </c>
      <c r="G405" s="831">
        <v>2024014901</v>
      </c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</row>
    <row r="406" spans="1:19" ht="18.75" customHeight="1">
      <c r="A406" s="828">
        <v>6780</v>
      </c>
      <c r="B406" s="828" t="s">
        <v>855</v>
      </c>
      <c r="C406" s="827"/>
      <c r="D406" s="49"/>
      <c r="E406" s="830"/>
      <c r="F406" s="833">
        <v>627.79</v>
      </c>
      <c r="G406" s="831">
        <v>2024014901</v>
      </c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</row>
    <row r="407" spans="1:19" ht="18.75" customHeight="1">
      <c r="A407" s="828">
        <v>6781</v>
      </c>
      <c r="B407" s="828" t="s">
        <v>857</v>
      </c>
      <c r="C407" s="827"/>
      <c r="D407" s="49"/>
      <c r="E407" s="830"/>
      <c r="F407" s="833">
        <v>313.89999999999998</v>
      </c>
      <c r="G407" s="831">
        <v>2024014901</v>
      </c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</row>
    <row r="408" spans="1:19" ht="18.75" customHeight="1">
      <c r="A408" s="828">
        <v>6782</v>
      </c>
      <c r="B408" s="828" t="s">
        <v>766</v>
      </c>
      <c r="C408" s="827" t="s">
        <v>13</v>
      </c>
      <c r="D408" s="863"/>
      <c r="E408" s="830">
        <v>2</v>
      </c>
      <c r="F408" s="833">
        <v>313.89999999999998</v>
      </c>
      <c r="G408" s="831">
        <v>2024014901</v>
      </c>
      <c r="H408" s="43"/>
      <c r="I408" s="43" t="s">
        <v>86</v>
      </c>
      <c r="J408" s="49"/>
      <c r="K408" s="49"/>
      <c r="L408" s="49"/>
      <c r="M408" s="49"/>
      <c r="N408" s="49"/>
      <c r="O408" s="49"/>
      <c r="P408" s="49"/>
      <c r="Q408" s="49"/>
      <c r="R408" s="49"/>
      <c r="S408" s="49"/>
    </row>
    <row r="409" spans="1:19" ht="18.75" customHeight="1">
      <c r="A409" s="828">
        <v>6783</v>
      </c>
      <c r="B409" s="828" t="s">
        <v>882</v>
      </c>
      <c r="C409" s="827" t="s">
        <v>13</v>
      </c>
      <c r="D409" s="863">
        <v>211.07</v>
      </c>
      <c r="E409" s="830">
        <v>0.50008571918395295</v>
      </c>
      <c r="F409" s="833">
        <v>94.17</v>
      </c>
      <c r="G409" s="831">
        <v>2024014901</v>
      </c>
      <c r="H409" s="43"/>
      <c r="I409" s="43" t="s">
        <v>86</v>
      </c>
      <c r="J409" s="49"/>
      <c r="K409" s="49"/>
      <c r="L409" s="49"/>
      <c r="M409" s="49"/>
      <c r="N409" s="49"/>
      <c r="O409" s="49"/>
      <c r="P409" s="49"/>
      <c r="Q409" s="49"/>
      <c r="R409" s="49"/>
      <c r="S409" s="49"/>
    </row>
    <row r="410" spans="1:19" ht="18.75" customHeight="1">
      <c r="A410" s="828">
        <v>6784</v>
      </c>
      <c r="B410" s="828" t="s">
        <v>943</v>
      </c>
      <c r="C410" s="827" t="s">
        <v>13</v>
      </c>
      <c r="D410" s="863">
        <v>491.95</v>
      </c>
      <c r="E410" s="830">
        <v>1.5000857191839501</v>
      </c>
      <c r="F410" s="833">
        <v>94.17</v>
      </c>
      <c r="G410" s="831">
        <v>2024014901</v>
      </c>
      <c r="H410" s="43" t="s">
        <v>86</v>
      </c>
      <c r="I410" s="43" t="s">
        <v>86</v>
      </c>
      <c r="J410" s="49"/>
      <c r="K410" s="49"/>
      <c r="L410" s="49"/>
      <c r="M410" s="49"/>
      <c r="N410" s="49"/>
      <c r="O410" s="49"/>
      <c r="P410" s="49"/>
      <c r="Q410" s="49"/>
      <c r="R410" s="49"/>
      <c r="S410" s="49"/>
    </row>
    <row r="411" spans="1:19" ht="18.75" customHeight="1">
      <c r="A411" s="828">
        <v>6785</v>
      </c>
      <c r="B411" s="828" t="s">
        <v>856</v>
      </c>
      <c r="C411" s="827" t="s">
        <v>577</v>
      </c>
      <c r="D411" s="863"/>
      <c r="E411" s="830">
        <v>0.50008571918395295</v>
      </c>
      <c r="F411" s="833">
        <v>470.84</v>
      </c>
      <c r="G411" s="831">
        <v>2024014901</v>
      </c>
      <c r="H411" s="43" t="s">
        <v>86</v>
      </c>
      <c r="I411" s="43"/>
      <c r="J411" s="49"/>
      <c r="K411" s="49"/>
      <c r="L411" s="49"/>
      <c r="M411" s="49"/>
      <c r="N411" s="49"/>
      <c r="O411" s="49"/>
      <c r="P411" s="49"/>
      <c r="Q411" s="49"/>
      <c r="R411" s="49"/>
      <c r="S411" s="49"/>
    </row>
    <row r="412" spans="1:19" ht="18.75" customHeight="1">
      <c r="A412" s="828">
        <v>6786</v>
      </c>
      <c r="B412" s="828" t="s">
        <v>907</v>
      </c>
      <c r="C412" s="827" t="s">
        <v>13</v>
      </c>
      <c r="D412" s="863"/>
      <c r="E412" s="830">
        <v>1.60003428767358</v>
      </c>
      <c r="F412" s="833">
        <v>166.36</v>
      </c>
      <c r="G412" s="831">
        <v>2024014901</v>
      </c>
      <c r="H412" s="43" t="s">
        <v>86</v>
      </c>
      <c r="I412" s="43" t="s">
        <v>86</v>
      </c>
      <c r="J412" s="49"/>
      <c r="K412" s="49"/>
      <c r="L412" s="49"/>
      <c r="M412" s="49"/>
      <c r="N412" s="49"/>
      <c r="O412" s="49"/>
      <c r="P412" s="49"/>
      <c r="Q412" s="49"/>
      <c r="R412" s="49"/>
      <c r="S412" s="49"/>
    </row>
    <row r="413" spans="1:19" ht="18.75" customHeight="1">
      <c r="A413" s="828">
        <v>6787</v>
      </c>
      <c r="B413" s="828" t="s">
        <v>876</v>
      </c>
      <c r="C413" s="827" t="s">
        <v>13</v>
      </c>
      <c r="D413" s="863"/>
      <c r="E413" s="830">
        <v>7.4800274301388701</v>
      </c>
      <c r="F413" s="833">
        <v>291.92</v>
      </c>
      <c r="G413" s="831">
        <v>2024014901</v>
      </c>
      <c r="H413" s="43" t="s">
        <v>86</v>
      </c>
      <c r="I413" s="43"/>
      <c r="J413" s="49"/>
      <c r="K413" s="49"/>
      <c r="L413" s="49"/>
      <c r="M413" s="49"/>
      <c r="N413" s="49"/>
      <c r="O413" s="49"/>
      <c r="P413" s="49"/>
      <c r="Q413" s="49"/>
      <c r="R413" s="49"/>
      <c r="S413" s="49"/>
    </row>
    <row r="414" spans="1:19" ht="18.75" customHeight="1">
      <c r="A414" s="828">
        <v>6788</v>
      </c>
      <c r="B414" s="828" t="s">
        <v>794</v>
      </c>
      <c r="C414" s="827" t="s">
        <v>13</v>
      </c>
      <c r="D414" s="863"/>
      <c r="E414" s="830">
        <v>3</v>
      </c>
      <c r="F414" s="833">
        <v>291.92</v>
      </c>
      <c r="G414" s="831">
        <v>2024014901</v>
      </c>
      <c r="H414" s="43" t="s">
        <v>86</v>
      </c>
      <c r="I414" s="43" t="s">
        <v>86</v>
      </c>
      <c r="J414" s="49"/>
      <c r="K414" s="49"/>
      <c r="L414" s="49"/>
      <c r="M414" s="49"/>
      <c r="N414" s="49"/>
      <c r="O414" s="49"/>
      <c r="P414" s="49"/>
      <c r="Q414" s="49"/>
      <c r="R414" s="49"/>
      <c r="S414" s="49"/>
    </row>
    <row r="415" spans="1:19" ht="18.75" customHeight="1">
      <c r="A415" s="828">
        <v>6789</v>
      </c>
      <c r="B415" s="828" t="s">
        <v>941</v>
      </c>
      <c r="C415" s="827"/>
      <c r="D415" s="49"/>
      <c r="E415" s="830"/>
      <c r="F415" s="833">
        <v>326.45</v>
      </c>
      <c r="G415" s="831">
        <v>2024014901</v>
      </c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</row>
    <row r="416" spans="1:19" ht="18.75" customHeight="1">
      <c r="A416" s="828">
        <v>6790</v>
      </c>
      <c r="B416" s="828" t="s">
        <v>835</v>
      </c>
      <c r="C416" s="827" t="s">
        <v>577</v>
      </c>
      <c r="D416" s="863"/>
      <c r="E416" s="830">
        <v>60</v>
      </c>
      <c r="F416" s="833">
        <v>247.97</v>
      </c>
      <c r="G416" s="831">
        <v>2024014901</v>
      </c>
      <c r="H416" s="43" t="s">
        <v>86</v>
      </c>
      <c r="I416" s="43"/>
      <c r="J416" s="49"/>
      <c r="K416" s="49"/>
      <c r="L416" s="49"/>
      <c r="M416" s="49"/>
      <c r="N416" s="49"/>
      <c r="O416" s="49"/>
      <c r="P416" s="49"/>
      <c r="Q416" s="49"/>
      <c r="R416" s="49"/>
      <c r="S416" s="49"/>
    </row>
    <row r="417" spans="1:19" ht="18.75" customHeight="1">
      <c r="A417" s="828">
        <v>6791</v>
      </c>
      <c r="B417" s="828" t="s">
        <v>816</v>
      </c>
      <c r="C417" s="827"/>
      <c r="D417" s="49"/>
      <c r="E417" s="830"/>
      <c r="F417" s="833">
        <v>357.84</v>
      </c>
      <c r="G417" s="831">
        <v>2024014901</v>
      </c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</row>
    <row r="418" spans="1:19" ht="18.75" customHeight="1">
      <c r="A418" s="828">
        <v>6792</v>
      </c>
      <c r="B418" s="828" t="s">
        <v>765</v>
      </c>
      <c r="C418" s="827" t="s">
        <v>13</v>
      </c>
      <c r="D418" s="863">
        <v>42.21</v>
      </c>
      <c r="E418" s="830">
        <v>9.9948568489628006E-2</v>
      </c>
      <c r="F418" s="833">
        <v>326.45</v>
      </c>
      <c r="G418" s="831">
        <v>2024014901</v>
      </c>
      <c r="H418" s="43" t="s">
        <v>86</v>
      </c>
      <c r="I418" s="43"/>
      <c r="J418" s="49"/>
      <c r="K418" s="49"/>
      <c r="L418" s="49"/>
      <c r="M418" s="49"/>
      <c r="N418" s="49"/>
      <c r="O418" s="49"/>
      <c r="P418" s="49"/>
      <c r="Q418" s="49"/>
      <c r="R418" s="49"/>
      <c r="S418" s="49"/>
    </row>
    <row r="419" spans="1:19" ht="18.75" customHeight="1">
      <c r="A419" s="828">
        <v>6793</v>
      </c>
      <c r="B419" s="828" t="s">
        <v>793</v>
      </c>
      <c r="C419" s="827" t="s">
        <v>13</v>
      </c>
      <c r="D419" s="863"/>
      <c r="E419" s="830">
        <v>7.5000857191839501</v>
      </c>
      <c r="F419" s="833">
        <v>247.97</v>
      </c>
      <c r="G419" s="831">
        <v>2024014901</v>
      </c>
      <c r="H419" s="43" t="s">
        <v>86</v>
      </c>
      <c r="I419" s="43"/>
      <c r="J419" s="49"/>
      <c r="K419" s="49"/>
      <c r="L419" s="49"/>
      <c r="M419" s="49"/>
      <c r="N419" s="49"/>
      <c r="O419" s="49"/>
      <c r="P419" s="49"/>
      <c r="Q419" s="49"/>
      <c r="R419" s="49"/>
      <c r="S419" s="49"/>
    </row>
    <row r="420" spans="1:19" ht="18.75" customHeight="1">
      <c r="A420" s="828">
        <v>6794</v>
      </c>
      <c r="B420" s="828" t="s">
        <v>795</v>
      </c>
      <c r="C420" s="827" t="s">
        <v>13</v>
      </c>
      <c r="D420" s="863">
        <v>1948.32</v>
      </c>
      <c r="E420" s="830">
        <v>0.50008571918395295</v>
      </c>
      <c r="F420" s="833">
        <v>100.45</v>
      </c>
      <c r="G420" s="831">
        <v>2024014901</v>
      </c>
      <c r="H420" s="43" t="s">
        <v>86</v>
      </c>
      <c r="I420" s="43" t="s">
        <v>86</v>
      </c>
      <c r="J420" s="49"/>
      <c r="K420" s="49"/>
      <c r="L420" s="49"/>
      <c r="M420" s="49"/>
      <c r="N420" s="49"/>
      <c r="O420" s="49"/>
      <c r="P420" s="49"/>
      <c r="Q420" s="49"/>
      <c r="R420" s="49"/>
      <c r="S420" s="49"/>
    </row>
    <row r="421" spans="1:19" ht="18.75" customHeight="1">
      <c r="A421" s="828">
        <v>6795</v>
      </c>
      <c r="B421" s="828" t="s">
        <v>858</v>
      </c>
      <c r="C421" s="827" t="s">
        <v>13</v>
      </c>
      <c r="D421" s="863">
        <v>207.82</v>
      </c>
      <c r="E421" s="830">
        <v>2</v>
      </c>
      <c r="F421" s="833">
        <v>91.02</v>
      </c>
      <c r="G421" s="831">
        <v>2024014901</v>
      </c>
      <c r="H421" s="43"/>
      <c r="I421" s="43" t="s">
        <v>86</v>
      </c>
      <c r="J421" s="49"/>
      <c r="K421" s="49"/>
      <c r="L421" s="49"/>
      <c r="M421" s="49"/>
      <c r="N421" s="49"/>
      <c r="O421" s="49"/>
      <c r="P421" s="49"/>
      <c r="Q421" s="49"/>
      <c r="R421" s="49"/>
      <c r="S421" s="49"/>
    </row>
    <row r="422" spans="1:19" ht="18.75" customHeight="1">
      <c r="A422" s="828">
        <v>6796</v>
      </c>
      <c r="B422" s="828" t="s">
        <v>883</v>
      </c>
      <c r="C422" s="827"/>
      <c r="D422" s="49"/>
      <c r="E422" s="830"/>
      <c r="F422" s="833">
        <v>91.02</v>
      </c>
      <c r="G422" s="831">
        <v>2024014901</v>
      </c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</row>
    <row r="423" spans="1:19" ht="18.75" customHeight="1">
      <c r="A423" s="828">
        <v>6797</v>
      </c>
      <c r="B423" s="828" t="s">
        <v>859</v>
      </c>
      <c r="C423" s="827"/>
      <c r="D423" s="49"/>
      <c r="E423" s="830"/>
      <c r="F423" s="833">
        <v>62.78</v>
      </c>
      <c r="G423" s="831">
        <v>2024014901</v>
      </c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</row>
    <row r="424" spans="1:19" ht="18.75" customHeight="1">
      <c r="A424" s="828">
        <v>6798</v>
      </c>
      <c r="B424" s="828" t="s">
        <v>956</v>
      </c>
      <c r="C424" s="827" t="s">
        <v>13</v>
      </c>
      <c r="D424" s="863"/>
      <c r="E424" s="830">
        <v>9.9948568489628006E-2</v>
      </c>
      <c r="F424" s="833">
        <v>113</v>
      </c>
      <c r="G424" s="831">
        <v>2024014901</v>
      </c>
      <c r="H424" s="43" t="s">
        <v>86</v>
      </c>
      <c r="I424" s="43"/>
      <c r="J424" s="49"/>
      <c r="K424" s="49"/>
      <c r="L424" s="49"/>
      <c r="M424" s="49"/>
      <c r="N424" s="49"/>
      <c r="O424" s="49"/>
      <c r="P424" s="49"/>
      <c r="Q424" s="49"/>
      <c r="R424" s="49"/>
      <c r="S424" s="49"/>
    </row>
    <row r="425" spans="1:19" ht="18.75" customHeight="1">
      <c r="A425" s="828">
        <v>6799</v>
      </c>
      <c r="B425" s="828" t="s">
        <v>817</v>
      </c>
      <c r="C425" s="827"/>
      <c r="D425" s="49"/>
      <c r="E425" s="830"/>
      <c r="F425" s="833">
        <v>100.45</v>
      </c>
      <c r="G425" s="831">
        <v>2024014901</v>
      </c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</row>
    <row r="426" spans="1:19" ht="18.75" customHeight="1">
      <c r="A426" s="828">
        <v>6800</v>
      </c>
      <c r="B426" s="828" t="s">
        <v>826</v>
      </c>
      <c r="C426" s="827" t="s">
        <v>13</v>
      </c>
      <c r="D426" s="863"/>
      <c r="E426" s="830">
        <v>2</v>
      </c>
      <c r="F426" s="833">
        <v>533.62</v>
      </c>
      <c r="G426" s="831">
        <v>2024014901</v>
      </c>
      <c r="H426" s="43"/>
      <c r="I426" s="43" t="s">
        <v>86</v>
      </c>
      <c r="J426" s="49"/>
      <c r="K426" s="49"/>
      <c r="L426" s="49"/>
      <c r="M426" s="49"/>
      <c r="N426" s="49"/>
      <c r="O426" s="49"/>
      <c r="P426" s="49"/>
      <c r="Q426" s="49"/>
      <c r="R426" s="49"/>
      <c r="S426" s="49"/>
    </row>
    <row r="427" spans="1:19" ht="18.75" customHeight="1">
      <c r="A427" s="828">
        <v>6801</v>
      </c>
      <c r="B427" s="828" t="s">
        <v>908</v>
      </c>
      <c r="C427" s="827"/>
      <c r="D427" s="49"/>
      <c r="E427" s="830"/>
      <c r="F427" s="833">
        <v>1412.53</v>
      </c>
      <c r="G427" s="831">
        <v>2024014901</v>
      </c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</row>
    <row r="428" spans="1:19" ht="18.75" customHeight="1">
      <c r="A428" s="828">
        <v>6802</v>
      </c>
      <c r="B428" s="828" t="s">
        <v>818</v>
      </c>
      <c r="C428" s="827" t="s">
        <v>577</v>
      </c>
      <c r="D428" s="863"/>
      <c r="E428" s="830">
        <v>1.71438367906738E-2</v>
      </c>
      <c r="F428" s="833">
        <v>473.98</v>
      </c>
      <c r="G428" s="831">
        <v>2024014901</v>
      </c>
      <c r="H428" s="43" t="s">
        <v>86</v>
      </c>
      <c r="I428" s="43"/>
      <c r="J428" s="49"/>
      <c r="K428" s="49"/>
      <c r="L428" s="49"/>
      <c r="M428" s="49"/>
      <c r="N428" s="49"/>
      <c r="O428" s="49"/>
      <c r="P428" s="49"/>
      <c r="Q428" s="49"/>
      <c r="R428" s="49"/>
      <c r="S428" s="49"/>
    </row>
    <row r="429" spans="1:19" ht="18.75" customHeight="1">
      <c r="A429" s="828">
        <v>6803</v>
      </c>
      <c r="B429" s="828" t="s">
        <v>834</v>
      </c>
      <c r="C429" s="827"/>
      <c r="D429" s="49"/>
      <c r="E429" s="830"/>
      <c r="F429" s="833">
        <v>373.54</v>
      </c>
      <c r="G429" s="831">
        <v>2024014901</v>
      </c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</row>
    <row r="430" spans="1:19" ht="18.75" customHeight="1">
      <c r="A430" s="828">
        <v>6804</v>
      </c>
      <c r="B430" s="828" t="s">
        <v>810</v>
      </c>
      <c r="C430" s="827" t="s">
        <v>577</v>
      </c>
      <c r="D430" s="863">
        <v>68.19</v>
      </c>
      <c r="E430" s="830">
        <v>1.20006857534716</v>
      </c>
      <c r="F430" s="833">
        <v>627.79</v>
      </c>
      <c r="G430" s="831">
        <v>2024014901</v>
      </c>
      <c r="H430" s="43" t="s">
        <v>86</v>
      </c>
      <c r="I430" s="43"/>
      <c r="J430" s="49"/>
      <c r="K430" s="49"/>
      <c r="L430" s="49"/>
      <c r="M430" s="49"/>
      <c r="N430" s="49"/>
      <c r="O430" s="49"/>
      <c r="P430" s="49"/>
      <c r="Q430" s="49"/>
      <c r="R430" s="49"/>
      <c r="S430" s="49"/>
    </row>
    <row r="431" spans="1:19" ht="18.75" customHeight="1">
      <c r="A431" s="828">
        <v>6805</v>
      </c>
      <c r="B431" s="828" t="s">
        <v>874</v>
      </c>
      <c r="C431" s="827" t="s">
        <v>13</v>
      </c>
      <c r="D431" s="863"/>
      <c r="E431" s="830">
        <v>0.90005143151037204</v>
      </c>
      <c r="F431" s="833">
        <v>188.33</v>
      </c>
      <c r="G431" s="831">
        <v>2024014901</v>
      </c>
      <c r="H431" s="43"/>
      <c r="I431" s="43" t="s">
        <v>86</v>
      </c>
      <c r="J431" s="49"/>
      <c r="K431" s="49"/>
      <c r="L431" s="49"/>
      <c r="M431" s="49"/>
      <c r="N431" s="49"/>
      <c r="O431" s="49"/>
      <c r="P431" s="49"/>
      <c r="Q431" s="49"/>
      <c r="R431" s="49"/>
      <c r="S431" s="49"/>
    </row>
    <row r="432" spans="1:19" ht="18.75" customHeight="1">
      <c r="A432" s="828">
        <v>6806</v>
      </c>
      <c r="B432" s="828" t="s">
        <v>929</v>
      </c>
      <c r="C432" s="827"/>
      <c r="D432" s="49"/>
      <c r="E432" s="830"/>
      <c r="F432" s="833">
        <v>188.33</v>
      </c>
      <c r="G432" s="831">
        <v>2024014901</v>
      </c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</row>
    <row r="433" spans="1:19" ht="18.75" customHeight="1">
      <c r="A433" s="828">
        <v>6807</v>
      </c>
      <c r="B433" s="828" t="s">
        <v>781</v>
      </c>
      <c r="C433" s="827" t="s">
        <v>13</v>
      </c>
      <c r="D433" s="863"/>
      <c r="E433" s="830">
        <v>3</v>
      </c>
      <c r="F433" s="833">
        <v>533.62</v>
      </c>
      <c r="G433" s="831">
        <v>2024014901</v>
      </c>
      <c r="H433" s="43"/>
      <c r="I433" s="43" t="s">
        <v>86</v>
      </c>
      <c r="J433" s="49"/>
      <c r="K433" s="49"/>
      <c r="L433" s="49"/>
      <c r="M433" s="49"/>
      <c r="N433" s="49"/>
      <c r="O433" s="49"/>
      <c r="P433" s="49"/>
      <c r="Q433" s="49"/>
      <c r="R433" s="49"/>
      <c r="S433" s="49"/>
    </row>
    <row r="434" spans="1:19" ht="18.75" customHeight="1">
      <c r="A434" s="828">
        <v>6808</v>
      </c>
      <c r="B434" s="828" t="s">
        <v>930</v>
      </c>
      <c r="C434" s="827"/>
      <c r="D434" s="49"/>
      <c r="E434" s="830"/>
      <c r="F434" s="833">
        <v>188.33</v>
      </c>
      <c r="G434" s="831">
        <v>2024014901</v>
      </c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</row>
    <row r="435" spans="1:19" ht="18.75" customHeight="1">
      <c r="A435" s="828">
        <v>6809</v>
      </c>
      <c r="B435" s="828" t="s">
        <v>808</v>
      </c>
      <c r="C435" s="827" t="s">
        <v>13</v>
      </c>
      <c r="D435" s="863">
        <v>97.42</v>
      </c>
      <c r="E435" s="830">
        <v>0.27995885479170202</v>
      </c>
      <c r="F435" s="833">
        <v>78.48</v>
      </c>
      <c r="G435" s="831">
        <v>2024014901</v>
      </c>
      <c r="H435" s="43" t="s">
        <v>86</v>
      </c>
      <c r="I435" s="43"/>
      <c r="J435" s="49"/>
      <c r="K435" s="49"/>
      <c r="L435" s="49"/>
      <c r="M435" s="49"/>
      <c r="N435" s="49"/>
      <c r="O435" s="49"/>
      <c r="P435" s="49"/>
      <c r="Q435" s="49"/>
      <c r="R435" s="49"/>
      <c r="S435" s="49"/>
    </row>
    <row r="436" spans="1:19" ht="18.75" customHeight="1">
      <c r="A436" s="828">
        <v>6811</v>
      </c>
      <c r="B436" s="828" t="s">
        <v>901</v>
      </c>
      <c r="C436" s="827"/>
      <c r="D436" s="49"/>
      <c r="E436" s="830"/>
      <c r="F436" s="833">
        <v>470.84</v>
      </c>
      <c r="G436" s="831">
        <v>2024014901</v>
      </c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</row>
    <row r="437" spans="1:19" ht="18.75" customHeight="1">
      <c r="A437" s="828">
        <v>6812</v>
      </c>
      <c r="B437" s="828" t="s">
        <v>828</v>
      </c>
      <c r="C437" s="827"/>
      <c r="D437" s="49"/>
      <c r="E437" s="830"/>
      <c r="F437" s="833">
        <v>204.04</v>
      </c>
      <c r="G437" s="831">
        <v>2024014901</v>
      </c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</row>
    <row r="438" spans="1:19" ht="18.75" customHeight="1">
      <c r="A438" s="828">
        <v>6813</v>
      </c>
      <c r="B438" s="828" t="s">
        <v>878</v>
      </c>
      <c r="C438" s="827" t="s">
        <v>13</v>
      </c>
      <c r="D438" s="863">
        <v>97.42</v>
      </c>
      <c r="E438" s="830">
        <v>0.27995885479170202</v>
      </c>
      <c r="F438" s="833">
        <v>204.04</v>
      </c>
      <c r="G438" s="831">
        <v>2024014901</v>
      </c>
      <c r="H438" s="43" t="s">
        <v>86</v>
      </c>
      <c r="I438" s="43"/>
      <c r="J438" s="49"/>
      <c r="K438" s="49"/>
      <c r="L438" s="49"/>
      <c r="M438" s="49"/>
      <c r="N438" s="49"/>
      <c r="O438" s="49"/>
      <c r="P438" s="49"/>
      <c r="Q438" s="49"/>
      <c r="R438" s="49"/>
      <c r="S438" s="49"/>
    </row>
    <row r="439" spans="1:19" ht="18.75" customHeight="1">
      <c r="A439" s="828">
        <v>6814</v>
      </c>
      <c r="B439" s="828" t="s">
        <v>849</v>
      </c>
      <c r="C439" s="827"/>
      <c r="D439" s="49"/>
      <c r="E439" s="830"/>
      <c r="F439" s="833">
        <v>266.81</v>
      </c>
      <c r="G439" s="831">
        <v>2024014901</v>
      </c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</row>
    <row r="440" spans="1:19" ht="18.75" customHeight="1">
      <c r="A440" s="828">
        <v>6815</v>
      </c>
      <c r="B440" s="828" t="s">
        <v>829</v>
      </c>
      <c r="C440" s="827" t="s">
        <v>13</v>
      </c>
      <c r="D440" s="863"/>
      <c r="E440" s="830">
        <v>3</v>
      </c>
      <c r="F440" s="833">
        <v>301.33</v>
      </c>
      <c r="G440" s="831">
        <v>2024014901</v>
      </c>
      <c r="H440" s="43"/>
      <c r="I440" s="43" t="s">
        <v>86</v>
      </c>
      <c r="J440" s="49"/>
      <c r="K440" s="49"/>
      <c r="L440" s="49"/>
      <c r="M440" s="49"/>
      <c r="N440" s="49"/>
      <c r="O440" s="49"/>
      <c r="P440" s="49"/>
      <c r="Q440" s="49"/>
      <c r="R440" s="49"/>
      <c r="S440" s="49"/>
    </row>
    <row r="441" spans="1:19" ht="18.75" customHeight="1">
      <c r="A441" s="828">
        <v>6816</v>
      </c>
      <c r="B441" s="828" t="s">
        <v>902</v>
      </c>
      <c r="C441" s="827" t="s">
        <v>13</v>
      </c>
      <c r="D441" s="863"/>
      <c r="E441" s="830">
        <v>6</v>
      </c>
      <c r="F441" s="833">
        <v>941.68</v>
      </c>
      <c r="G441" s="831">
        <v>2024014901</v>
      </c>
      <c r="H441" s="43" t="s">
        <v>86</v>
      </c>
      <c r="I441" s="43" t="s">
        <v>86</v>
      </c>
      <c r="J441" s="49"/>
      <c r="K441" s="49"/>
      <c r="L441" s="49"/>
      <c r="M441" s="49"/>
      <c r="N441" s="49"/>
      <c r="O441" s="49"/>
      <c r="P441" s="49"/>
      <c r="Q441" s="49"/>
      <c r="R441" s="49"/>
      <c r="S441" s="49"/>
    </row>
    <row r="442" spans="1:19" ht="18.75" customHeight="1">
      <c r="A442" s="828">
        <v>6817</v>
      </c>
      <c r="B442" s="828" t="s">
        <v>831</v>
      </c>
      <c r="C442" s="827" t="s">
        <v>13</v>
      </c>
      <c r="D442" s="863"/>
      <c r="E442" s="830">
        <v>6</v>
      </c>
      <c r="F442" s="833">
        <v>188.33</v>
      </c>
      <c r="G442" s="831">
        <v>2024014901</v>
      </c>
      <c r="H442" s="43" t="s">
        <v>86</v>
      </c>
      <c r="I442" s="43" t="s">
        <v>86</v>
      </c>
      <c r="J442" s="49"/>
      <c r="K442" s="49"/>
      <c r="L442" s="49"/>
      <c r="M442" s="49"/>
      <c r="N442" s="49"/>
      <c r="O442" s="49"/>
      <c r="P442" s="49"/>
      <c r="Q442" s="49"/>
      <c r="R442" s="49"/>
      <c r="S442" s="49"/>
    </row>
    <row r="443" spans="1:19" ht="18.75" customHeight="1">
      <c r="A443" s="828">
        <v>6818</v>
      </c>
      <c r="B443" s="828" t="s">
        <v>850</v>
      </c>
      <c r="C443" s="827"/>
      <c r="D443" s="49"/>
      <c r="E443" s="830"/>
      <c r="F443" s="833">
        <v>188.33</v>
      </c>
      <c r="G443" s="831">
        <v>2024014901</v>
      </c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</row>
    <row r="444" spans="1:19" ht="18.75" customHeight="1">
      <c r="A444" s="828">
        <v>6819</v>
      </c>
      <c r="B444" s="828" t="s">
        <v>813</v>
      </c>
      <c r="C444" s="827" t="s">
        <v>13</v>
      </c>
      <c r="D444" s="863">
        <v>259.77999999999997</v>
      </c>
      <c r="E444" s="830">
        <v>0.50008571918395295</v>
      </c>
      <c r="F444" s="833">
        <v>141.26</v>
      </c>
      <c r="G444" s="831">
        <v>2024014901</v>
      </c>
      <c r="H444" s="43" t="s">
        <v>86</v>
      </c>
      <c r="I444" s="43"/>
      <c r="J444" s="49"/>
      <c r="K444" s="49"/>
      <c r="L444" s="49"/>
      <c r="M444" s="49"/>
      <c r="N444" s="49"/>
      <c r="O444" s="49"/>
      <c r="P444" s="49"/>
      <c r="Q444" s="49"/>
      <c r="R444" s="49"/>
      <c r="S444" s="49"/>
    </row>
    <row r="445" spans="1:19" ht="18.75" customHeight="1">
      <c r="A445" s="828">
        <v>6820</v>
      </c>
      <c r="B445" s="828" t="s">
        <v>896</v>
      </c>
      <c r="C445" s="827" t="s">
        <v>13</v>
      </c>
      <c r="D445" s="863">
        <v>211.07</v>
      </c>
      <c r="E445" s="830">
        <v>14</v>
      </c>
      <c r="F445" s="833">
        <v>313.89</v>
      </c>
      <c r="G445" s="831">
        <v>2024014901</v>
      </c>
      <c r="H445" s="43" t="s">
        <v>86</v>
      </c>
      <c r="I445" s="43" t="s">
        <v>86</v>
      </c>
      <c r="J445" s="49"/>
      <c r="K445" s="49"/>
      <c r="L445" s="49"/>
      <c r="M445" s="49"/>
      <c r="N445" s="49"/>
      <c r="O445" s="49"/>
      <c r="P445" s="49"/>
      <c r="Q445" s="49"/>
      <c r="R445" s="49"/>
      <c r="S445" s="49"/>
    </row>
    <row r="446" spans="1:19" ht="18.75" customHeight="1">
      <c r="A446" s="828">
        <v>6821</v>
      </c>
      <c r="B446" s="828" t="s">
        <v>851</v>
      </c>
      <c r="C446" s="827" t="s">
        <v>13</v>
      </c>
      <c r="D446" s="863">
        <v>32.47</v>
      </c>
      <c r="E446" s="830">
        <v>0.20006857534716299</v>
      </c>
      <c r="F446" s="833">
        <v>470.84</v>
      </c>
      <c r="G446" s="831">
        <v>2024014901</v>
      </c>
      <c r="H446" s="43" t="s">
        <v>86</v>
      </c>
      <c r="I446" s="43"/>
      <c r="J446" s="49"/>
      <c r="K446" s="49"/>
      <c r="L446" s="49"/>
      <c r="M446" s="49"/>
      <c r="N446" s="49"/>
      <c r="O446" s="49"/>
      <c r="P446" s="49"/>
      <c r="Q446" s="49"/>
      <c r="R446" s="49"/>
      <c r="S446" s="49"/>
    </row>
    <row r="447" spans="1:19" ht="18.75" customHeight="1">
      <c r="A447" s="828">
        <v>6822</v>
      </c>
      <c r="B447" s="828" t="s">
        <v>790</v>
      </c>
      <c r="C447" s="827"/>
      <c r="D447" s="49"/>
      <c r="E447" s="830"/>
      <c r="F447" s="833">
        <v>282.51</v>
      </c>
      <c r="G447" s="831">
        <v>2024014901</v>
      </c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</row>
    <row r="448" spans="1:19" ht="18.75" customHeight="1">
      <c r="A448" s="828">
        <v>6823</v>
      </c>
      <c r="B448" s="828" t="s">
        <v>879</v>
      </c>
      <c r="C448" s="827" t="s">
        <v>13</v>
      </c>
      <c r="D448" s="863">
        <v>146.12</v>
      </c>
      <c r="E448" s="830">
        <v>5</v>
      </c>
      <c r="F448" s="833">
        <v>166.37</v>
      </c>
      <c r="G448" s="831">
        <v>2024014901</v>
      </c>
      <c r="H448" s="43" t="s">
        <v>86</v>
      </c>
      <c r="I448" s="43"/>
      <c r="J448" s="49"/>
      <c r="K448" s="49"/>
      <c r="L448" s="49"/>
      <c r="M448" s="49"/>
      <c r="N448" s="49"/>
      <c r="O448" s="49"/>
      <c r="P448" s="49"/>
      <c r="Q448" s="49"/>
      <c r="R448" s="49"/>
      <c r="S448" s="49"/>
    </row>
    <row r="449" spans="1:19" ht="18.75" customHeight="1">
      <c r="A449" s="828">
        <v>6824</v>
      </c>
      <c r="B449" s="828" t="s">
        <v>852</v>
      </c>
      <c r="C449" s="827"/>
      <c r="D449" s="49"/>
      <c r="E449" s="830"/>
      <c r="F449" s="833">
        <v>141.26</v>
      </c>
      <c r="G449" s="831">
        <v>2024014901</v>
      </c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</row>
    <row r="450" spans="1:19" ht="18.75" customHeight="1">
      <c r="A450" s="828">
        <v>6825</v>
      </c>
      <c r="B450" s="828" t="s">
        <v>761</v>
      </c>
      <c r="C450" s="827"/>
      <c r="D450" s="49"/>
      <c r="E450" s="830"/>
      <c r="F450" s="833">
        <v>166.37</v>
      </c>
      <c r="G450" s="831">
        <v>2024014901</v>
      </c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</row>
    <row r="451" spans="1:19" ht="18.75" customHeight="1">
      <c r="A451" s="828">
        <v>6826</v>
      </c>
      <c r="B451" s="828" t="s">
        <v>853</v>
      </c>
      <c r="C451" s="827"/>
      <c r="D451" s="49"/>
      <c r="E451" s="830"/>
      <c r="F451" s="833">
        <v>141.26</v>
      </c>
      <c r="G451" s="831">
        <v>2024014901</v>
      </c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</row>
    <row r="452" spans="1:19" ht="18.75" customHeight="1">
      <c r="A452" s="828">
        <v>6827</v>
      </c>
      <c r="B452" s="828" t="s">
        <v>903</v>
      </c>
      <c r="C452" s="827"/>
      <c r="D452" s="49"/>
      <c r="E452" s="830"/>
      <c r="F452" s="833">
        <v>166.37</v>
      </c>
      <c r="G452" s="831">
        <v>2024014901</v>
      </c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</row>
    <row r="453" spans="1:19" ht="18.75" customHeight="1">
      <c r="A453" s="828">
        <v>6828</v>
      </c>
      <c r="B453" s="828" t="s">
        <v>791</v>
      </c>
      <c r="C453" s="827"/>
      <c r="D453" s="49"/>
      <c r="E453" s="830"/>
      <c r="F453" s="833">
        <v>150.66</v>
      </c>
      <c r="G453" s="831">
        <v>2024014901</v>
      </c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</row>
    <row r="454" spans="1:19" ht="18.75" customHeight="1">
      <c r="A454" s="828">
        <v>6829</v>
      </c>
      <c r="B454" s="828" t="s">
        <v>936</v>
      </c>
      <c r="C454" s="827"/>
      <c r="D454" s="49"/>
      <c r="E454" s="830"/>
      <c r="F454" s="833">
        <v>109.86</v>
      </c>
      <c r="G454" s="831">
        <v>2024014901</v>
      </c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</row>
    <row r="455" spans="1:19" ht="18.75" customHeight="1">
      <c r="A455" s="828">
        <v>6830</v>
      </c>
      <c r="B455" s="828" t="s">
        <v>934</v>
      </c>
      <c r="C455" s="827"/>
      <c r="D455" s="49"/>
      <c r="E455" s="830"/>
      <c r="F455" s="833">
        <v>141.26</v>
      </c>
      <c r="G455" s="831">
        <v>2024014901</v>
      </c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</row>
    <row r="456" spans="1:19" ht="18.75" customHeight="1">
      <c r="A456" s="828">
        <v>6831</v>
      </c>
      <c r="B456" s="828" t="s">
        <v>873</v>
      </c>
      <c r="C456" s="827" t="s">
        <v>13</v>
      </c>
      <c r="D456" s="863">
        <v>974.16</v>
      </c>
      <c r="E456" s="830">
        <v>14</v>
      </c>
      <c r="F456" s="833">
        <v>624.66</v>
      </c>
      <c r="G456" s="831">
        <v>2024014901</v>
      </c>
      <c r="H456" s="43" t="s">
        <v>86</v>
      </c>
      <c r="I456" s="43" t="s">
        <v>86</v>
      </c>
      <c r="J456" s="49"/>
      <c r="K456" s="49"/>
      <c r="L456" s="49"/>
      <c r="M456" s="49"/>
      <c r="N456" s="49"/>
      <c r="O456" s="49"/>
      <c r="P456" s="49"/>
      <c r="Q456" s="49"/>
      <c r="R456" s="49"/>
      <c r="S456" s="49"/>
    </row>
    <row r="457" spans="1:19" ht="18.75" customHeight="1">
      <c r="A457" s="828">
        <v>6832</v>
      </c>
      <c r="B457" s="828" t="s">
        <v>959</v>
      </c>
      <c r="C457" s="827" t="s">
        <v>105</v>
      </c>
      <c r="D457" s="863">
        <v>470.84</v>
      </c>
      <c r="E457" s="830">
        <v>10</v>
      </c>
      <c r="F457" s="833">
        <v>166.36</v>
      </c>
      <c r="G457" s="831">
        <v>2024014901</v>
      </c>
      <c r="H457" s="43" t="s">
        <v>86</v>
      </c>
      <c r="I457" s="43" t="s">
        <v>86</v>
      </c>
      <c r="J457" s="49"/>
      <c r="K457" s="49"/>
      <c r="L457" s="49"/>
      <c r="M457" s="49"/>
      <c r="N457" s="49"/>
      <c r="O457" s="49"/>
      <c r="P457" s="49"/>
      <c r="Q457" s="49"/>
      <c r="R457" s="49"/>
      <c r="S457" s="49"/>
    </row>
    <row r="458" spans="1:19" ht="18.75" customHeight="1">
      <c r="A458" s="828">
        <v>6833</v>
      </c>
      <c r="B458" s="828" t="s">
        <v>824</v>
      </c>
      <c r="C458" s="827"/>
      <c r="D458" s="49"/>
      <c r="E458" s="830"/>
      <c r="F458" s="833">
        <v>546.17999999999995</v>
      </c>
      <c r="G458" s="831">
        <v>2024014901</v>
      </c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</row>
    <row r="459" spans="1:19" ht="18.75" customHeight="1">
      <c r="A459" s="828">
        <v>6834</v>
      </c>
      <c r="B459" s="828" t="s">
        <v>885</v>
      </c>
      <c r="C459" s="827" t="s">
        <v>13</v>
      </c>
      <c r="D459" s="863">
        <v>45.46</v>
      </c>
      <c r="E459" s="830">
        <v>2.09994856848963</v>
      </c>
      <c r="F459" s="833">
        <v>87.89</v>
      </c>
      <c r="G459" s="831">
        <v>2024014901</v>
      </c>
      <c r="H459" s="43" t="s">
        <v>86</v>
      </c>
      <c r="I459" s="43"/>
      <c r="J459" s="49"/>
      <c r="K459" s="49"/>
      <c r="L459" s="49"/>
      <c r="M459" s="49"/>
      <c r="N459" s="49"/>
      <c r="O459" s="49"/>
      <c r="P459" s="49"/>
      <c r="Q459" s="49"/>
      <c r="R459" s="49"/>
      <c r="S459" s="49"/>
    </row>
    <row r="460" spans="1:19" ht="18.75" customHeight="1">
      <c r="A460" s="828">
        <v>6839</v>
      </c>
      <c r="B460" s="828" t="s">
        <v>830</v>
      </c>
      <c r="C460" s="827" t="s">
        <v>13</v>
      </c>
      <c r="D460" s="863">
        <v>363.69</v>
      </c>
      <c r="E460" s="830">
        <v>9.9948568489628006E-2</v>
      </c>
      <c r="F460" s="833">
        <v>910.3</v>
      </c>
      <c r="G460" s="831">
        <v>2024014901</v>
      </c>
      <c r="H460" s="43" t="s">
        <v>86</v>
      </c>
      <c r="I460" s="43"/>
      <c r="J460" s="49"/>
      <c r="K460" s="49"/>
      <c r="L460" s="49"/>
      <c r="M460" s="49"/>
      <c r="N460" s="49"/>
      <c r="O460" s="49"/>
      <c r="P460" s="49"/>
      <c r="Q460" s="49"/>
      <c r="R460" s="49"/>
      <c r="S460" s="49"/>
    </row>
    <row r="461" spans="1:19" ht="18.75" customHeight="1">
      <c r="A461" s="828">
        <v>6840</v>
      </c>
      <c r="B461" s="828" t="s">
        <v>789</v>
      </c>
      <c r="C461" s="827" t="s">
        <v>13</v>
      </c>
      <c r="D461" s="863"/>
      <c r="E461" s="830">
        <v>0.20006857534716299</v>
      </c>
      <c r="F461" s="833">
        <v>951.1</v>
      </c>
      <c r="G461" s="831">
        <v>2024014901</v>
      </c>
      <c r="H461" s="43" t="s">
        <v>86</v>
      </c>
      <c r="I461" s="43"/>
      <c r="J461" s="49"/>
      <c r="K461" s="49"/>
      <c r="L461" s="49"/>
      <c r="M461" s="49"/>
      <c r="N461" s="49"/>
      <c r="O461" s="49"/>
      <c r="P461" s="49"/>
      <c r="Q461" s="49"/>
      <c r="R461" s="49"/>
      <c r="S461" s="49"/>
    </row>
    <row r="462" spans="1:19" ht="18.75" customHeight="1">
      <c r="A462" s="828">
        <v>6841</v>
      </c>
      <c r="B462" s="828" t="s">
        <v>806</v>
      </c>
      <c r="C462" s="827" t="s">
        <v>13</v>
      </c>
      <c r="D462" s="863">
        <v>86.05</v>
      </c>
      <c r="E462" s="830">
        <v>3</v>
      </c>
      <c r="F462" s="833">
        <v>470.84</v>
      </c>
      <c r="G462" s="831">
        <v>2024014901</v>
      </c>
      <c r="H462" s="43"/>
      <c r="I462" s="43" t="s">
        <v>86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</row>
    <row r="463" spans="1:19" ht="18.75" customHeight="1">
      <c r="A463" s="828">
        <v>6843</v>
      </c>
      <c r="B463" s="828" t="s">
        <v>953</v>
      </c>
      <c r="C463" s="827" t="s">
        <v>13</v>
      </c>
      <c r="D463" s="863">
        <v>276.01</v>
      </c>
      <c r="E463" s="830">
        <v>14</v>
      </c>
      <c r="F463" s="833">
        <v>502.23</v>
      </c>
      <c r="G463" s="831">
        <v>2024014901</v>
      </c>
      <c r="H463" s="43" t="s">
        <v>86</v>
      </c>
      <c r="I463" s="43" t="s">
        <v>86</v>
      </c>
      <c r="J463" s="49"/>
      <c r="K463" s="49"/>
      <c r="L463" s="49"/>
      <c r="M463" s="49"/>
      <c r="N463" s="49"/>
      <c r="O463" s="49"/>
      <c r="P463" s="49"/>
      <c r="Q463" s="49"/>
      <c r="R463" s="49"/>
      <c r="S463" s="49"/>
    </row>
    <row r="464" spans="1:19" ht="18.75" customHeight="1">
      <c r="A464" s="828">
        <v>6844</v>
      </c>
      <c r="B464" s="828" t="s">
        <v>866</v>
      </c>
      <c r="C464" s="827"/>
      <c r="D464" s="49"/>
      <c r="E464" s="830"/>
      <c r="F464" s="833">
        <v>408.07</v>
      </c>
      <c r="G464" s="831">
        <v>2024014901</v>
      </c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</row>
    <row r="465" spans="1:19" ht="18.75" customHeight="1">
      <c r="A465" s="828">
        <v>6845</v>
      </c>
      <c r="B465" s="828" t="s">
        <v>775</v>
      </c>
      <c r="C465" s="827"/>
      <c r="D465" s="49"/>
      <c r="E465" s="830"/>
      <c r="F465" s="833">
        <v>533.62</v>
      </c>
      <c r="G465" s="831">
        <v>2024014901</v>
      </c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</row>
    <row r="466" spans="1:19" ht="18.75" customHeight="1">
      <c r="A466" s="828">
        <v>6846</v>
      </c>
      <c r="B466" s="828" t="s">
        <v>841</v>
      </c>
      <c r="C466" s="827"/>
      <c r="D466" s="49"/>
      <c r="E466" s="830"/>
      <c r="F466" s="833">
        <v>4708.43</v>
      </c>
      <c r="G466" s="831">
        <v>2024014901</v>
      </c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</row>
    <row r="467" spans="1:19" ht="18.75" customHeight="1">
      <c r="A467" s="828">
        <v>6847</v>
      </c>
      <c r="B467" s="828" t="s">
        <v>759</v>
      </c>
      <c r="C467" s="827" t="s">
        <v>13</v>
      </c>
      <c r="D467" s="863"/>
      <c r="E467" s="830">
        <v>2.6200925767186698</v>
      </c>
      <c r="F467" s="833">
        <v>156.94999999999999</v>
      </c>
      <c r="G467" s="831">
        <v>2024014901</v>
      </c>
      <c r="H467" s="43" t="s">
        <v>86</v>
      </c>
      <c r="I467" s="43" t="s">
        <v>86</v>
      </c>
      <c r="J467" s="49"/>
      <c r="K467" s="49"/>
      <c r="L467" s="49"/>
      <c r="M467" s="49"/>
      <c r="N467" s="49"/>
      <c r="O467" s="49"/>
      <c r="P467" s="49"/>
      <c r="Q467" s="49"/>
      <c r="R467" s="49"/>
      <c r="S467" s="49"/>
    </row>
    <row r="468" spans="1:19" ht="18.75" customHeight="1">
      <c r="A468" s="828">
        <v>6848</v>
      </c>
      <c r="B468" s="828" t="s">
        <v>867</v>
      </c>
      <c r="C468" s="827"/>
      <c r="D468" s="49"/>
      <c r="E468" s="830"/>
      <c r="F468" s="833">
        <v>408.07</v>
      </c>
      <c r="G468" s="831">
        <v>2024014901</v>
      </c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</row>
    <row r="469" spans="1:19" ht="18.75" customHeight="1">
      <c r="A469" s="828">
        <v>6849</v>
      </c>
      <c r="B469" s="828" t="s">
        <v>921</v>
      </c>
      <c r="C469" s="827" t="s">
        <v>13</v>
      </c>
      <c r="D469" s="863">
        <v>259.77999999999997</v>
      </c>
      <c r="E469" s="830">
        <v>6.5599177095834103</v>
      </c>
      <c r="F469" s="833">
        <v>1883.37</v>
      </c>
      <c r="G469" s="831">
        <v>2024014901</v>
      </c>
      <c r="H469" s="43" t="s">
        <v>86</v>
      </c>
      <c r="I469" s="43" t="s">
        <v>86</v>
      </c>
      <c r="J469" s="49"/>
      <c r="K469" s="49"/>
      <c r="L469" s="49"/>
      <c r="M469" s="49"/>
      <c r="N469" s="49"/>
      <c r="O469" s="49"/>
      <c r="P469" s="49"/>
      <c r="Q469" s="49"/>
      <c r="R469" s="49"/>
      <c r="S469" s="49"/>
    </row>
    <row r="470" spans="1:19" ht="18.75" customHeight="1">
      <c r="A470" s="828">
        <v>6850</v>
      </c>
      <c r="B470" s="828" t="s">
        <v>805</v>
      </c>
      <c r="C470" s="827" t="s">
        <v>13</v>
      </c>
      <c r="D470" s="863"/>
      <c r="E470" s="830">
        <v>0.20006857534716299</v>
      </c>
      <c r="F470" s="833">
        <v>4394.54</v>
      </c>
      <c r="G470" s="831">
        <v>2024014901</v>
      </c>
      <c r="H470" s="43" t="s">
        <v>86</v>
      </c>
      <c r="I470" s="43"/>
      <c r="J470" s="49"/>
      <c r="K470" s="49"/>
      <c r="L470" s="49"/>
      <c r="M470" s="49"/>
      <c r="N470" s="49"/>
      <c r="O470" s="49"/>
      <c r="P470" s="49"/>
      <c r="Q470" s="49"/>
      <c r="R470" s="49"/>
      <c r="S470" s="49"/>
    </row>
    <row r="471" spans="1:19" ht="18.75" customHeight="1">
      <c r="A471" s="828">
        <v>6851</v>
      </c>
      <c r="B471" s="828" t="s">
        <v>891</v>
      </c>
      <c r="C471" s="827"/>
      <c r="D471" s="49"/>
      <c r="E471" s="830"/>
      <c r="F471" s="833">
        <v>3138.96</v>
      </c>
      <c r="G471" s="831">
        <v>2024014901</v>
      </c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</row>
    <row r="472" spans="1:19" ht="18.75" customHeight="1">
      <c r="A472" s="828">
        <v>6852</v>
      </c>
      <c r="B472" s="828" t="s">
        <v>786</v>
      </c>
      <c r="C472" s="827" t="s">
        <v>13</v>
      </c>
      <c r="D472" s="863">
        <v>42.21</v>
      </c>
      <c r="E472" s="830">
        <v>5</v>
      </c>
      <c r="F472" s="833">
        <v>4394.54</v>
      </c>
      <c r="G472" s="831">
        <v>2024014901</v>
      </c>
      <c r="H472" s="43" t="s">
        <v>86</v>
      </c>
      <c r="I472" s="43"/>
      <c r="J472" s="49"/>
      <c r="K472" s="49"/>
      <c r="L472" s="49"/>
      <c r="M472" s="49"/>
      <c r="N472" s="49"/>
      <c r="O472" s="49"/>
      <c r="P472" s="49"/>
      <c r="Q472" s="49"/>
      <c r="R472" s="49"/>
      <c r="S472" s="49"/>
    </row>
    <row r="473" spans="1:19" ht="18.75" customHeight="1">
      <c r="A473" s="828">
        <v>6853</v>
      </c>
      <c r="B473" s="828" t="s">
        <v>804</v>
      </c>
      <c r="C473" s="827"/>
      <c r="D473" s="49"/>
      <c r="E473" s="830"/>
      <c r="F473" s="833">
        <v>408.07</v>
      </c>
      <c r="G473" s="831">
        <v>2024014901</v>
      </c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</row>
    <row r="474" spans="1:19" ht="18.75" customHeight="1">
      <c r="A474" s="828">
        <v>6854</v>
      </c>
      <c r="B474" s="828" t="s">
        <v>919</v>
      </c>
      <c r="C474" s="827" t="s">
        <v>13</v>
      </c>
      <c r="D474" s="863"/>
      <c r="E474" s="830">
        <v>0.90005143151037204</v>
      </c>
      <c r="F474" s="833">
        <v>408.07</v>
      </c>
      <c r="G474" s="831">
        <v>2024014901</v>
      </c>
      <c r="H474" s="43" t="s">
        <v>86</v>
      </c>
      <c r="I474" s="43"/>
      <c r="J474" s="49"/>
      <c r="K474" s="49"/>
      <c r="L474" s="49"/>
      <c r="M474" s="49"/>
      <c r="N474" s="49"/>
      <c r="O474" s="49"/>
      <c r="P474" s="49"/>
      <c r="Q474" s="49"/>
      <c r="R474" s="49"/>
      <c r="S474" s="49"/>
    </row>
    <row r="475" spans="1:19" ht="18.75" customHeight="1">
      <c r="A475" s="828">
        <v>6855</v>
      </c>
      <c r="B475" s="828" t="s">
        <v>954</v>
      </c>
      <c r="C475" s="827"/>
      <c r="D475" s="49"/>
      <c r="E475" s="830"/>
      <c r="F475" s="833">
        <v>533.62</v>
      </c>
      <c r="G475" s="831">
        <v>2024014901</v>
      </c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</row>
    <row r="476" spans="1:19" ht="18.75" customHeight="1">
      <c r="A476" s="828">
        <v>6856</v>
      </c>
      <c r="B476" s="828" t="s">
        <v>955</v>
      </c>
      <c r="C476" s="827" t="s">
        <v>13</v>
      </c>
      <c r="D476" s="863"/>
      <c r="E476" s="830">
        <v>11.569861134922</v>
      </c>
      <c r="F476" s="833">
        <v>1883.37</v>
      </c>
      <c r="G476" s="831">
        <v>2024014901</v>
      </c>
      <c r="H476" s="43" t="s">
        <v>86</v>
      </c>
      <c r="I476" s="43" t="s">
        <v>86</v>
      </c>
      <c r="J476" s="49"/>
      <c r="K476" s="49"/>
      <c r="L476" s="49"/>
      <c r="M476" s="49"/>
      <c r="N476" s="49"/>
      <c r="O476" s="49"/>
      <c r="P476" s="49"/>
      <c r="Q476" s="49"/>
      <c r="R476" s="49"/>
      <c r="S476" s="49"/>
    </row>
    <row r="477" spans="1:19" ht="18.75" customHeight="1">
      <c r="A477" s="828">
        <v>6858</v>
      </c>
      <c r="B477" s="828" t="s">
        <v>884</v>
      </c>
      <c r="C477" s="827" t="s">
        <v>13</v>
      </c>
      <c r="D477" s="863">
        <v>97.42</v>
      </c>
      <c r="E477" s="830">
        <v>1.30001714383679</v>
      </c>
      <c r="F477" s="833">
        <v>34.53</v>
      </c>
      <c r="G477" s="831">
        <v>2024014901</v>
      </c>
      <c r="H477" s="43" t="s">
        <v>86</v>
      </c>
      <c r="I477" s="43"/>
      <c r="J477" s="49"/>
      <c r="K477" s="49"/>
      <c r="L477" s="49"/>
      <c r="M477" s="49"/>
      <c r="N477" s="49"/>
      <c r="O477" s="49"/>
      <c r="P477" s="49"/>
      <c r="Q477" s="49"/>
      <c r="R477" s="49"/>
      <c r="S477" s="49"/>
    </row>
    <row r="478" spans="1:19" ht="18.75" customHeight="1">
      <c r="A478" s="828">
        <v>6859</v>
      </c>
      <c r="B478" s="828" t="s">
        <v>833</v>
      </c>
      <c r="C478" s="827"/>
      <c r="D478" s="49"/>
      <c r="E478" s="830"/>
      <c r="F478" s="833">
        <v>131.83000000000001</v>
      </c>
      <c r="G478" s="831">
        <v>2024014901</v>
      </c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</row>
    <row r="479" spans="1:19" ht="18.75" customHeight="1">
      <c r="A479" s="828">
        <v>6861</v>
      </c>
      <c r="B479" s="828" t="s">
        <v>782</v>
      </c>
      <c r="C479" s="827"/>
      <c r="D479" s="49"/>
      <c r="E479" s="830"/>
      <c r="F479" s="833">
        <v>141.26</v>
      </c>
      <c r="G479" s="831">
        <v>2024014901</v>
      </c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</row>
    <row r="480" spans="1:19" ht="18.75" customHeight="1">
      <c r="A480" s="828">
        <v>6864</v>
      </c>
      <c r="B480" s="828" t="s">
        <v>93</v>
      </c>
      <c r="C480" s="827"/>
      <c r="D480" s="49"/>
      <c r="E480" s="830"/>
      <c r="F480" s="833">
        <v>191.44</v>
      </c>
      <c r="G480" s="831">
        <v>2024014901</v>
      </c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</row>
    <row r="481" spans="1:19" ht="18.75" customHeight="1">
      <c r="A481" s="828">
        <v>6877</v>
      </c>
      <c r="B481" s="828" t="s">
        <v>440</v>
      </c>
      <c r="C481" s="827" t="s">
        <v>13</v>
      </c>
      <c r="D481" s="863"/>
      <c r="E481" s="830">
        <v>2</v>
      </c>
      <c r="F481" s="833">
        <v>2.2000000000000002</v>
      </c>
      <c r="G481" s="831">
        <v>2024014901</v>
      </c>
      <c r="H481" s="43" t="s">
        <v>86</v>
      </c>
      <c r="I481" s="43"/>
      <c r="J481" s="49"/>
      <c r="K481" s="49"/>
      <c r="L481" s="49"/>
      <c r="M481" s="49"/>
      <c r="N481" s="49"/>
      <c r="O481" s="49"/>
      <c r="P481" s="49"/>
      <c r="Q481" s="49"/>
      <c r="R481" s="49"/>
      <c r="S481" s="49"/>
    </row>
    <row r="482" spans="1:19" ht="18.75" customHeight="1">
      <c r="A482" s="828">
        <v>6878</v>
      </c>
      <c r="B482" s="828" t="s">
        <v>234</v>
      </c>
      <c r="C482" s="827"/>
      <c r="D482" s="49"/>
      <c r="E482" s="830"/>
      <c r="F482" s="833">
        <v>5233.13</v>
      </c>
      <c r="G482" s="831">
        <v>2024014901</v>
      </c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</row>
    <row r="483" spans="1:19" ht="18.75" customHeight="1">
      <c r="A483" s="828">
        <v>6883</v>
      </c>
      <c r="B483" s="828" t="s">
        <v>361</v>
      </c>
      <c r="C483" s="827" t="s">
        <v>13</v>
      </c>
      <c r="D483" s="863">
        <v>324.72000000000003</v>
      </c>
      <c r="E483" s="830">
        <v>0.120006857534716</v>
      </c>
      <c r="F483" s="833">
        <v>36.369999999999997</v>
      </c>
      <c r="G483" s="831">
        <v>2024014901</v>
      </c>
      <c r="H483" s="43" t="s">
        <v>86</v>
      </c>
      <c r="I483" s="43" t="s">
        <v>86</v>
      </c>
      <c r="J483" s="49"/>
      <c r="K483" s="49"/>
      <c r="L483" s="49"/>
      <c r="M483" s="49"/>
      <c r="N483" s="49"/>
      <c r="O483" s="49"/>
      <c r="P483" s="49"/>
      <c r="Q483" s="49"/>
      <c r="R483" s="49"/>
      <c r="S483" s="49"/>
    </row>
    <row r="484" spans="1:19" ht="18.75" customHeight="1">
      <c r="A484" s="828">
        <v>6884</v>
      </c>
      <c r="B484" s="828" t="s">
        <v>202</v>
      </c>
      <c r="C484" s="827"/>
      <c r="D484" s="49"/>
      <c r="E484" s="830"/>
      <c r="F484" s="833">
        <v>478.61</v>
      </c>
      <c r="G484" s="831">
        <v>2024014901</v>
      </c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</row>
    <row r="485" spans="1:19" ht="18.75" customHeight="1">
      <c r="A485" s="828">
        <v>6887</v>
      </c>
      <c r="B485" s="828" t="s">
        <v>112</v>
      </c>
      <c r="C485" s="827" t="s">
        <v>13</v>
      </c>
      <c r="D485" s="863">
        <v>81.180000000000007</v>
      </c>
      <c r="E485" s="830">
        <v>0.120006857534716</v>
      </c>
      <c r="F485" s="833">
        <v>1914.44</v>
      </c>
      <c r="G485" s="831">
        <v>2024014901</v>
      </c>
      <c r="H485" s="43" t="s">
        <v>86</v>
      </c>
      <c r="I485" s="43"/>
      <c r="J485" s="49"/>
      <c r="K485" s="49"/>
      <c r="L485" s="49"/>
      <c r="M485" s="49"/>
      <c r="N485" s="49"/>
      <c r="O485" s="49"/>
      <c r="P485" s="49"/>
      <c r="Q485" s="49"/>
      <c r="R485" s="49"/>
      <c r="S485" s="49"/>
    </row>
    <row r="486" spans="1:19" ht="18.75" customHeight="1">
      <c r="A486" s="828">
        <v>6889</v>
      </c>
      <c r="B486" s="828" t="s">
        <v>428</v>
      </c>
      <c r="C486" s="827"/>
      <c r="D486" s="49"/>
      <c r="E486" s="830"/>
      <c r="F486" s="833">
        <v>36.369999999999997</v>
      </c>
      <c r="G486" s="831">
        <v>2024014901</v>
      </c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</row>
    <row r="487" spans="1:19" ht="18.75" customHeight="1">
      <c r="A487" s="828">
        <v>6893</v>
      </c>
      <c r="B487" s="828" t="s">
        <v>435</v>
      </c>
      <c r="C487" s="827" t="s">
        <v>13</v>
      </c>
      <c r="D487" s="863">
        <v>282.51</v>
      </c>
      <c r="E487" s="830">
        <v>2</v>
      </c>
      <c r="F487" s="833">
        <v>188.56</v>
      </c>
      <c r="G487" s="831">
        <v>2024014901</v>
      </c>
      <c r="H487" s="43" t="s">
        <v>86</v>
      </c>
      <c r="I487" s="43"/>
      <c r="J487" s="49"/>
      <c r="K487" s="49"/>
      <c r="L487" s="49"/>
      <c r="M487" s="49"/>
      <c r="N487" s="49"/>
      <c r="O487" s="49"/>
      <c r="P487" s="49"/>
      <c r="Q487" s="49"/>
      <c r="R487" s="49"/>
      <c r="S487" s="49"/>
    </row>
    <row r="488" spans="1:19" ht="18.75" customHeight="1">
      <c r="A488" s="828">
        <v>6906</v>
      </c>
      <c r="B488" s="828" t="s">
        <v>382</v>
      </c>
      <c r="C488" s="827" t="s">
        <v>578</v>
      </c>
      <c r="D488" s="863"/>
      <c r="E488" s="830">
        <v>0.30001714383679101</v>
      </c>
      <c r="F488" s="833">
        <v>52.64</v>
      </c>
      <c r="G488" s="831">
        <v>2024014901</v>
      </c>
      <c r="H488" s="43" t="s">
        <v>86</v>
      </c>
      <c r="I488" s="43"/>
      <c r="J488" s="49"/>
      <c r="K488" s="49"/>
      <c r="L488" s="49"/>
      <c r="M488" s="49"/>
      <c r="N488" s="49"/>
      <c r="O488" s="49"/>
      <c r="P488" s="49"/>
      <c r="Q488" s="49"/>
      <c r="R488" s="49"/>
      <c r="S488" s="49"/>
    </row>
    <row r="489" spans="1:19" ht="18.75" customHeight="1">
      <c r="A489" s="828">
        <v>6907</v>
      </c>
      <c r="B489" s="828" t="s">
        <v>381</v>
      </c>
      <c r="C489" s="827" t="s">
        <v>13</v>
      </c>
      <c r="D489" s="863">
        <v>97.42</v>
      </c>
      <c r="E489" s="830">
        <v>2</v>
      </c>
      <c r="F489" s="833">
        <v>26.8</v>
      </c>
      <c r="G489" s="831">
        <v>2024014901</v>
      </c>
      <c r="H489" s="43"/>
      <c r="I489" s="43" t="s">
        <v>86</v>
      </c>
      <c r="J489" s="49"/>
      <c r="K489" s="49"/>
      <c r="L489" s="49"/>
      <c r="M489" s="49"/>
      <c r="N489" s="49"/>
      <c r="O489" s="49"/>
      <c r="P489" s="49"/>
      <c r="Q489" s="49"/>
      <c r="R489" s="49"/>
      <c r="S489" s="49"/>
    </row>
    <row r="490" spans="1:19" ht="18.75" customHeight="1">
      <c r="A490" s="828">
        <v>6917</v>
      </c>
      <c r="B490" s="828" t="s">
        <v>385</v>
      </c>
      <c r="C490" s="827" t="s">
        <v>13</v>
      </c>
      <c r="D490" s="863">
        <v>324.72000000000003</v>
      </c>
      <c r="E490" s="830">
        <v>6.0003428767358098E-2</v>
      </c>
      <c r="F490" s="833">
        <v>218.25</v>
      </c>
      <c r="G490" s="831">
        <v>2024014901</v>
      </c>
      <c r="H490" s="43" t="s">
        <v>86</v>
      </c>
      <c r="I490" s="43"/>
      <c r="J490" s="49"/>
      <c r="K490" s="49"/>
      <c r="L490" s="49"/>
      <c r="M490" s="49"/>
      <c r="N490" s="49"/>
      <c r="O490" s="49"/>
      <c r="P490" s="49"/>
      <c r="Q490" s="49"/>
      <c r="R490" s="49"/>
      <c r="S490" s="49"/>
    </row>
    <row r="491" spans="1:19" ht="18.75" customHeight="1">
      <c r="A491" s="828">
        <v>6918</v>
      </c>
      <c r="B491" s="828" t="s">
        <v>384</v>
      </c>
      <c r="C491" s="827"/>
      <c r="D491" s="49"/>
      <c r="E491" s="830"/>
      <c r="F491" s="833">
        <v>218.25</v>
      </c>
      <c r="G491" s="831">
        <v>2024014901</v>
      </c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</row>
    <row r="492" spans="1:19" ht="18.75" customHeight="1">
      <c r="A492" s="828">
        <v>6923</v>
      </c>
      <c r="B492" s="828" t="s">
        <v>390</v>
      </c>
      <c r="C492" s="827"/>
      <c r="D492" s="49"/>
      <c r="E492" s="830"/>
      <c r="F492" s="833">
        <v>201.03</v>
      </c>
      <c r="G492" s="831">
        <v>2024014901</v>
      </c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</row>
    <row r="493" spans="1:19" ht="18.75" customHeight="1">
      <c r="A493" s="828">
        <v>6925</v>
      </c>
      <c r="B493" s="828" t="s">
        <v>391</v>
      </c>
      <c r="C493" s="827"/>
      <c r="D493" s="49"/>
      <c r="E493" s="830"/>
      <c r="F493" s="833">
        <v>804.06</v>
      </c>
      <c r="G493" s="831">
        <v>2024014901</v>
      </c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</row>
    <row r="494" spans="1:19" ht="18.75" customHeight="1">
      <c r="A494" s="828">
        <v>6926</v>
      </c>
      <c r="B494" s="828" t="s">
        <v>392</v>
      </c>
      <c r="C494" s="827" t="s">
        <v>13</v>
      </c>
      <c r="D494" s="863">
        <v>730.62</v>
      </c>
      <c r="E494" s="830">
        <v>0.50008571918395295</v>
      </c>
      <c r="F494" s="833">
        <v>804.06</v>
      </c>
      <c r="G494" s="831">
        <v>2024014901</v>
      </c>
      <c r="H494" s="43" t="s">
        <v>86</v>
      </c>
      <c r="I494" s="43"/>
      <c r="J494" s="49"/>
      <c r="K494" s="49"/>
      <c r="L494" s="49"/>
      <c r="M494" s="49"/>
      <c r="N494" s="49"/>
      <c r="O494" s="49"/>
      <c r="P494" s="49"/>
      <c r="Q494" s="49"/>
      <c r="R494" s="49"/>
      <c r="S494" s="49"/>
    </row>
    <row r="495" spans="1:19" ht="18.75" customHeight="1">
      <c r="A495" s="828">
        <v>6933</v>
      </c>
      <c r="B495" s="828" t="s">
        <v>393</v>
      </c>
      <c r="C495" s="827"/>
      <c r="D495" s="49"/>
      <c r="E495" s="830"/>
      <c r="F495" s="833">
        <v>1006.05</v>
      </c>
      <c r="G495" s="831">
        <v>2024014901</v>
      </c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</row>
    <row r="496" spans="1:19" ht="18.75" customHeight="1">
      <c r="A496" s="828">
        <v>6938</v>
      </c>
      <c r="B496" s="828" t="s">
        <v>402</v>
      </c>
      <c r="C496" s="827" t="s">
        <v>13</v>
      </c>
      <c r="D496" s="863"/>
      <c r="E496" s="830">
        <v>0.30001714383679101</v>
      </c>
      <c r="F496" s="833">
        <v>100.5</v>
      </c>
      <c r="G496" s="831">
        <v>2024014901</v>
      </c>
      <c r="H496" s="43"/>
      <c r="I496" s="43" t="s">
        <v>86</v>
      </c>
      <c r="J496" s="49"/>
      <c r="K496" s="49"/>
      <c r="L496" s="49"/>
      <c r="M496" s="49"/>
      <c r="N496" s="49"/>
      <c r="O496" s="49"/>
      <c r="P496" s="49"/>
      <c r="Q496" s="49"/>
      <c r="R496" s="49"/>
      <c r="S496" s="49"/>
    </row>
    <row r="497" spans="1:19" ht="18.75" customHeight="1">
      <c r="A497" s="828">
        <v>6941</v>
      </c>
      <c r="B497" s="828" t="s">
        <v>420</v>
      </c>
      <c r="C497" s="827" t="s">
        <v>13</v>
      </c>
      <c r="D497" s="863">
        <v>461.1</v>
      </c>
      <c r="E497" s="830">
        <v>1.8299331390365201</v>
      </c>
      <c r="F497" s="833">
        <v>574.33000000000004</v>
      </c>
      <c r="G497" s="831">
        <v>2024014901</v>
      </c>
      <c r="H497" s="43" t="s">
        <v>86</v>
      </c>
      <c r="I497" s="43" t="s">
        <v>86</v>
      </c>
      <c r="J497" s="49"/>
      <c r="K497" s="49"/>
      <c r="L497" s="49"/>
      <c r="M497" s="49"/>
      <c r="N497" s="49"/>
      <c r="O497" s="49"/>
      <c r="P497" s="49"/>
      <c r="Q497" s="49"/>
      <c r="R497" s="49"/>
      <c r="S497" s="49"/>
    </row>
    <row r="498" spans="1:19" ht="18.75" customHeight="1">
      <c r="A498" s="828">
        <v>6943</v>
      </c>
      <c r="B498" s="828" t="s">
        <v>369</v>
      </c>
      <c r="C498" s="827" t="s">
        <v>13</v>
      </c>
      <c r="D498" s="863"/>
      <c r="E498" s="830">
        <v>0.50008571918395295</v>
      </c>
      <c r="F498" s="833">
        <v>1107.51</v>
      </c>
      <c r="G498" s="831">
        <v>2024014901</v>
      </c>
      <c r="H498" s="43" t="s">
        <v>86</v>
      </c>
      <c r="I498" s="43"/>
      <c r="J498" s="49"/>
      <c r="K498" s="49"/>
      <c r="L498" s="49"/>
      <c r="M498" s="49"/>
      <c r="N498" s="49"/>
      <c r="O498" s="49"/>
      <c r="P498" s="49"/>
      <c r="Q498" s="49"/>
      <c r="R498" s="49"/>
      <c r="S498" s="49"/>
    </row>
    <row r="499" spans="1:19" ht="18.75" customHeight="1">
      <c r="A499" s="828">
        <v>6947</v>
      </c>
      <c r="B499" s="828" t="s">
        <v>378</v>
      </c>
      <c r="C499" s="827"/>
      <c r="D499" s="49"/>
      <c r="E499" s="830"/>
      <c r="F499" s="833">
        <v>2546.21</v>
      </c>
      <c r="G499" s="831">
        <v>2024014901</v>
      </c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</row>
    <row r="500" spans="1:19" ht="18.75" customHeight="1">
      <c r="A500" s="828">
        <v>6948</v>
      </c>
      <c r="B500" s="828" t="s">
        <v>377</v>
      </c>
      <c r="C500" s="827" t="s">
        <v>13</v>
      </c>
      <c r="D500" s="863">
        <v>3.25</v>
      </c>
      <c r="E500" s="830">
        <v>11.279958854791699</v>
      </c>
      <c r="F500" s="833">
        <v>1943.17</v>
      </c>
      <c r="G500" s="831">
        <v>2024014901</v>
      </c>
      <c r="H500" s="43" t="s">
        <v>86</v>
      </c>
      <c r="I500" s="43"/>
      <c r="J500" s="49"/>
      <c r="K500" s="49"/>
      <c r="L500" s="49"/>
      <c r="M500" s="49"/>
      <c r="N500" s="49"/>
      <c r="O500" s="49"/>
      <c r="P500" s="49"/>
      <c r="Q500" s="49"/>
      <c r="R500" s="49"/>
      <c r="S500" s="49"/>
    </row>
    <row r="501" spans="1:19" ht="18.75" customHeight="1">
      <c r="A501" s="828">
        <v>6949</v>
      </c>
      <c r="B501" s="828" t="s">
        <v>380</v>
      </c>
      <c r="C501" s="827" t="s">
        <v>13</v>
      </c>
      <c r="D501" s="863"/>
      <c r="E501" s="830">
        <v>0.50008571918395295</v>
      </c>
      <c r="F501" s="833">
        <v>2546.21</v>
      </c>
      <c r="G501" s="831">
        <v>2024014901</v>
      </c>
      <c r="H501" s="43" t="s">
        <v>86</v>
      </c>
      <c r="I501" s="43"/>
      <c r="J501" s="49"/>
      <c r="K501" s="49"/>
      <c r="L501" s="49"/>
      <c r="M501" s="49"/>
      <c r="N501" s="49"/>
      <c r="O501" s="49"/>
      <c r="P501" s="49"/>
      <c r="Q501" s="49"/>
      <c r="R501" s="49"/>
      <c r="S501" s="49"/>
    </row>
    <row r="502" spans="1:19" ht="18.75" customHeight="1">
      <c r="A502" s="828">
        <v>6950</v>
      </c>
      <c r="B502" s="828" t="s">
        <v>379</v>
      </c>
      <c r="C502" s="827"/>
      <c r="D502" s="49"/>
      <c r="E502" s="830"/>
      <c r="F502" s="833">
        <v>2546.21</v>
      </c>
      <c r="G502" s="831">
        <v>2024014901</v>
      </c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</row>
    <row r="503" spans="1:19" ht="18.75" customHeight="1">
      <c r="A503" s="828">
        <v>6951</v>
      </c>
      <c r="B503" s="828" t="s">
        <v>376</v>
      </c>
      <c r="C503" s="827" t="s">
        <v>13</v>
      </c>
      <c r="D503" s="863">
        <v>2273.04</v>
      </c>
      <c r="E503" s="830">
        <v>2</v>
      </c>
      <c r="F503" s="833">
        <v>5012.97</v>
      </c>
      <c r="G503" s="831">
        <v>2024014901</v>
      </c>
      <c r="H503" s="43" t="s">
        <v>86</v>
      </c>
      <c r="I503" s="43"/>
      <c r="J503" s="49"/>
      <c r="K503" s="49"/>
      <c r="L503" s="49"/>
      <c r="M503" s="49"/>
      <c r="N503" s="49"/>
      <c r="O503" s="49"/>
      <c r="P503" s="49"/>
      <c r="Q503" s="49"/>
      <c r="R503" s="49"/>
      <c r="S503" s="49"/>
    </row>
    <row r="504" spans="1:19" ht="18.75" customHeight="1">
      <c r="A504" s="828">
        <v>6955</v>
      </c>
      <c r="B504" s="828" t="s">
        <v>110</v>
      </c>
      <c r="C504" s="827"/>
      <c r="D504" s="49"/>
      <c r="E504" s="830"/>
      <c r="F504" s="833">
        <v>52.64</v>
      </c>
      <c r="G504" s="831">
        <v>2024014901</v>
      </c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</row>
    <row r="505" spans="1:19" ht="18.75" customHeight="1">
      <c r="A505" s="828">
        <v>6960</v>
      </c>
      <c r="B505" s="828" t="s">
        <v>284</v>
      </c>
      <c r="C505" s="827"/>
      <c r="D505" s="49"/>
      <c r="E505" s="830"/>
      <c r="F505" s="833">
        <v>229.73</v>
      </c>
      <c r="G505" s="831">
        <v>2024014901</v>
      </c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</row>
    <row r="506" spans="1:19" ht="18.75" customHeight="1">
      <c r="A506" s="828">
        <v>6972</v>
      </c>
      <c r="B506" s="828" t="s">
        <v>148</v>
      </c>
      <c r="C506" s="827"/>
      <c r="D506" s="49"/>
      <c r="E506" s="830"/>
      <c r="F506" s="833">
        <v>191.44</v>
      </c>
      <c r="G506" s="831">
        <v>2024014901</v>
      </c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</row>
    <row r="507" spans="1:19" ht="18.75" customHeight="1">
      <c r="A507" s="828">
        <v>6973</v>
      </c>
      <c r="B507" s="828" t="s">
        <v>163</v>
      </c>
      <c r="C507" s="827" t="s">
        <v>13</v>
      </c>
      <c r="D507" s="863"/>
      <c r="E507" s="830">
        <v>1.30001714383679</v>
      </c>
      <c r="F507" s="833">
        <v>47.86</v>
      </c>
      <c r="G507" s="831">
        <v>2024014901</v>
      </c>
      <c r="H507" s="43" t="s">
        <v>86</v>
      </c>
      <c r="I507" s="43" t="s">
        <v>86</v>
      </c>
      <c r="J507" s="49"/>
      <c r="K507" s="49"/>
      <c r="L507" s="49"/>
      <c r="M507" s="49"/>
      <c r="N507" s="49"/>
      <c r="O507" s="49"/>
      <c r="P507" s="49"/>
      <c r="Q507" s="49"/>
      <c r="R507" s="49"/>
      <c r="S507" s="49"/>
    </row>
    <row r="508" spans="1:19" ht="18.75" customHeight="1">
      <c r="A508" s="828">
        <v>6975</v>
      </c>
      <c r="B508" s="828" t="s">
        <v>370</v>
      </c>
      <c r="C508" s="827" t="s">
        <v>13</v>
      </c>
      <c r="D508" s="863"/>
      <c r="E508" s="830">
        <v>11.879993142465301</v>
      </c>
      <c r="F508" s="833">
        <v>11.49</v>
      </c>
      <c r="G508" s="831">
        <v>2024014901</v>
      </c>
      <c r="H508" s="43" t="s">
        <v>86</v>
      </c>
      <c r="I508" s="43"/>
      <c r="J508" s="49"/>
      <c r="K508" s="49"/>
      <c r="L508" s="49"/>
      <c r="M508" s="49"/>
      <c r="N508" s="49"/>
      <c r="O508" s="49"/>
      <c r="P508" s="49"/>
      <c r="Q508" s="49"/>
      <c r="R508" s="49"/>
      <c r="S508" s="49"/>
    </row>
    <row r="509" spans="1:19" ht="18.75" customHeight="1">
      <c r="A509" s="828">
        <v>6982</v>
      </c>
      <c r="B509" s="828" t="s">
        <v>203</v>
      </c>
      <c r="C509" s="827"/>
      <c r="D509" s="49"/>
      <c r="E509" s="830"/>
      <c r="F509" s="833">
        <v>124.44</v>
      </c>
      <c r="G509" s="831">
        <v>2024014901</v>
      </c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</row>
    <row r="510" spans="1:19" ht="18.75" customHeight="1">
      <c r="A510" s="828">
        <v>7029</v>
      </c>
      <c r="B510" s="828" t="s">
        <v>195</v>
      </c>
      <c r="C510" s="827" t="s">
        <v>13</v>
      </c>
      <c r="D510" s="863"/>
      <c r="E510" s="830">
        <v>6</v>
      </c>
      <c r="F510" s="833">
        <v>72.75</v>
      </c>
      <c r="G510" s="831">
        <v>2024014901</v>
      </c>
      <c r="H510" s="43" t="s">
        <v>86</v>
      </c>
      <c r="I510" s="43"/>
      <c r="J510" s="49"/>
      <c r="K510" s="49"/>
      <c r="L510" s="49"/>
      <c r="M510" s="49"/>
      <c r="N510" s="49"/>
      <c r="O510" s="49"/>
      <c r="P510" s="49"/>
      <c r="Q510" s="49"/>
      <c r="R510" s="49"/>
      <c r="S510" s="49"/>
    </row>
    <row r="511" spans="1:19" ht="18.75" customHeight="1">
      <c r="A511" s="828">
        <v>7036</v>
      </c>
      <c r="B511" s="828" t="s">
        <v>197</v>
      </c>
      <c r="C511" s="827"/>
      <c r="D511" s="49"/>
      <c r="E511" s="830"/>
      <c r="F511" s="833">
        <v>95.72</v>
      </c>
      <c r="G511" s="831">
        <v>2024014901</v>
      </c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</row>
    <row r="512" spans="1:19" ht="18.75" customHeight="1">
      <c r="A512" s="828">
        <v>7037</v>
      </c>
      <c r="B512" s="828" t="s">
        <v>198</v>
      </c>
      <c r="C512" s="827" t="s">
        <v>13</v>
      </c>
      <c r="D512" s="863">
        <v>237.05</v>
      </c>
      <c r="E512" s="830">
        <v>1.69998285616321</v>
      </c>
      <c r="F512" s="833">
        <v>95.72</v>
      </c>
      <c r="G512" s="831">
        <v>2024014901</v>
      </c>
      <c r="H512" s="43" t="s">
        <v>86</v>
      </c>
      <c r="I512" s="43" t="s">
        <v>86</v>
      </c>
      <c r="J512" s="49"/>
      <c r="K512" s="49"/>
      <c r="L512" s="49"/>
      <c r="M512" s="49"/>
      <c r="N512" s="49"/>
      <c r="O512" s="49"/>
      <c r="P512" s="49"/>
      <c r="Q512" s="49"/>
      <c r="R512" s="49"/>
      <c r="S512" s="49"/>
    </row>
    <row r="513" spans="1:19" ht="18.75" customHeight="1">
      <c r="A513" s="828">
        <v>7038</v>
      </c>
      <c r="B513" s="828" t="s">
        <v>199</v>
      </c>
      <c r="C513" s="827" t="s">
        <v>13</v>
      </c>
      <c r="D513" s="863"/>
      <c r="E513" s="830">
        <v>0.38007886164923699</v>
      </c>
      <c r="F513" s="833">
        <v>124.44</v>
      </c>
      <c r="G513" s="831">
        <v>2024014901</v>
      </c>
      <c r="H513" s="43"/>
      <c r="I513" s="43" t="s">
        <v>86</v>
      </c>
      <c r="J513" s="49"/>
      <c r="K513" s="49"/>
      <c r="L513" s="49"/>
      <c r="M513" s="49"/>
      <c r="N513" s="49"/>
      <c r="O513" s="49"/>
      <c r="P513" s="49"/>
      <c r="Q513" s="49"/>
      <c r="R513" s="49"/>
      <c r="S513" s="49"/>
    </row>
    <row r="514" spans="1:19" ht="18.75" customHeight="1">
      <c r="A514" s="828">
        <v>7043</v>
      </c>
      <c r="B514" s="828" t="s">
        <v>299</v>
      </c>
      <c r="C514" s="827"/>
      <c r="D514" s="49"/>
      <c r="E514" s="830"/>
      <c r="F514" s="833">
        <v>28.72</v>
      </c>
      <c r="G514" s="831">
        <v>2024014901</v>
      </c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</row>
    <row r="515" spans="1:19" ht="18.75" customHeight="1">
      <c r="A515" s="828">
        <v>7046</v>
      </c>
      <c r="B515" s="828" t="s">
        <v>177</v>
      </c>
      <c r="C515" s="827" t="s">
        <v>13</v>
      </c>
      <c r="D515" s="863">
        <v>16.239999999999998</v>
      </c>
      <c r="E515" s="830">
        <v>0.50008571918395295</v>
      </c>
      <c r="F515" s="833">
        <v>287.17</v>
      </c>
      <c r="G515" s="831">
        <v>2024014901</v>
      </c>
      <c r="H515" s="43" t="s">
        <v>86</v>
      </c>
      <c r="I515" s="43"/>
      <c r="J515" s="49"/>
      <c r="K515" s="49"/>
      <c r="L515" s="49"/>
      <c r="M515" s="49"/>
      <c r="N515" s="49"/>
      <c r="O515" s="49"/>
      <c r="P515" s="49"/>
      <c r="Q515" s="49"/>
      <c r="R515" s="49"/>
      <c r="S515" s="49"/>
    </row>
    <row r="516" spans="1:19" ht="18.75" customHeight="1">
      <c r="A516" s="828">
        <v>7049</v>
      </c>
      <c r="B516" s="828" t="s">
        <v>444</v>
      </c>
      <c r="C516" s="827"/>
      <c r="D516" s="49"/>
      <c r="E516" s="830"/>
      <c r="F516" s="833">
        <v>47.86</v>
      </c>
      <c r="G516" s="831">
        <v>2024014901</v>
      </c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</row>
    <row r="517" spans="1:19" ht="18.75" customHeight="1">
      <c r="A517" s="828">
        <v>7090</v>
      </c>
      <c r="B517" s="828" t="s">
        <v>98</v>
      </c>
      <c r="C517" s="827"/>
      <c r="D517" s="49"/>
      <c r="E517" s="830"/>
      <c r="F517" s="833">
        <v>191.44</v>
      </c>
      <c r="G517" s="831">
        <v>2024014901</v>
      </c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</row>
    <row r="518" spans="1:19" ht="18.75" customHeight="1">
      <c r="A518" s="828">
        <v>7100</v>
      </c>
      <c r="B518" s="828" t="s">
        <v>100</v>
      </c>
      <c r="C518" s="827"/>
      <c r="D518" s="49"/>
      <c r="E518" s="830"/>
      <c r="F518" s="833">
        <v>5.75</v>
      </c>
      <c r="G518" s="831">
        <v>2024014901</v>
      </c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</row>
    <row r="519" spans="1:19" ht="18.75" customHeight="1">
      <c r="A519" s="828">
        <v>7135</v>
      </c>
      <c r="B519" s="828" t="s">
        <v>124</v>
      </c>
      <c r="C519" s="827"/>
      <c r="D519" s="49"/>
      <c r="E519" s="830"/>
      <c r="F519" s="833">
        <v>124.44</v>
      </c>
      <c r="G519" s="831">
        <v>2024014901</v>
      </c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</row>
    <row r="520" spans="1:19" ht="18.75" customHeight="1">
      <c r="A520" s="828">
        <v>7141</v>
      </c>
      <c r="B520" s="828" t="s">
        <v>132</v>
      </c>
      <c r="C520" s="827" t="s">
        <v>13</v>
      </c>
      <c r="D520" s="863"/>
      <c r="E520" s="830">
        <v>12.4800274301389</v>
      </c>
      <c r="F520" s="833">
        <v>287.17</v>
      </c>
      <c r="G520" s="831">
        <v>2024014901</v>
      </c>
      <c r="H520" s="43" t="s">
        <v>86</v>
      </c>
      <c r="I520" s="43"/>
      <c r="J520" s="49"/>
      <c r="K520" s="49"/>
      <c r="L520" s="49"/>
      <c r="M520" s="49"/>
      <c r="N520" s="49"/>
      <c r="O520" s="49"/>
      <c r="P520" s="49"/>
      <c r="Q520" s="49"/>
      <c r="R520" s="49"/>
      <c r="S520" s="49"/>
    </row>
    <row r="521" spans="1:19" ht="18.75" customHeight="1">
      <c r="A521" s="828">
        <v>7174</v>
      </c>
      <c r="B521" s="828" t="s">
        <v>430</v>
      </c>
      <c r="C521" s="827" t="s">
        <v>13</v>
      </c>
      <c r="D521" s="863"/>
      <c r="E521" s="830">
        <v>1</v>
      </c>
      <c r="F521" s="833">
        <v>95.72</v>
      </c>
      <c r="G521" s="831">
        <v>2024014901</v>
      </c>
      <c r="H521" s="43"/>
      <c r="I521" s="43" t="s">
        <v>86</v>
      </c>
      <c r="J521" s="49"/>
      <c r="K521" s="49"/>
      <c r="L521" s="49"/>
      <c r="M521" s="49"/>
      <c r="N521" s="49"/>
      <c r="O521" s="49"/>
      <c r="P521" s="49"/>
      <c r="Q521" s="49"/>
      <c r="R521" s="49"/>
      <c r="S521" s="49"/>
    </row>
    <row r="522" spans="1:19" ht="18.75" customHeight="1">
      <c r="A522" s="828">
        <v>7175</v>
      </c>
      <c r="B522" s="828" t="s">
        <v>154</v>
      </c>
      <c r="C522" s="827"/>
      <c r="D522" s="49"/>
      <c r="E522" s="830"/>
      <c r="F522" s="833">
        <v>287.17</v>
      </c>
      <c r="G522" s="831">
        <v>2024014901</v>
      </c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</row>
    <row r="523" spans="1:19" ht="18.75" customHeight="1">
      <c r="A523" s="828">
        <v>7176</v>
      </c>
      <c r="B523" s="828" t="s">
        <v>155</v>
      </c>
      <c r="C523" s="827"/>
      <c r="D523" s="49"/>
      <c r="E523" s="830"/>
      <c r="F523" s="833">
        <v>287.17</v>
      </c>
      <c r="G523" s="831">
        <v>2024014901</v>
      </c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</row>
    <row r="524" spans="1:19" ht="18.75" customHeight="1">
      <c r="A524" s="828">
        <v>7178</v>
      </c>
      <c r="B524" s="828" t="s">
        <v>156</v>
      </c>
      <c r="C524" s="827" t="s">
        <v>13</v>
      </c>
      <c r="D524" s="863"/>
      <c r="E524" s="830">
        <v>1.30001714383679</v>
      </c>
      <c r="F524" s="833">
        <v>5.75</v>
      </c>
      <c r="G524" s="831">
        <v>2024014901</v>
      </c>
      <c r="H524" s="43" t="s">
        <v>86</v>
      </c>
      <c r="I524" s="43" t="s">
        <v>86</v>
      </c>
      <c r="J524" s="49"/>
      <c r="K524" s="49"/>
      <c r="L524" s="49"/>
      <c r="M524" s="49"/>
      <c r="N524" s="49"/>
      <c r="O524" s="49"/>
      <c r="P524" s="49"/>
      <c r="Q524" s="49"/>
      <c r="R524" s="49"/>
      <c r="S524" s="49"/>
    </row>
    <row r="525" spans="1:19" ht="18.75" customHeight="1">
      <c r="A525" s="828">
        <v>7182</v>
      </c>
      <c r="B525" s="828" t="s">
        <v>157</v>
      </c>
      <c r="C525" s="827"/>
      <c r="D525" s="49"/>
      <c r="E525" s="830"/>
      <c r="F525" s="833">
        <v>47.86</v>
      </c>
      <c r="G525" s="831">
        <v>2024014901</v>
      </c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</row>
    <row r="526" spans="1:19" ht="18.75" customHeight="1">
      <c r="A526" s="828">
        <v>7183</v>
      </c>
      <c r="B526" s="828" t="s">
        <v>158</v>
      </c>
      <c r="C526" s="827"/>
      <c r="D526" s="49"/>
      <c r="E526" s="830"/>
      <c r="F526" s="833">
        <v>47.86</v>
      </c>
      <c r="G526" s="831">
        <v>2024014901</v>
      </c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</row>
    <row r="527" spans="1:19" ht="18.75" customHeight="1">
      <c r="A527" s="828">
        <v>7186</v>
      </c>
      <c r="B527" s="828" t="s">
        <v>159</v>
      </c>
      <c r="C527" s="827"/>
      <c r="D527" s="49"/>
      <c r="E527" s="830"/>
      <c r="F527" s="833">
        <v>191.44</v>
      </c>
      <c r="G527" s="831">
        <v>2024014901</v>
      </c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</row>
    <row r="528" spans="1:19" ht="18.75" customHeight="1">
      <c r="A528" s="828">
        <v>7189</v>
      </c>
      <c r="B528" s="828" t="s">
        <v>160</v>
      </c>
      <c r="C528" s="827" t="s">
        <v>13</v>
      </c>
      <c r="D528" s="863"/>
      <c r="E528" s="830">
        <v>15.0001714383679</v>
      </c>
      <c r="F528" s="833">
        <v>191.44</v>
      </c>
      <c r="G528" s="831">
        <v>2024014901</v>
      </c>
      <c r="H528" s="43" t="s">
        <v>86</v>
      </c>
      <c r="I528" s="43" t="s">
        <v>86</v>
      </c>
      <c r="J528" s="49"/>
      <c r="K528" s="49"/>
      <c r="L528" s="49"/>
      <c r="M528" s="49"/>
      <c r="N528" s="49"/>
      <c r="O528" s="49"/>
      <c r="P528" s="49"/>
      <c r="Q528" s="49"/>
      <c r="R528" s="49"/>
      <c r="S528" s="49"/>
    </row>
    <row r="529" spans="1:19" ht="18.75" customHeight="1">
      <c r="A529" s="828">
        <v>7198</v>
      </c>
      <c r="B529" s="828" t="s">
        <v>169</v>
      </c>
      <c r="C529" s="827" t="s">
        <v>13</v>
      </c>
      <c r="D529" s="863"/>
      <c r="E529" s="830">
        <v>0.69998285616320899</v>
      </c>
      <c r="F529" s="833">
        <v>18.190000000000001</v>
      </c>
      <c r="G529" s="831">
        <v>2024014901</v>
      </c>
      <c r="H529" s="43"/>
      <c r="I529" s="43" t="s">
        <v>86</v>
      </c>
      <c r="J529" s="49"/>
      <c r="K529" s="49"/>
      <c r="L529" s="49"/>
      <c r="M529" s="49"/>
      <c r="N529" s="49"/>
      <c r="O529" s="49"/>
      <c r="P529" s="49"/>
      <c r="Q529" s="49"/>
      <c r="R529" s="49"/>
      <c r="S529" s="49"/>
    </row>
    <row r="530" spans="1:19" ht="18.75" customHeight="1">
      <c r="A530" s="828">
        <v>7201</v>
      </c>
      <c r="B530" s="828" t="s">
        <v>175</v>
      </c>
      <c r="C530" s="827"/>
      <c r="D530" s="49"/>
      <c r="E530" s="830"/>
      <c r="F530" s="833">
        <v>71.8</v>
      </c>
      <c r="G530" s="831">
        <v>2024014901</v>
      </c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</row>
    <row r="531" spans="1:19" ht="18.75" customHeight="1">
      <c r="A531" s="828">
        <v>7204</v>
      </c>
      <c r="B531" s="828" t="s">
        <v>176</v>
      </c>
      <c r="C531" s="827" t="s">
        <v>13</v>
      </c>
      <c r="D531" s="863"/>
      <c r="E531" s="830">
        <v>23</v>
      </c>
      <c r="F531" s="833">
        <v>71.8</v>
      </c>
      <c r="G531" s="831">
        <v>2024014901</v>
      </c>
      <c r="H531" s="43" t="s">
        <v>86</v>
      </c>
      <c r="I531" s="43"/>
      <c r="J531" s="49"/>
      <c r="K531" s="49"/>
      <c r="L531" s="49"/>
      <c r="M531" s="49"/>
      <c r="N531" s="49"/>
      <c r="O531" s="49"/>
      <c r="P531" s="49"/>
      <c r="Q531" s="49"/>
      <c r="R531" s="49"/>
      <c r="S531" s="49"/>
    </row>
    <row r="532" spans="1:19" ht="18.75" customHeight="1">
      <c r="A532" s="828">
        <v>7292</v>
      </c>
      <c r="B532" s="828" t="s">
        <v>220</v>
      </c>
      <c r="C532" s="827" t="s">
        <v>13</v>
      </c>
      <c r="D532" s="863">
        <v>323.10000000000002</v>
      </c>
      <c r="E532" s="830">
        <v>0.30001714383679101</v>
      </c>
      <c r="F532" s="833">
        <v>11.49</v>
      </c>
      <c r="G532" s="831">
        <v>2024014901</v>
      </c>
      <c r="H532" s="43"/>
      <c r="I532" s="43" t="s">
        <v>86</v>
      </c>
      <c r="J532" s="49"/>
      <c r="K532" s="49"/>
      <c r="L532" s="49"/>
      <c r="M532" s="49"/>
      <c r="N532" s="49"/>
      <c r="O532" s="49"/>
      <c r="P532" s="49"/>
      <c r="Q532" s="49"/>
      <c r="R532" s="49"/>
      <c r="S532" s="49"/>
    </row>
    <row r="533" spans="1:19" ht="18.75" customHeight="1">
      <c r="A533" s="828">
        <v>7295</v>
      </c>
      <c r="B533" s="828" t="s">
        <v>221</v>
      </c>
      <c r="C533" s="827" t="s">
        <v>13</v>
      </c>
      <c r="D533" s="863">
        <v>90.92</v>
      </c>
      <c r="E533" s="830">
        <v>28</v>
      </c>
      <c r="F533" s="833">
        <v>5.75</v>
      </c>
      <c r="G533" s="831">
        <v>2024014901</v>
      </c>
      <c r="H533" s="43" t="s">
        <v>86</v>
      </c>
      <c r="I533" s="43"/>
      <c r="J533" s="49"/>
      <c r="K533" s="49"/>
      <c r="L533" s="49"/>
      <c r="M533" s="49"/>
      <c r="N533" s="49"/>
      <c r="O533" s="49"/>
      <c r="P533" s="49"/>
      <c r="Q533" s="49"/>
      <c r="R533" s="49"/>
      <c r="S533" s="49"/>
    </row>
    <row r="534" spans="1:19" ht="18.75" customHeight="1">
      <c r="A534" s="828">
        <v>7338</v>
      </c>
      <c r="B534" s="828" t="s">
        <v>249</v>
      </c>
      <c r="C534" s="827" t="s">
        <v>13</v>
      </c>
      <c r="D534" s="863"/>
      <c r="E534" s="830">
        <v>0.50008571918395295</v>
      </c>
      <c r="F534" s="833">
        <v>318.75</v>
      </c>
      <c r="G534" s="831">
        <v>2024014901</v>
      </c>
      <c r="H534" s="43" t="s">
        <v>86</v>
      </c>
      <c r="I534" s="43"/>
      <c r="J534" s="49"/>
      <c r="K534" s="49"/>
      <c r="L534" s="49"/>
      <c r="M534" s="49"/>
      <c r="N534" s="49"/>
      <c r="O534" s="49"/>
      <c r="P534" s="49"/>
      <c r="Q534" s="49"/>
      <c r="R534" s="49"/>
      <c r="S534" s="49"/>
    </row>
    <row r="535" spans="1:19" ht="18.75" customHeight="1">
      <c r="A535" s="828">
        <v>7339</v>
      </c>
      <c r="B535" s="828" t="s">
        <v>250</v>
      </c>
      <c r="C535" s="827"/>
      <c r="D535" s="49"/>
      <c r="E535" s="830"/>
      <c r="F535" s="833">
        <v>638.47</v>
      </c>
      <c r="G535" s="831">
        <v>2024014901</v>
      </c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</row>
    <row r="536" spans="1:19" ht="18.75" customHeight="1">
      <c r="A536" s="828">
        <v>7394</v>
      </c>
      <c r="B536" s="828" t="s">
        <v>290</v>
      </c>
      <c r="C536" s="827" t="s">
        <v>13</v>
      </c>
      <c r="D536" s="863">
        <v>86.05</v>
      </c>
      <c r="E536" s="830">
        <v>0.50008571918395295</v>
      </c>
      <c r="F536" s="833">
        <v>1145.8</v>
      </c>
      <c r="G536" s="831">
        <v>2024014901</v>
      </c>
      <c r="H536" s="43" t="s">
        <v>86</v>
      </c>
      <c r="I536" s="43"/>
      <c r="J536" s="49"/>
      <c r="K536" s="49"/>
      <c r="L536" s="49"/>
      <c r="M536" s="49"/>
      <c r="N536" s="49"/>
      <c r="O536" s="49"/>
      <c r="P536" s="49"/>
      <c r="Q536" s="49"/>
      <c r="R536" s="49"/>
      <c r="S536" s="49"/>
    </row>
    <row r="537" spans="1:19" ht="18.75" customHeight="1">
      <c r="A537" s="828">
        <v>7395</v>
      </c>
      <c r="B537" s="828" t="s">
        <v>291</v>
      </c>
      <c r="C537" s="827" t="s">
        <v>13</v>
      </c>
      <c r="D537" s="863"/>
      <c r="E537" s="830">
        <v>1</v>
      </c>
      <c r="F537" s="833">
        <v>716</v>
      </c>
      <c r="G537" s="831">
        <v>2024014901</v>
      </c>
      <c r="H537" s="43"/>
      <c r="I537" s="43" t="s">
        <v>86</v>
      </c>
      <c r="J537" s="49"/>
      <c r="K537" s="49"/>
      <c r="L537" s="49"/>
      <c r="M537" s="49"/>
      <c r="N537" s="49"/>
      <c r="O537" s="49"/>
      <c r="P537" s="49"/>
      <c r="Q537" s="49"/>
      <c r="R537" s="49"/>
      <c r="S537" s="49"/>
    </row>
    <row r="538" spans="1:19" ht="18.75" customHeight="1">
      <c r="A538" s="828">
        <v>7396</v>
      </c>
      <c r="B538" s="828" t="s">
        <v>292</v>
      </c>
      <c r="C538" s="827" t="s">
        <v>13</v>
      </c>
      <c r="D538" s="863"/>
      <c r="E538" s="830">
        <v>0.50008571918395295</v>
      </c>
      <c r="F538" s="833">
        <v>717.92</v>
      </c>
      <c r="G538" s="831">
        <v>2024014901</v>
      </c>
      <c r="H538" s="43" t="s">
        <v>86</v>
      </c>
      <c r="I538" s="43"/>
      <c r="J538" s="49"/>
      <c r="K538" s="49"/>
      <c r="L538" s="49"/>
      <c r="M538" s="49"/>
      <c r="N538" s="49"/>
      <c r="O538" s="49"/>
      <c r="P538" s="49"/>
      <c r="Q538" s="49"/>
      <c r="R538" s="49"/>
      <c r="S538" s="49"/>
    </row>
    <row r="539" spans="1:19" ht="18.75" customHeight="1">
      <c r="A539" s="828">
        <v>7418</v>
      </c>
      <c r="B539" s="828" t="s">
        <v>306</v>
      </c>
      <c r="C539" s="827" t="s">
        <v>13</v>
      </c>
      <c r="D539" s="863"/>
      <c r="E539" s="830">
        <v>52.369963997942698</v>
      </c>
      <c r="F539" s="833">
        <v>18.190000000000001</v>
      </c>
      <c r="G539" s="831">
        <v>2024014901</v>
      </c>
      <c r="H539" s="43" t="s">
        <v>86</v>
      </c>
      <c r="I539" s="43" t="s">
        <v>86</v>
      </c>
      <c r="J539" s="49"/>
      <c r="K539" s="49"/>
      <c r="L539" s="49"/>
      <c r="M539" s="49"/>
      <c r="N539" s="49"/>
      <c r="O539" s="49"/>
      <c r="P539" s="49"/>
      <c r="Q539" s="49"/>
      <c r="R539" s="49"/>
      <c r="S539" s="49"/>
    </row>
    <row r="540" spans="1:19" ht="18.75" customHeight="1">
      <c r="A540" s="828">
        <v>7423</v>
      </c>
      <c r="B540" s="828" t="s">
        <v>313</v>
      </c>
      <c r="C540" s="827"/>
      <c r="D540" s="49"/>
      <c r="E540" s="830"/>
      <c r="F540" s="833">
        <v>286.20999999999998</v>
      </c>
      <c r="G540" s="831">
        <v>2024014901</v>
      </c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</row>
    <row r="541" spans="1:19" ht="18.75" customHeight="1">
      <c r="A541" s="828">
        <v>7426</v>
      </c>
      <c r="B541" s="828" t="s">
        <v>315</v>
      </c>
      <c r="C541" s="827" t="s">
        <v>13</v>
      </c>
      <c r="D541" s="863">
        <v>324.72000000000003</v>
      </c>
      <c r="E541" s="830">
        <v>0.30001714383679101</v>
      </c>
      <c r="F541" s="833">
        <v>286.20999999999998</v>
      </c>
      <c r="G541" s="831">
        <v>2024014901</v>
      </c>
      <c r="H541" s="43"/>
      <c r="I541" s="43" t="s">
        <v>86</v>
      </c>
      <c r="J541" s="49"/>
      <c r="K541" s="49"/>
      <c r="L541" s="49"/>
      <c r="M541" s="49"/>
      <c r="N541" s="49"/>
      <c r="O541" s="49"/>
      <c r="P541" s="49"/>
      <c r="Q541" s="49"/>
      <c r="R541" s="49"/>
      <c r="S541" s="49"/>
    </row>
    <row r="542" spans="1:19" ht="18.75" customHeight="1">
      <c r="A542" s="828">
        <v>7429</v>
      </c>
      <c r="B542" s="828" t="s">
        <v>314</v>
      </c>
      <c r="C542" s="827"/>
      <c r="D542" s="49"/>
      <c r="E542" s="830"/>
      <c r="F542" s="833">
        <v>717.92</v>
      </c>
      <c r="G542" s="831">
        <v>2024014901</v>
      </c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</row>
    <row r="543" spans="1:19" ht="18.75" customHeight="1">
      <c r="A543" s="828">
        <v>7524</v>
      </c>
      <c r="B543" s="828" t="s">
        <v>367</v>
      </c>
      <c r="C543" s="827" t="s">
        <v>13</v>
      </c>
      <c r="D543" s="863"/>
      <c r="E543" s="830">
        <v>23</v>
      </c>
      <c r="F543" s="833">
        <v>250.79</v>
      </c>
      <c r="G543" s="831">
        <v>2024014901</v>
      </c>
      <c r="H543" s="43" t="s">
        <v>86</v>
      </c>
      <c r="I543" s="43"/>
      <c r="J543" s="49"/>
      <c r="K543" s="49"/>
      <c r="L543" s="49"/>
      <c r="M543" s="49"/>
      <c r="N543" s="49"/>
      <c r="O543" s="49"/>
      <c r="P543" s="49"/>
      <c r="Q543" s="49"/>
      <c r="R543" s="49"/>
      <c r="S543" s="49"/>
    </row>
    <row r="544" spans="1:19" ht="18.75" customHeight="1">
      <c r="A544" s="828">
        <v>7531</v>
      </c>
      <c r="B544" s="828" t="s">
        <v>368</v>
      </c>
      <c r="C544" s="827" t="s">
        <v>13</v>
      </c>
      <c r="D544" s="863">
        <v>168.85</v>
      </c>
      <c r="E544" s="830">
        <v>28</v>
      </c>
      <c r="F544" s="833">
        <v>627.94000000000005</v>
      </c>
      <c r="G544" s="831">
        <v>2024014901</v>
      </c>
      <c r="H544" s="43" t="s">
        <v>86</v>
      </c>
      <c r="I544" s="43"/>
      <c r="J544" s="49"/>
      <c r="K544" s="49"/>
      <c r="L544" s="49"/>
      <c r="M544" s="49"/>
      <c r="N544" s="49"/>
      <c r="O544" s="49"/>
      <c r="P544" s="49"/>
      <c r="Q544" s="49"/>
      <c r="R544" s="49"/>
      <c r="S544" s="49"/>
    </row>
    <row r="545" spans="1:19" ht="18.75" customHeight="1">
      <c r="A545" s="828">
        <v>7540</v>
      </c>
      <c r="B545" s="828" t="s">
        <v>371</v>
      </c>
      <c r="C545" s="827"/>
      <c r="D545" s="49"/>
      <c r="E545" s="830"/>
      <c r="F545" s="833">
        <v>175.17</v>
      </c>
      <c r="G545" s="831">
        <v>2024014901</v>
      </c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</row>
    <row r="546" spans="1:19" ht="18.75" customHeight="1">
      <c r="A546" s="828">
        <v>7558</v>
      </c>
      <c r="B546" s="828" t="s">
        <v>383</v>
      </c>
      <c r="C546" s="827"/>
      <c r="D546" s="49"/>
      <c r="E546" s="830"/>
      <c r="F546" s="833">
        <v>180.92</v>
      </c>
      <c r="G546" s="831">
        <v>2024014901</v>
      </c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</row>
    <row r="547" spans="1:19" ht="18.75" customHeight="1">
      <c r="A547" s="828">
        <v>7580</v>
      </c>
      <c r="B547" s="828" t="s">
        <v>387</v>
      </c>
      <c r="C547" s="827" t="s">
        <v>13</v>
      </c>
      <c r="D547" s="863">
        <v>150.99</v>
      </c>
      <c r="E547" s="830">
        <v>4.3300188582204697</v>
      </c>
      <c r="F547" s="833">
        <v>1003.16</v>
      </c>
      <c r="G547" s="831">
        <v>2024014901</v>
      </c>
      <c r="H547" s="43" t="s">
        <v>86</v>
      </c>
      <c r="I547" s="43"/>
      <c r="J547" s="49"/>
      <c r="K547" s="49"/>
      <c r="L547" s="49"/>
      <c r="M547" s="49"/>
      <c r="N547" s="49"/>
      <c r="O547" s="49"/>
      <c r="P547" s="49"/>
      <c r="Q547" s="49"/>
      <c r="R547" s="49"/>
      <c r="S547" s="49"/>
    </row>
    <row r="548" spans="1:19" ht="18.75" customHeight="1">
      <c r="A548" s="828">
        <v>7582</v>
      </c>
      <c r="B548" s="828" t="s">
        <v>388</v>
      </c>
      <c r="C548" s="827"/>
      <c r="D548" s="49"/>
      <c r="E548" s="830"/>
      <c r="F548" s="833">
        <v>626.97</v>
      </c>
      <c r="G548" s="831">
        <v>2024014901</v>
      </c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</row>
    <row r="549" spans="1:19" ht="18.75" customHeight="1">
      <c r="A549" s="828">
        <v>7584</v>
      </c>
      <c r="B549" s="828" t="s">
        <v>389</v>
      </c>
      <c r="C549" s="827" t="s">
        <v>13</v>
      </c>
      <c r="D549" s="863">
        <f>E549*42</f>
        <v>6.3003600205725903</v>
      </c>
      <c r="E549" s="830">
        <v>0.15000857191839501</v>
      </c>
      <c r="F549" s="833">
        <v>201.03</v>
      </c>
      <c r="G549" s="831">
        <v>2024014901</v>
      </c>
      <c r="H549" s="43"/>
      <c r="I549" s="43" t="s">
        <v>86</v>
      </c>
      <c r="J549" s="49"/>
      <c r="K549" s="49"/>
      <c r="L549" s="49"/>
      <c r="M549" s="49"/>
      <c r="N549" s="49"/>
      <c r="O549" s="49"/>
      <c r="P549" s="49"/>
      <c r="Q549" s="49"/>
      <c r="R549" s="49"/>
      <c r="S549" s="49"/>
    </row>
    <row r="550" spans="1:19" ht="18.75" customHeight="1">
      <c r="A550" s="828">
        <v>7592</v>
      </c>
      <c r="B550" s="828" t="s">
        <v>394</v>
      </c>
      <c r="C550" s="827" t="s">
        <v>13</v>
      </c>
      <c r="D550" s="863">
        <v>129.88999999999999</v>
      </c>
      <c r="E550" s="830">
        <v>1</v>
      </c>
      <c r="F550" s="833">
        <v>250.79</v>
      </c>
      <c r="G550" s="831">
        <v>2024014901</v>
      </c>
      <c r="H550" s="43"/>
      <c r="I550" s="43" t="s">
        <v>86</v>
      </c>
      <c r="J550" s="49"/>
      <c r="K550" s="49"/>
      <c r="L550" s="49"/>
      <c r="M550" s="49"/>
      <c r="N550" s="49"/>
      <c r="O550" s="49"/>
      <c r="P550" s="49"/>
      <c r="Q550" s="49"/>
      <c r="R550" s="49"/>
      <c r="S550" s="49"/>
    </row>
    <row r="551" spans="1:19" ht="18.75" customHeight="1">
      <c r="A551" s="828">
        <v>7595</v>
      </c>
      <c r="B551" s="828" t="s">
        <v>403</v>
      </c>
      <c r="C551" s="827"/>
      <c r="D551" s="49"/>
      <c r="E551" s="830"/>
      <c r="F551" s="833">
        <v>44.03</v>
      </c>
      <c r="G551" s="831">
        <v>2024014901</v>
      </c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</row>
    <row r="552" spans="1:19" ht="18.75" customHeight="1">
      <c r="A552" s="828">
        <v>7635</v>
      </c>
      <c r="B552" s="828" t="s">
        <v>429</v>
      </c>
      <c r="C552" s="827" t="s">
        <v>13</v>
      </c>
      <c r="D552" s="863"/>
      <c r="E552" s="830">
        <v>0.18995371164066499</v>
      </c>
      <c r="F552" s="833">
        <v>67</v>
      </c>
      <c r="G552" s="831">
        <v>2024014901</v>
      </c>
      <c r="H552" s="43" t="s">
        <v>86</v>
      </c>
      <c r="I552" s="43"/>
      <c r="J552" s="49"/>
      <c r="K552" s="49"/>
      <c r="L552" s="49"/>
      <c r="M552" s="49"/>
      <c r="N552" s="49"/>
      <c r="O552" s="49"/>
      <c r="P552" s="49"/>
      <c r="Q552" s="49"/>
      <c r="R552" s="49"/>
      <c r="S552" s="49"/>
    </row>
    <row r="553" spans="1:19" ht="18.75" customHeight="1">
      <c r="A553" s="828">
        <v>7640</v>
      </c>
      <c r="B553" s="828" t="s">
        <v>433</v>
      </c>
      <c r="C553" s="827"/>
      <c r="D553" s="49"/>
      <c r="E553" s="830"/>
      <c r="F553" s="833">
        <v>19.14</v>
      </c>
      <c r="G553" s="831">
        <v>2024014901</v>
      </c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</row>
    <row r="554" spans="1:19" ht="18.75" customHeight="1">
      <c r="A554" s="828">
        <v>7801</v>
      </c>
      <c r="B554" s="828" t="s">
        <v>87</v>
      </c>
      <c r="C554" s="827"/>
      <c r="D554" s="49"/>
      <c r="E554" s="830"/>
      <c r="F554" s="833">
        <v>1148.67</v>
      </c>
      <c r="G554" s="831">
        <v>2024014901</v>
      </c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</row>
    <row r="555" spans="1:19" ht="18.75" customHeight="1">
      <c r="A555" s="828">
        <v>7886</v>
      </c>
      <c r="B555" s="828" t="s">
        <v>822</v>
      </c>
      <c r="C555" s="827" t="s">
        <v>13</v>
      </c>
      <c r="D555" s="863">
        <v>310.11</v>
      </c>
      <c r="E555" s="830">
        <v>3.5499742842448101</v>
      </c>
      <c r="F555" s="833">
        <v>87.89</v>
      </c>
      <c r="G555" s="831">
        <v>2024014901</v>
      </c>
      <c r="H555" s="43" t="s">
        <v>86</v>
      </c>
      <c r="I555" s="43"/>
      <c r="J555" s="49"/>
      <c r="K555" s="49"/>
      <c r="L555" s="49"/>
      <c r="M555" s="49"/>
      <c r="N555" s="49"/>
      <c r="O555" s="49"/>
      <c r="P555" s="49"/>
      <c r="Q555" s="49"/>
      <c r="R555" s="49"/>
      <c r="S555" s="49"/>
    </row>
    <row r="556" spans="1:19" ht="18.75" customHeight="1">
      <c r="A556" s="828">
        <v>7895</v>
      </c>
      <c r="B556" s="828" t="s">
        <v>957</v>
      </c>
      <c r="C556" s="827"/>
      <c r="D556" s="49"/>
      <c r="E556" s="830"/>
      <c r="F556" s="833">
        <v>146.26</v>
      </c>
      <c r="G556" s="831">
        <v>2024014901</v>
      </c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</row>
    <row r="557" spans="1:19" ht="18.75" customHeight="1">
      <c r="A557" s="828">
        <v>7896</v>
      </c>
      <c r="B557" s="828" t="s">
        <v>905</v>
      </c>
      <c r="C557" s="827"/>
      <c r="D557" s="49"/>
      <c r="E557" s="830"/>
      <c r="F557" s="833">
        <v>134.97</v>
      </c>
      <c r="G557" s="831">
        <v>2024014901</v>
      </c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</row>
    <row r="558" spans="1:19" ht="18.75" customHeight="1">
      <c r="A558" s="828">
        <v>7953</v>
      </c>
      <c r="B558" s="828" t="s">
        <v>917</v>
      </c>
      <c r="C558" s="827" t="s">
        <v>13</v>
      </c>
      <c r="D558" s="863"/>
      <c r="E558" s="830">
        <v>3</v>
      </c>
      <c r="F558" s="833">
        <v>150.66999999999999</v>
      </c>
      <c r="G558" s="831">
        <v>2024014901</v>
      </c>
      <c r="H558" s="43"/>
      <c r="I558" s="43" t="s">
        <v>86</v>
      </c>
      <c r="J558" s="49"/>
      <c r="K558" s="49"/>
      <c r="L558" s="49"/>
      <c r="M558" s="49"/>
      <c r="N558" s="49"/>
      <c r="O558" s="49"/>
      <c r="P558" s="49"/>
      <c r="Q558" s="49"/>
      <c r="R558" s="49"/>
      <c r="S558" s="49"/>
    </row>
    <row r="559" spans="1:19" ht="18.75" customHeight="1">
      <c r="A559" s="828">
        <v>7954</v>
      </c>
      <c r="B559" s="828" t="s">
        <v>803</v>
      </c>
      <c r="C559" s="827"/>
      <c r="D559" s="49"/>
      <c r="E559" s="830"/>
      <c r="F559" s="833">
        <v>150.66999999999999</v>
      </c>
      <c r="G559" s="831">
        <v>2024014901</v>
      </c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</row>
    <row r="560" spans="1:19" ht="18.75" customHeight="1">
      <c r="A560" s="828">
        <v>8091</v>
      </c>
      <c r="B560" s="828" t="s">
        <v>339</v>
      </c>
      <c r="C560" s="827"/>
      <c r="D560" s="49"/>
      <c r="E560" s="830"/>
      <c r="F560" s="833">
        <v>38.28</v>
      </c>
      <c r="G560" s="831">
        <v>2024014901</v>
      </c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</row>
    <row r="561" spans="1:19" ht="18.75" customHeight="1">
      <c r="A561" s="828">
        <v>8771</v>
      </c>
      <c r="B561" s="828" t="s">
        <v>940</v>
      </c>
      <c r="C561" s="827"/>
      <c r="D561" s="49"/>
      <c r="E561" s="830"/>
      <c r="F561" s="833">
        <v>373.54</v>
      </c>
      <c r="G561" s="831">
        <v>2024014901</v>
      </c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</row>
    <row r="562" spans="1:19" ht="18.75" customHeight="1">
      <c r="A562" s="828">
        <v>9433</v>
      </c>
      <c r="B562" s="828" t="s">
        <v>113</v>
      </c>
      <c r="C562" s="827"/>
      <c r="D562" s="49"/>
      <c r="E562" s="830"/>
      <c r="F562" s="833">
        <v>382.89</v>
      </c>
      <c r="G562" s="831">
        <v>2024014901</v>
      </c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</row>
    <row r="563" spans="1:19" ht="18.75" customHeight="1">
      <c r="A563" s="828">
        <v>10521</v>
      </c>
      <c r="B563" s="828" t="s">
        <v>437</v>
      </c>
      <c r="C563" s="827" t="s">
        <v>13</v>
      </c>
      <c r="D563" s="863"/>
      <c r="E563" s="830">
        <v>20.300017143836801</v>
      </c>
      <c r="F563" s="833">
        <v>32.549999999999997</v>
      </c>
      <c r="G563" s="831">
        <v>2024014901</v>
      </c>
      <c r="H563" s="43" t="s">
        <v>86</v>
      </c>
      <c r="I563" s="43" t="s">
        <v>86</v>
      </c>
      <c r="J563" s="49"/>
      <c r="K563" s="49"/>
      <c r="L563" s="49"/>
      <c r="M563" s="49"/>
      <c r="N563" s="49"/>
      <c r="O563" s="49"/>
      <c r="P563" s="49"/>
      <c r="Q563" s="49"/>
      <c r="R563" s="49"/>
      <c r="S563" s="49"/>
    </row>
    <row r="564" spans="1:19" ht="18.75" customHeight="1">
      <c r="A564" s="828">
        <v>10996</v>
      </c>
      <c r="B564" s="828" t="s">
        <v>960</v>
      </c>
      <c r="C564" s="827" t="s">
        <v>13</v>
      </c>
      <c r="D564" s="863"/>
      <c r="E564" s="830">
        <v>26.599862849305701</v>
      </c>
      <c r="F564" s="833">
        <v>141.26</v>
      </c>
      <c r="G564" s="831">
        <v>2024014901</v>
      </c>
      <c r="H564" s="43" t="s">
        <v>86</v>
      </c>
      <c r="I564" s="43" t="s">
        <v>86</v>
      </c>
      <c r="J564" s="49"/>
      <c r="K564" s="49"/>
      <c r="L564" s="49"/>
      <c r="M564" s="49"/>
      <c r="N564" s="49"/>
      <c r="O564" s="49"/>
      <c r="P564" s="49"/>
      <c r="Q564" s="49"/>
      <c r="R564" s="49"/>
      <c r="S564" s="49"/>
    </row>
    <row r="565" spans="1:19" ht="18.75" customHeight="1">
      <c r="A565" s="828">
        <v>26376</v>
      </c>
      <c r="B565" s="828" t="s">
        <v>452</v>
      </c>
      <c r="C565" s="827"/>
      <c r="D565" s="49"/>
      <c r="E565" s="830"/>
      <c r="F565" s="833">
        <v>1</v>
      </c>
      <c r="G565" s="831">
        <v>2024014901</v>
      </c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</row>
    <row r="566" spans="1:19" ht="18.75" customHeight="1">
      <c r="A566" s="828">
        <v>60163</v>
      </c>
      <c r="B566" s="828" t="s">
        <v>784</v>
      </c>
      <c r="C566" s="827" t="s">
        <v>105</v>
      </c>
      <c r="D566" s="863">
        <v>92.55</v>
      </c>
      <c r="E566" s="830">
        <v>0.50008571918395295</v>
      </c>
      <c r="F566" s="833">
        <v>1</v>
      </c>
      <c r="G566" s="831">
        <v>2024014901</v>
      </c>
      <c r="H566" s="43"/>
      <c r="I566" s="43" t="s">
        <v>86</v>
      </c>
      <c r="J566" s="49"/>
      <c r="K566" s="49"/>
      <c r="L566" s="49"/>
      <c r="M566" s="49"/>
      <c r="N566" s="49"/>
      <c r="O566" s="49"/>
      <c r="P566" s="49"/>
      <c r="Q566" s="49"/>
      <c r="R566" s="49"/>
      <c r="S566" s="49"/>
    </row>
    <row r="567" spans="1:19" ht="18.75" customHeight="1">
      <c r="A567" s="828">
        <v>67000</v>
      </c>
      <c r="B567" s="828" t="s">
        <v>1156</v>
      </c>
      <c r="C567" s="827" t="s">
        <v>13</v>
      </c>
      <c r="D567" s="863">
        <v>81.180000000000007</v>
      </c>
      <c r="E567" s="830">
        <v>0.50008571918395295</v>
      </c>
      <c r="F567" s="833">
        <v>574.33000000000004</v>
      </c>
      <c r="G567" s="831">
        <v>2024014901</v>
      </c>
      <c r="H567" s="43"/>
      <c r="I567" s="43" t="s">
        <v>86</v>
      </c>
      <c r="J567" s="49"/>
      <c r="K567" s="49"/>
      <c r="L567" s="49"/>
      <c r="M567" s="49"/>
      <c r="N567" s="49"/>
      <c r="O567" s="49"/>
      <c r="P567" s="49"/>
      <c r="Q567" s="49"/>
      <c r="R567" s="49"/>
      <c r="S567" s="49"/>
    </row>
    <row r="568" spans="1:19" ht="18.75" customHeight="1">
      <c r="A568" s="828">
        <v>91023</v>
      </c>
      <c r="B568" s="828" t="s">
        <v>937</v>
      </c>
      <c r="C568" s="827" t="s">
        <v>13</v>
      </c>
      <c r="D568" s="863">
        <v>207.82</v>
      </c>
      <c r="E568" s="830">
        <v>0.50008571918395295</v>
      </c>
      <c r="F568" s="833">
        <v>10.53</v>
      </c>
      <c r="G568" s="831">
        <v>2024014901</v>
      </c>
      <c r="H568" s="43"/>
      <c r="I568" s="43" t="s">
        <v>86</v>
      </c>
      <c r="J568" s="49"/>
      <c r="K568" s="49"/>
      <c r="L568" s="49"/>
      <c r="M568" s="49"/>
      <c r="N568" s="49"/>
      <c r="O568" s="49"/>
      <c r="P568" s="49"/>
      <c r="Q568" s="49"/>
      <c r="R568" s="49"/>
      <c r="S568" s="49"/>
    </row>
    <row r="569" spans="1:19" ht="18.75" customHeight="1">
      <c r="A569" s="828">
        <v>91024</v>
      </c>
      <c r="B569" s="828" t="s">
        <v>880</v>
      </c>
      <c r="C569" s="827" t="s">
        <v>13</v>
      </c>
      <c r="D569" s="863"/>
      <c r="E569" s="830">
        <v>3.3800788616492401</v>
      </c>
      <c r="F569" s="833">
        <v>12.44</v>
      </c>
      <c r="G569" s="831">
        <v>2024014901</v>
      </c>
      <c r="H569" s="43" t="s">
        <v>86</v>
      </c>
      <c r="I569" s="43"/>
      <c r="J569" s="49"/>
      <c r="K569" s="49"/>
      <c r="L569" s="49"/>
      <c r="M569" s="49"/>
      <c r="N569" s="49"/>
      <c r="O569" s="49"/>
      <c r="P569" s="49"/>
      <c r="Q569" s="49"/>
      <c r="R569" s="49"/>
      <c r="S569" s="49"/>
    </row>
    <row r="570" spans="1:19" ht="18.75" customHeight="1">
      <c r="A570" s="828">
        <v>92320</v>
      </c>
      <c r="B570" s="828" t="s">
        <v>931</v>
      </c>
      <c r="C570" s="827" t="s">
        <v>13</v>
      </c>
      <c r="D570" s="863">
        <v>56.83</v>
      </c>
      <c r="E570" s="830">
        <v>9.9948568489628006E-2</v>
      </c>
      <c r="F570" s="833">
        <v>14.36</v>
      </c>
      <c r="G570" s="831">
        <v>2024014901</v>
      </c>
      <c r="H570" s="43" t="s">
        <v>86</v>
      </c>
      <c r="I570" s="43"/>
      <c r="J570" s="49"/>
      <c r="K570" s="49"/>
      <c r="L570" s="49"/>
      <c r="M570" s="49"/>
      <c r="N570" s="49"/>
      <c r="O570" s="49"/>
      <c r="P570" s="49"/>
      <c r="Q570" s="49"/>
      <c r="R570" s="49"/>
      <c r="S570" s="49"/>
    </row>
    <row r="571" spans="1:19" ht="18.75" customHeight="1">
      <c r="A571" s="828">
        <v>92321</v>
      </c>
      <c r="B571" s="828" t="s">
        <v>809</v>
      </c>
      <c r="C571" s="827" t="s">
        <v>13</v>
      </c>
      <c r="D571" s="863"/>
      <c r="E571" s="830">
        <v>26.599862849305701</v>
      </c>
      <c r="F571" s="833">
        <v>194.61</v>
      </c>
      <c r="G571" s="831">
        <v>2024014901</v>
      </c>
      <c r="H571" s="43" t="s">
        <v>86</v>
      </c>
      <c r="I571" s="43" t="s">
        <v>86</v>
      </c>
      <c r="J571" s="49"/>
      <c r="K571" s="49"/>
      <c r="L571" s="49"/>
      <c r="M571" s="49"/>
      <c r="N571" s="49"/>
      <c r="O571" s="49"/>
      <c r="P571" s="49"/>
      <c r="Q571" s="49"/>
      <c r="R571" s="49"/>
      <c r="S571" s="49"/>
    </row>
    <row r="572" spans="1:19" ht="18.75" customHeight="1">
      <c r="A572" s="828">
        <v>92322</v>
      </c>
      <c r="B572" s="828" t="s">
        <v>846</v>
      </c>
      <c r="C572" s="827" t="s">
        <v>13</v>
      </c>
      <c r="D572" s="863">
        <v>60.07</v>
      </c>
      <c r="E572" s="830">
        <v>1.5000857191839501</v>
      </c>
      <c r="F572" s="833">
        <v>3.14</v>
      </c>
      <c r="G572" s="831">
        <v>2024014901</v>
      </c>
      <c r="H572" s="43" t="s">
        <v>86</v>
      </c>
      <c r="I572" s="43"/>
      <c r="J572" s="49"/>
      <c r="K572" s="49"/>
      <c r="L572" s="49"/>
      <c r="M572" s="49"/>
      <c r="N572" s="49"/>
      <c r="O572" s="49"/>
      <c r="P572" s="49"/>
      <c r="Q572" s="49"/>
      <c r="R572" s="49"/>
      <c r="S572" s="49"/>
    </row>
    <row r="573" spans="1:19" ht="18.75" customHeight="1">
      <c r="A573" s="828">
        <v>92323</v>
      </c>
      <c r="B573" s="828" t="s">
        <v>844</v>
      </c>
      <c r="C573" s="827" t="s">
        <v>13</v>
      </c>
      <c r="D573" s="863">
        <v>81.180000000000007</v>
      </c>
      <c r="E573" s="830">
        <v>11</v>
      </c>
      <c r="F573" s="833">
        <v>269.95</v>
      </c>
      <c r="G573" s="831">
        <v>2024014901</v>
      </c>
      <c r="H573" s="43" t="s">
        <v>86</v>
      </c>
      <c r="I573" s="43"/>
      <c r="J573" s="49"/>
      <c r="K573" s="49"/>
      <c r="L573" s="49"/>
      <c r="M573" s="49"/>
      <c r="N573" s="49"/>
      <c r="O573" s="49"/>
      <c r="P573" s="49"/>
      <c r="Q573" s="49"/>
      <c r="R573" s="49"/>
      <c r="S573" s="49"/>
    </row>
    <row r="574" spans="1:19" ht="18.75" customHeight="1">
      <c r="A574" s="828">
        <v>92324</v>
      </c>
      <c r="B574" s="828" t="s">
        <v>845</v>
      </c>
      <c r="C574" s="827"/>
      <c r="D574" s="49"/>
      <c r="E574" s="830"/>
      <c r="F574" s="833">
        <v>87.11</v>
      </c>
      <c r="G574" s="831">
        <v>2024014901</v>
      </c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</row>
    <row r="575" spans="1:19" ht="18.75" customHeight="1">
      <c r="A575" s="828">
        <v>92325</v>
      </c>
      <c r="B575" s="828" t="s">
        <v>932</v>
      </c>
      <c r="C575" s="827" t="s">
        <v>13</v>
      </c>
      <c r="D575" s="863">
        <v>129.88999999999999</v>
      </c>
      <c r="E575" s="830">
        <v>6.0003428767358098E-2</v>
      </c>
      <c r="F575" s="833">
        <v>1.92</v>
      </c>
      <c r="G575" s="831">
        <v>2024014901</v>
      </c>
      <c r="H575" s="43"/>
      <c r="I575" s="43" t="s">
        <v>86</v>
      </c>
      <c r="J575" s="49"/>
      <c r="K575" s="49"/>
      <c r="L575" s="49"/>
      <c r="M575" s="49"/>
      <c r="N575" s="49"/>
      <c r="O575" s="49"/>
      <c r="P575" s="49"/>
      <c r="Q575" s="49"/>
      <c r="R575" s="49"/>
      <c r="S575" s="49"/>
    </row>
    <row r="576" spans="1:19" ht="18.75" customHeight="1">
      <c r="A576" s="828">
        <v>92327</v>
      </c>
      <c r="B576" s="828" t="s">
        <v>875</v>
      </c>
      <c r="C576" s="827" t="s">
        <v>13</v>
      </c>
      <c r="D576" s="863">
        <v>32.47</v>
      </c>
      <c r="E576" s="830">
        <v>0.50008571918395295</v>
      </c>
      <c r="F576" s="833">
        <v>235.47</v>
      </c>
      <c r="G576" s="831">
        <v>2024014901</v>
      </c>
      <c r="H576" s="43" t="s">
        <v>86</v>
      </c>
      <c r="I576" s="43"/>
      <c r="J576" s="49"/>
      <c r="K576" s="49"/>
      <c r="L576" s="49"/>
      <c r="M576" s="49"/>
      <c r="N576" s="49"/>
      <c r="O576" s="49"/>
      <c r="P576" s="49"/>
      <c r="Q576" s="49"/>
      <c r="R576" s="49"/>
      <c r="S576" s="49"/>
    </row>
    <row r="577" spans="1:19" ht="18.75" customHeight="1">
      <c r="A577" s="828">
        <v>92328</v>
      </c>
      <c r="B577" s="828" t="s">
        <v>961</v>
      </c>
      <c r="C577" s="827" t="s">
        <v>13</v>
      </c>
      <c r="D577" s="863"/>
      <c r="E577" s="830">
        <v>2.5000857191839501</v>
      </c>
      <c r="F577" s="833">
        <v>219.72</v>
      </c>
      <c r="G577" s="831">
        <v>2024014901</v>
      </c>
      <c r="H577" s="43" t="s">
        <v>86</v>
      </c>
      <c r="I577" s="43"/>
      <c r="J577" s="49"/>
      <c r="K577" s="49"/>
      <c r="L577" s="49"/>
      <c r="M577" s="49"/>
      <c r="N577" s="49"/>
      <c r="O577" s="49"/>
      <c r="P577" s="49"/>
      <c r="Q577" s="49"/>
      <c r="R577" s="49"/>
      <c r="S577" s="49"/>
    </row>
    <row r="578" spans="1:19" ht="18.75" customHeight="1">
      <c r="A578" s="828">
        <v>92329</v>
      </c>
      <c r="B578" s="828" t="s">
        <v>819</v>
      </c>
      <c r="C578" s="827" t="s">
        <v>13</v>
      </c>
      <c r="D578" s="863">
        <v>113.65</v>
      </c>
      <c r="E578" s="830">
        <v>0.20006857534716299</v>
      </c>
      <c r="F578" s="833">
        <v>408.07</v>
      </c>
      <c r="G578" s="831">
        <v>2024014901</v>
      </c>
      <c r="H578" s="43"/>
      <c r="I578" s="43" t="s">
        <v>86</v>
      </c>
      <c r="J578" s="49"/>
      <c r="K578" s="49"/>
      <c r="L578" s="49"/>
      <c r="M578" s="49"/>
      <c r="N578" s="49"/>
      <c r="O578" s="49"/>
      <c r="P578" s="49"/>
      <c r="Q578" s="49"/>
      <c r="R578" s="49"/>
      <c r="S578" s="49"/>
    </row>
    <row r="579" spans="1:19" ht="18.75" customHeight="1">
      <c r="A579" s="828">
        <v>92330</v>
      </c>
      <c r="B579" s="828" t="s">
        <v>860</v>
      </c>
      <c r="C579" s="827" t="s">
        <v>13</v>
      </c>
      <c r="D579" s="863">
        <v>168.85</v>
      </c>
      <c r="E579" s="830">
        <v>1</v>
      </c>
      <c r="F579" s="833">
        <v>408.07</v>
      </c>
      <c r="G579" s="831">
        <v>2024014901</v>
      </c>
      <c r="H579" s="43" t="s">
        <v>86</v>
      </c>
      <c r="I579" s="43"/>
      <c r="J579" s="49"/>
      <c r="K579" s="49"/>
      <c r="L579" s="49"/>
      <c r="M579" s="49"/>
      <c r="N579" s="49"/>
      <c r="O579" s="49"/>
      <c r="P579" s="49"/>
      <c r="Q579" s="49"/>
      <c r="R579" s="49"/>
      <c r="S579" s="49"/>
    </row>
    <row r="580" spans="1:19" ht="18.75" customHeight="1">
      <c r="A580" s="828">
        <v>92331</v>
      </c>
      <c r="B580" s="828" t="s">
        <v>945</v>
      </c>
      <c r="C580" s="827" t="s">
        <v>13</v>
      </c>
      <c r="D580" s="863">
        <v>730.62</v>
      </c>
      <c r="E580" s="830">
        <v>3</v>
      </c>
      <c r="F580" s="833">
        <v>172.64</v>
      </c>
      <c r="G580" s="831">
        <v>2024014901</v>
      </c>
      <c r="H580" s="43"/>
      <c r="I580" s="43" t="s">
        <v>86</v>
      </c>
      <c r="J580" s="49"/>
      <c r="K580" s="49"/>
      <c r="L580" s="49"/>
      <c r="M580" s="49"/>
      <c r="N580" s="49"/>
      <c r="O580" s="49"/>
      <c r="P580" s="49"/>
      <c r="Q580" s="49"/>
      <c r="R580" s="49"/>
      <c r="S580" s="49"/>
    </row>
    <row r="581" spans="1:19" ht="18.75" customHeight="1">
      <c r="A581" s="828">
        <v>92525</v>
      </c>
      <c r="B581" s="828" t="s">
        <v>897</v>
      </c>
      <c r="C581" s="827" t="s">
        <v>13</v>
      </c>
      <c r="D581" s="863">
        <v>16.239999999999998</v>
      </c>
      <c r="E581" s="830">
        <v>0.50008571918395295</v>
      </c>
      <c r="F581" s="833">
        <v>1</v>
      </c>
      <c r="G581" s="831">
        <v>2021014001</v>
      </c>
      <c r="H581" s="43" t="s">
        <v>86</v>
      </c>
      <c r="I581" s="43"/>
      <c r="J581" s="49"/>
      <c r="K581" s="49"/>
      <c r="L581" s="49"/>
      <c r="M581" s="49"/>
      <c r="N581" s="49"/>
      <c r="O581" s="49"/>
      <c r="P581" s="49"/>
      <c r="Q581" s="49"/>
      <c r="R581" s="49"/>
      <c r="S581" s="49"/>
    </row>
    <row r="582" spans="1:19" ht="18.75" customHeight="1">
      <c r="A582" s="50"/>
      <c r="B582" s="49"/>
      <c r="C582" s="50"/>
      <c r="D582" s="49"/>
      <c r="E582" s="51"/>
      <c r="F582" s="776"/>
      <c r="G582" s="52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</row>
    <row r="583" spans="1:19" ht="18.75" customHeight="1">
      <c r="A583" s="50"/>
      <c r="B583" s="49"/>
      <c r="C583" s="50"/>
      <c r="D583" s="49"/>
      <c r="E583" s="51"/>
      <c r="F583" s="776"/>
      <c r="G583" s="52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</row>
    <row r="584" spans="1:19" ht="18.75" customHeight="1">
      <c r="A584" s="50"/>
      <c r="B584" s="49"/>
      <c r="C584" s="50"/>
      <c r="D584" s="49"/>
      <c r="E584" s="51"/>
      <c r="F584" s="776"/>
      <c r="G584" s="52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</row>
    <row r="585" spans="1:19" ht="18.75" customHeight="1">
      <c r="A585" s="50"/>
      <c r="B585" s="49"/>
      <c r="C585" s="50"/>
      <c r="D585" s="49"/>
      <c r="E585" s="51"/>
      <c r="F585" s="776"/>
      <c r="G585" s="52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</row>
    <row r="586" spans="1:19" ht="18.75" customHeight="1">
      <c r="A586" s="50"/>
      <c r="B586" s="49"/>
      <c r="C586" s="50"/>
      <c r="D586" s="49"/>
      <c r="E586" s="51"/>
      <c r="F586" s="776"/>
      <c r="G586" s="52"/>
      <c r="H586" s="49"/>
      <c r="I586" s="49"/>
      <c r="J586" s="49"/>
      <c r="K586" s="49"/>
      <c r="L586" s="49">
        <v>0.34</v>
      </c>
      <c r="M586" s="49">
        <v>119.62</v>
      </c>
      <c r="N586" s="49">
        <f>L586*M586</f>
        <v>40.670800000000007</v>
      </c>
      <c r="O586" s="49"/>
      <c r="P586" s="49"/>
      <c r="Q586" s="49"/>
      <c r="R586" s="49"/>
      <c r="S586" s="49"/>
    </row>
    <row r="587" spans="1:19" ht="18.75" customHeight="1">
      <c r="A587" s="50"/>
      <c r="B587" s="49"/>
      <c r="C587" s="50"/>
      <c r="D587" s="49"/>
      <c r="E587" s="51"/>
      <c r="F587" s="776"/>
      <c r="G587" s="52"/>
      <c r="H587" s="49"/>
      <c r="I587" s="49"/>
      <c r="J587" s="49"/>
      <c r="K587" s="49"/>
      <c r="L587" s="49">
        <v>0.34</v>
      </c>
      <c r="M587" s="49">
        <v>347.78</v>
      </c>
      <c r="N587" s="49">
        <f>L587*M587</f>
        <v>118.2452</v>
      </c>
      <c r="O587" s="49"/>
      <c r="P587" s="49"/>
      <c r="Q587" s="49"/>
      <c r="R587" s="49"/>
      <c r="S587" s="49"/>
    </row>
    <row r="588" spans="1:19" ht="18.75" customHeight="1">
      <c r="A588" s="50"/>
      <c r="B588" s="49"/>
      <c r="C588" s="50"/>
      <c r="D588" s="49"/>
      <c r="E588" s="51"/>
      <c r="F588" s="776"/>
      <c r="G588" s="52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</row>
    <row r="589" spans="1:19" ht="18.75" customHeight="1">
      <c r="A589" s="50"/>
      <c r="B589" s="49"/>
      <c r="C589" s="50"/>
      <c r="D589" s="49"/>
      <c r="E589" s="51"/>
      <c r="F589" s="776"/>
      <c r="G589" s="52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</row>
    <row r="590" spans="1:19" ht="18.75" customHeight="1">
      <c r="A590" s="50"/>
      <c r="B590" s="49"/>
      <c r="C590" s="50"/>
      <c r="D590" s="49"/>
      <c r="E590" s="51"/>
      <c r="F590" s="776"/>
      <c r="G590" s="52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</row>
    <row r="591" spans="1:19" ht="18.75" customHeight="1">
      <c r="A591" s="50"/>
      <c r="B591" s="49"/>
      <c r="C591" s="50"/>
      <c r="D591" s="49"/>
      <c r="E591" s="51"/>
      <c r="F591" s="776"/>
      <c r="G591" s="52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</row>
    <row r="592" spans="1:19" ht="18.75" customHeight="1">
      <c r="A592" s="50"/>
      <c r="B592" s="49"/>
      <c r="C592" s="50"/>
      <c r="D592" s="49"/>
      <c r="E592" s="51"/>
      <c r="F592" s="776"/>
      <c r="G592" s="52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</row>
    <row r="593" spans="1:19" ht="18.75" customHeight="1">
      <c r="A593" s="50"/>
      <c r="B593" s="49"/>
      <c r="C593" s="50"/>
      <c r="D593" s="49"/>
      <c r="E593" s="51"/>
      <c r="F593" s="776"/>
      <c r="G593" s="52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</row>
    <row r="594" spans="1:19" ht="18.75" customHeight="1">
      <c r="A594" s="50"/>
      <c r="B594" s="49"/>
      <c r="C594" s="50"/>
      <c r="D594" s="49"/>
      <c r="E594" s="51"/>
      <c r="F594" s="776"/>
      <c r="G594" s="52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</row>
    <row r="595" spans="1:19" ht="18.75" customHeight="1">
      <c r="A595" s="50"/>
      <c r="B595" s="49"/>
      <c r="C595" s="50"/>
      <c r="D595" s="49"/>
      <c r="E595" s="51"/>
      <c r="F595" s="776"/>
      <c r="G595" s="52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</row>
    <row r="596" spans="1:19" ht="18.75" customHeight="1">
      <c r="A596" s="50"/>
      <c r="B596" s="49"/>
      <c r="C596" s="50"/>
      <c r="D596" s="49"/>
      <c r="E596" s="51"/>
      <c r="F596" s="776"/>
      <c r="G596" s="52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</row>
    <row r="597" spans="1:19" ht="18.75" customHeight="1">
      <c r="A597" s="50"/>
      <c r="B597" s="49"/>
      <c r="C597" s="50"/>
      <c r="D597" s="49"/>
      <c r="E597" s="51"/>
      <c r="F597" s="776"/>
      <c r="G597" s="52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</row>
    <row r="598" spans="1:19" ht="15.75" customHeight="1"/>
    <row r="599" spans="1:19" ht="15.75" customHeight="1"/>
    <row r="600" spans="1:19" ht="15.75" customHeight="1"/>
    <row r="601" spans="1:19" ht="15.75" customHeight="1"/>
    <row r="602" spans="1:19" ht="15.75" customHeight="1"/>
    <row r="603" spans="1:19" ht="15.75" customHeight="1"/>
    <row r="604" spans="1:19" ht="15.75" customHeight="1"/>
    <row r="605" spans="1:19" ht="15.75" customHeight="1"/>
    <row r="606" spans="1:19" ht="15.75" customHeight="1"/>
    <row r="607" spans="1:19" ht="15.75" customHeight="1"/>
    <row r="608" spans="1:19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1:I581" xr:uid="{00000000-0001-0000-0400-000000000000}">
    <sortState xmlns:xlrd2="http://schemas.microsoft.com/office/spreadsheetml/2017/richdata2" ref="A2:I581">
      <sortCondition ref="A1:A581"/>
    </sortState>
  </autoFilter>
  <pageMargins left="0" right="0" top="0" bottom="0" header="0" footer="0"/>
  <pageSetup scale="48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A694"/>
  <sheetViews>
    <sheetView workbookViewId="0">
      <pane ySplit="3" topLeftCell="A4" activePane="bottomLeft" state="frozen"/>
      <selection pane="bottomLeft" activeCell="G17" sqref="G17"/>
    </sheetView>
  </sheetViews>
  <sheetFormatPr defaultColWidth="14.44140625" defaultRowHeight="15" customHeight="1"/>
  <cols>
    <col min="1" max="1" width="13.6640625" customWidth="1"/>
    <col min="2" max="3" width="11.6640625" customWidth="1"/>
    <col min="4" max="4" width="17.33203125" customWidth="1"/>
    <col min="5" max="5" width="12.33203125" customWidth="1"/>
    <col min="6" max="6" width="21.33203125" customWidth="1"/>
    <col min="7" max="7" width="16.109375" customWidth="1"/>
    <col min="8" max="8" width="23.33203125" customWidth="1"/>
    <col min="9" max="9" width="13.88671875" customWidth="1"/>
    <col min="10" max="10" width="26" customWidth="1"/>
    <col min="11" max="11" width="16.6640625" customWidth="1"/>
    <col min="12" max="12" width="10.109375" customWidth="1"/>
    <col min="13" max="13" width="16.109375" customWidth="1"/>
    <col min="14" max="14" width="13.88671875" customWidth="1"/>
    <col min="15" max="15" width="17.44140625" customWidth="1"/>
    <col min="16" max="16" width="14.88671875" customWidth="1"/>
    <col min="17" max="17" width="34.44140625" customWidth="1"/>
    <col min="18" max="18" width="28.5546875" customWidth="1"/>
    <col min="19" max="27" width="9" customWidth="1"/>
  </cols>
  <sheetData>
    <row r="1" spans="1:27" ht="45.15" customHeight="1">
      <c r="A1" s="980" t="s">
        <v>465</v>
      </c>
      <c r="B1" s="891"/>
      <c r="C1" s="891"/>
      <c r="D1" s="891"/>
      <c r="E1" s="981"/>
      <c r="F1" s="891"/>
      <c r="G1" s="891"/>
      <c r="H1" s="891"/>
      <c r="I1" s="891"/>
      <c r="J1" s="891"/>
      <c r="K1" s="891"/>
      <c r="L1" s="891"/>
      <c r="M1" s="982">
        <f>SUM(N4:N688)</f>
        <v>0</v>
      </c>
      <c r="N1" s="891"/>
      <c r="O1" s="891"/>
      <c r="P1" s="891"/>
      <c r="Q1" s="891"/>
      <c r="R1" s="53"/>
      <c r="S1" s="54"/>
      <c r="T1" s="54"/>
      <c r="U1" s="54"/>
      <c r="V1" s="54"/>
      <c r="W1" s="54"/>
      <c r="X1" s="54"/>
      <c r="Y1" s="54"/>
      <c r="Z1" s="54"/>
      <c r="AA1" s="54"/>
    </row>
    <row r="2" spans="1:27" ht="45.15" customHeight="1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53"/>
      <c r="S2" s="54"/>
      <c r="T2" s="54"/>
      <c r="U2" s="54"/>
      <c r="V2" s="54"/>
      <c r="W2" s="54"/>
      <c r="X2" s="54"/>
      <c r="Y2" s="54"/>
      <c r="Z2" s="54"/>
      <c r="AA2" s="54"/>
    </row>
    <row r="3" spans="1:27" ht="28.8">
      <c r="A3" s="55" t="s">
        <v>466</v>
      </c>
      <c r="B3" s="56" t="s">
        <v>467</v>
      </c>
      <c r="C3" s="55" t="s">
        <v>82</v>
      </c>
      <c r="D3" s="57" t="s">
        <v>468</v>
      </c>
      <c r="E3" s="58" t="s">
        <v>469</v>
      </c>
      <c r="F3" s="55" t="s">
        <v>470</v>
      </c>
      <c r="G3" s="55" t="s">
        <v>471</v>
      </c>
      <c r="H3" s="58" t="s">
        <v>472</v>
      </c>
      <c r="I3" s="55" t="s">
        <v>473</v>
      </c>
      <c r="J3" s="58" t="s">
        <v>474</v>
      </c>
      <c r="K3" s="59" t="s">
        <v>475</v>
      </c>
      <c r="L3" s="60" t="s">
        <v>476</v>
      </c>
      <c r="M3" s="55" t="s">
        <v>477</v>
      </c>
      <c r="N3" s="61" t="s">
        <v>478</v>
      </c>
      <c r="O3" s="62" t="s">
        <v>479</v>
      </c>
      <c r="P3" s="63" t="s">
        <v>480</v>
      </c>
      <c r="Q3" s="55" t="s">
        <v>481</v>
      </c>
      <c r="R3" s="55" t="s">
        <v>482</v>
      </c>
      <c r="S3" s="54"/>
      <c r="T3" s="54"/>
      <c r="U3" s="54"/>
      <c r="V3" s="54"/>
      <c r="W3" s="54"/>
      <c r="X3" s="54"/>
      <c r="Y3" s="54"/>
      <c r="Z3" s="54"/>
      <c r="AA3" s="54"/>
    </row>
    <row r="4" spans="1:27" ht="15.75" customHeight="1">
      <c r="A4" s="275"/>
      <c r="B4" s="276"/>
      <c r="C4" s="277"/>
      <c r="D4" s="276"/>
      <c r="E4" s="278"/>
      <c r="F4" s="279"/>
      <c r="G4" s="280"/>
      <c r="H4" s="279"/>
      <c r="I4" s="280"/>
      <c r="J4" s="279"/>
      <c r="K4" s="280"/>
      <c r="L4" s="281"/>
      <c r="M4" s="280"/>
      <c r="N4" s="282"/>
      <c r="O4" s="275"/>
      <c r="P4" s="283"/>
      <c r="Q4" s="284"/>
      <c r="R4" s="284"/>
      <c r="S4" s="285"/>
      <c r="T4" s="285"/>
      <c r="U4" s="285"/>
      <c r="V4" s="285"/>
      <c r="W4" s="285"/>
      <c r="X4" s="285"/>
      <c r="Y4" s="285"/>
      <c r="Z4" s="285"/>
      <c r="AA4" s="285"/>
    </row>
    <row r="5" spans="1:27" ht="15.75" customHeight="1">
      <c r="A5" s="286"/>
      <c r="B5" s="276"/>
      <c r="C5" s="277"/>
      <c r="D5" s="287"/>
      <c r="E5" s="279"/>
      <c r="F5" s="288"/>
      <c r="G5" s="289"/>
      <c r="H5" s="288"/>
      <c r="I5" s="289"/>
      <c r="J5" s="286"/>
      <c r="K5" s="290"/>
      <c r="L5" s="291"/>
      <c r="M5" s="286"/>
      <c r="N5" s="292"/>
      <c r="O5" s="293"/>
      <c r="P5" s="294"/>
      <c r="Q5" s="295"/>
      <c r="R5" s="295"/>
      <c r="S5" s="296"/>
      <c r="T5" s="296"/>
      <c r="U5" s="296"/>
      <c r="V5" s="296"/>
      <c r="W5" s="296"/>
      <c r="X5" s="296"/>
      <c r="Y5" s="296"/>
      <c r="Z5" s="296"/>
      <c r="AA5" s="296"/>
    </row>
    <row r="6" spans="1:27" ht="15.75" customHeight="1">
      <c r="A6" s="286"/>
      <c r="B6" s="276"/>
      <c r="C6" s="277"/>
      <c r="D6" s="287"/>
      <c r="E6" s="288"/>
      <c r="F6" s="288"/>
      <c r="G6" s="289"/>
      <c r="H6" s="288"/>
      <c r="I6" s="289"/>
      <c r="J6" s="297"/>
      <c r="K6" s="290"/>
      <c r="L6" s="291"/>
      <c r="M6" s="286"/>
      <c r="N6" s="298"/>
      <c r="O6" s="293"/>
      <c r="P6" s="294"/>
      <c r="Q6" s="295"/>
      <c r="R6" s="295"/>
      <c r="S6" s="296"/>
      <c r="T6" s="296"/>
      <c r="U6" s="296"/>
      <c r="V6" s="296"/>
      <c r="W6" s="296"/>
      <c r="X6" s="296"/>
      <c r="Y6" s="296"/>
      <c r="Z6" s="296"/>
      <c r="AA6" s="296"/>
    </row>
    <row r="7" spans="1:27" ht="15.75" customHeight="1">
      <c r="A7" s="299"/>
      <c r="B7" s="300"/>
      <c r="C7" s="277"/>
      <c r="D7" s="301"/>
      <c r="E7" s="302"/>
      <c r="F7" s="302"/>
      <c r="G7" s="303"/>
      <c r="H7" s="302"/>
      <c r="I7" s="302"/>
      <c r="J7" s="304"/>
      <c r="K7" s="305"/>
      <c r="L7" s="306"/>
      <c r="M7" s="299"/>
      <c r="N7" s="307"/>
      <c r="O7" s="308"/>
      <c r="P7" s="309"/>
      <c r="Q7" s="310"/>
      <c r="R7" s="310"/>
      <c r="S7" s="311"/>
      <c r="T7" s="311"/>
      <c r="U7" s="311"/>
      <c r="V7" s="311"/>
      <c r="W7" s="311"/>
      <c r="X7" s="311"/>
      <c r="Y7" s="311"/>
      <c r="Z7" s="311"/>
      <c r="AA7" s="311"/>
    </row>
    <row r="8" spans="1:27" ht="15.75" customHeight="1">
      <c r="A8" s="312"/>
      <c r="B8" s="313"/>
      <c r="C8" s="277"/>
      <c r="D8" s="314"/>
      <c r="E8" s="315"/>
      <c r="F8" s="315"/>
      <c r="G8" s="316"/>
      <c r="H8" s="315"/>
      <c r="I8" s="315"/>
      <c r="J8" s="317"/>
      <c r="K8" s="318"/>
      <c r="L8" s="319"/>
      <c r="M8" s="312"/>
      <c r="N8" s="320"/>
      <c r="O8" s="321"/>
      <c r="P8" s="322"/>
      <c r="Q8" s="323"/>
      <c r="R8" s="323"/>
      <c r="S8" s="324"/>
      <c r="T8" s="324"/>
      <c r="U8" s="324"/>
      <c r="V8" s="324"/>
      <c r="W8" s="324"/>
      <c r="X8" s="324"/>
      <c r="Y8" s="324"/>
      <c r="Z8" s="324"/>
      <c r="AA8" s="324"/>
    </row>
    <row r="9" spans="1:27" ht="15.75" customHeight="1">
      <c r="A9" s="325"/>
      <c r="B9" s="326"/>
      <c r="C9" s="277"/>
      <c r="D9" s="327"/>
      <c r="E9" s="328"/>
      <c r="F9" s="329"/>
      <c r="G9" s="329"/>
      <c r="H9" s="328"/>
      <c r="I9" s="329"/>
      <c r="J9" s="325"/>
      <c r="K9" s="330"/>
      <c r="L9" s="331"/>
      <c r="M9" s="325"/>
      <c r="N9" s="332"/>
      <c r="O9" s="333"/>
      <c r="P9" s="334"/>
      <c r="Q9" s="335"/>
      <c r="R9" s="335"/>
      <c r="S9" s="336"/>
      <c r="T9" s="336"/>
      <c r="U9" s="336"/>
      <c r="V9" s="336"/>
      <c r="W9" s="336"/>
      <c r="X9" s="336"/>
      <c r="Y9" s="336"/>
      <c r="Z9" s="336"/>
      <c r="AA9" s="336"/>
    </row>
    <row r="10" spans="1:27" ht="15.75" customHeight="1">
      <c r="A10" s="325"/>
      <c r="B10" s="326"/>
      <c r="C10" s="277"/>
      <c r="D10" s="327"/>
      <c r="E10" s="328"/>
      <c r="F10" s="329"/>
      <c r="G10" s="329"/>
      <c r="H10" s="328"/>
      <c r="I10" s="329"/>
      <c r="J10" s="325"/>
      <c r="K10" s="330"/>
      <c r="L10" s="331"/>
      <c r="M10" s="325"/>
      <c r="N10" s="332"/>
      <c r="O10" s="333"/>
      <c r="P10" s="334"/>
      <c r="Q10" s="335"/>
      <c r="R10" s="335"/>
      <c r="S10" s="336"/>
      <c r="T10" s="336"/>
      <c r="U10" s="336"/>
      <c r="V10" s="336"/>
      <c r="W10" s="336"/>
      <c r="X10" s="336"/>
      <c r="Y10" s="336"/>
      <c r="Z10" s="336"/>
      <c r="AA10" s="336"/>
    </row>
    <row r="11" spans="1:27" ht="15.75" customHeight="1">
      <c r="A11" s="337"/>
      <c r="B11" s="338"/>
      <c r="C11" s="277"/>
      <c r="D11" s="338"/>
      <c r="E11" s="339"/>
      <c r="F11" s="339"/>
      <c r="G11" s="340"/>
      <c r="H11" s="339"/>
      <c r="I11" s="340"/>
      <c r="J11" s="339"/>
      <c r="K11" s="340"/>
      <c r="L11" s="341"/>
      <c r="M11" s="340"/>
      <c r="N11" s="342"/>
      <c r="O11" s="337"/>
      <c r="P11" s="343"/>
      <c r="Q11" s="344"/>
      <c r="R11" s="344"/>
      <c r="S11" s="336"/>
      <c r="T11" s="336"/>
      <c r="U11" s="336"/>
      <c r="V11" s="336"/>
      <c r="W11" s="336"/>
      <c r="X11" s="336"/>
      <c r="Y11" s="336"/>
      <c r="Z11" s="336"/>
      <c r="AA11" s="336"/>
    </row>
    <row r="12" spans="1:27" ht="15.75" customHeight="1">
      <c r="A12" s="337"/>
      <c r="B12" s="338"/>
      <c r="C12" s="277"/>
      <c r="D12" s="338"/>
      <c r="E12" s="339"/>
      <c r="F12" s="339"/>
      <c r="G12" s="340"/>
      <c r="H12" s="279"/>
      <c r="I12" s="340"/>
      <c r="J12" s="339"/>
      <c r="K12" s="340"/>
      <c r="L12" s="341"/>
      <c r="M12" s="340"/>
      <c r="N12" s="342"/>
      <c r="O12" s="337"/>
      <c r="P12" s="343"/>
      <c r="Q12" s="344"/>
      <c r="R12" s="344"/>
      <c r="S12" s="336"/>
      <c r="T12" s="336"/>
      <c r="U12" s="336"/>
      <c r="V12" s="336"/>
      <c r="W12" s="336"/>
      <c r="X12" s="336"/>
      <c r="Y12" s="336"/>
      <c r="Z12" s="336"/>
      <c r="AA12" s="336"/>
    </row>
    <row r="13" spans="1:27" ht="15.75" customHeight="1">
      <c r="A13" s="345"/>
      <c r="B13" s="346"/>
      <c r="C13" s="277"/>
      <c r="D13" s="346"/>
      <c r="E13" s="347"/>
      <c r="F13" s="348"/>
      <c r="G13" s="348"/>
      <c r="H13" s="339"/>
      <c r="I13" s="348"/>
      <c r="J13" s="347"/>
      <c r="K13" s="348"/>
      <c r="L13" s="349"/>
      <c r="M13" s="348"/>
      <c r="N13" s="350"/>
      <c r="O13" s="345"/>
      <c r="P13" s="351"/>
      <c r="Q13" s="352"/>
      <c r="R13" s="352"/>
      <c r="S13" s="336"/>
      <c r="T13" s="336"/>
      <c r="U13" s="336"/>
      <c r="V13" s="336"/>
      <c r="W13" s="336"/>
      <c r="X13" s="336"/>
      <c r="Y13" s="336"/>
      <c r="Z13" s="336"/>
      <c r="AA13" s="336"/>
    </row>
    <row r="14" spans="1:27" ht="15.75" customHeight="1">
      <c r="A14" s="353"/>
      <c r="B14" s="354"/>
      <c r="C14" s="355"/>
      <c r="D14" s="354"/>
      <c r="E14" s="356"/>
      <c r="F14" s="357"/>
      <c r="G14" s="357"/>
      <c r="H14" s="356"/>
      <c r="I14" s="357"/>
      <c r="J14" s="356"/>
      <c r="K14" s="357"/>
      <c r="L14" s="358"/>
      <c r="M14" s="357"/>
      <c r="N14" s="359"/>
      <c r="O14" s="353"/>
      <c r="P14" s="360"/>
      <c r="Q14" s="361"/>
      <c r="R14" s="361"/>
      <c r="S14" s="362"/>
      <c r="T14" s="362"/>
      <c r="U14" s="362"/>
      <c r="V14" s="362"/>
      <c r="W14" s="362"/>
      <c r="X14" s="362"/>
      <c r="Y14" s="362"/>
      <c r="Z14" s="362"/>
      <c r="AA14" s="362"/>
    </row>
    <row r="15" spans="1:27" ht="15.75" customHeight="1">
      <c r="A15" s="353"/>
      <c r="B15" s="354"/>
      <c r="C15" s="355"/>
      <c r="D15" s="354"/>
      <c r="E15" s="356"/>
      <c r="F15" s="357"/>
      <c r="G15" s="357"/>
      <c r="H15" s="356"/>
      <c r="I15" s="357"/>
      <c r="J15" s="356"/>
      <c r="K15" s="357"/>
      <c r="L15" s="358"/>
      <c r="M15" s="357"/>
      <c r="N15" s="359"/>
      <c r="O15" s="353"/>
      <c r="P15" s="360"/>
      <c r="Q15" s="361"/>
      <c r="R15" s="361"/>
      <c r="S15" s="362"/>
      <c r="T15" s="362"/>
      <c r="U15" s="362"/>
      <c r="V15" s="362"/>
      <c r="W15" s="362"/>
      <c r="X15" s="362"/>
      <c r="Y15" s="362"/>
      <c r="Z15" s="362"/>
      <c r="AA15" s="362"/>
    </row>
    <row r="16" spans="1:27" ht="16.649999999999999" customHeight="1">
      <c r="A16" s="353"/>
      <c r="B16" s="354"/>
      <c r="C16" s="355"/>
      <c r="D16" s="354"/>
      <c r="E16" s="356"/>
      <c r="F16" s="357"/>
      <c r="G16" s="357"/>
      <c r="H16" s="356"/>
      <c r="I16" s="357"/>
      <c r="J16" s="356"/>
      <c r="K16" s="357"/>
      <c r="L16" s="358"/>
      <c r="M16" s="357"/>
      <c r="N16" s="359"/>
      <c r="O16" s="353"/>
      <c r="P16" s="360"/>
      <c r="Q16" s="361"/>
      <c r="R16" s="361"/>
      <c r="S16" s="362"/>
      <c r="T16" s="362"/>
      <c r="U16" s="362"/>
      <c r="V16" s="362"/>
      <c r="W16" s="362"/>
      <c r="X16" s="362"/>
      <c r="Y16" s="362"/>
      <c r="Z16" s="362"/>
      <c r="AA16" s="362"/>
    </row>
    <row r="17" spans="1:27" ht="15.75" customHeight="1">
      <c r="A17" s="353"/>
      <c r="B17" s="354"/>
      <c r="C17" s="355"/>
      <c r="D17" s="354"/>
      <c r="E17" s="356"/>
      <c r="F17" s="357"/>
      <c r="G17" s="357"/>
      <c r="H17" s="356"/>
      <c r="I17" s="357"/>
      <c r="J17" s="356"/>
      <c r="K17" s="357"/>
      <c r="L17" s="358"/>
      <c r="M17" s="357"/>
      <c r="N17" s="359"/>
      <c r="O17" s="353"/>
      <c r="P17" s="360"/>
      <c r="Q17" s="361"/>
      <c r="R17" s="361"/>
      <c r="S17" s="362"/>
      <c r="T17" s="362"/>
      <c r="U17" s="362"/>
      <c r="V17" s="362"/>
      <c r="W17" s="362"/>
      <c r="X17" s="362"/>
      <c r="Y17" s="362"/>
      <c r="Z17" s="362"/>
      <c r="AA17" s="362"/>
    </row>
    <row r="18" spans="1:27" ht="15.75" customHeight="1">
      <c r="A18" s="353"/>
      <c r="B18" s="354"/>
      <c r="C18" s="355"/>
      <c r="D18" s="354"/>
      <c r="E18" s="356"/>
      <c r="F18" s="357"/>
      <c r="G18" s="357"/>
      <c r="H18" s="356"/>
      <c r="I18" s="357"/>
      <c r="J18" s="356"/>
      <c r="K18" s="357"/>
      <c r="L18" s="358"/>
      <c r="M18" s="357"/>
      <c r="N18" s="359"/>
      <c r="O18" s="353"/>
      <c r="P18" s="360"/>
      <c r="Q18" s="361"/>
      <c r="R18" s="361"/>
      <c r="S18" s="362"/>
      <c r="T18" s="362"/>
      <c r="U18" s="362"/>
      <c r="V18" s="362"/>
      <c r="W18" s="362"/>
      <c r="X18" s="362"/>
      <c r="Y18" s="362"/>
      <c r="Z18" s="362"/>
      <c r="AA18" s="362"/>
    </row>
    <row r="19" spans="1:27" ht="15.75" customHeight="1">
      <c r="A19" s="363"/>
      <c r="B19" s="364"/>
      <c r="C19" s="355"/>
      <c r="D19" s="364"/>
      <c r="E19" s="365"/>
      <c r="F19" s="366"/>
      <c r="G19" s="366"/>
      <c r="H19" s="365"/>
      <c r="I19" s="366"/>
      <c r="J19" s="365"/>
      <c r="K19" s="366"/>
      <c r="L19" s="367"/>
      <c r="M19" s="366"/>
      <c r="N19" s="368"/>
      <c r="O19" s="363"/>
      <c r="P19" s="369"/>
      <c r="Q19" s="370"/>
      <c r="R19" s="370"/>
      <c r="S19" s="371"/>
      <c r="T19" s="371"/>
      <c r="U19" s="371"/>
      <c r="V19" s="371"/>
      <c r="W19" s="371"/>
      <c r="X19" s="371"/>
      <c r="Y19" s="371"/>
      <c r="Z19" s="371"/>
      <c r="AA19" s="371"/>
    </row>
    <row r="20" spans="1:27" ht="15.75" customHeight="1">
      <c r="A20" s="363"/>
      <c r="B20" s="364"/>
      <c r="C20" s="355"/>
      <c r="D20" s="364"/>
      <c r="E20" s="365"/>
      <c r="F20" s="366"/>
      <c r="G20" s="366"/>
      <c r="H20" s="365"/>
      <c r="I20" s="366"/>
      <c r="J20" s="365"/>
      <c r="K20" s="366"/>
      <c r="L20" s="367"/>
      <c r="M20" s="366"/>
      <c r="N20" s="368"/>
      <c r="O20" s="363"/>
      <c r="P20" s="369"/>
      <c r="Q20" s="370"/>
      <c r="R20" s="370"/>
      <c r="S20" s="371"/>
      <c r="T20" s="371"/>
      <c r="U20" s="371"/>
      <c r="V20" s="371"/>
      <c r="W20" s="371"/>
      <c r="X20" s="371"/>
      <c r="Y20" s="371"/>
      <c r="Z20" s="371"/>
      <c r="AA20" s="371"/>
    </row>
    <row r="21" spans="1:27" ht="15.75" customHeight="1">
      <c r="A21" s="353"/>
      <c r="B21" s="354"/>
      <c r="C21" s="355"/>
      <c r="D21" s="354"/>
      <c r="E21" s="356"/>
      <c r="F21" s="357"/>
      <c r="G21" s="357"/>
      <c r="H21" s="356"/>
      <c r="I21" s="357"/>
      <c r="J21" s="356"/>
      <c r="K21" s="357"/>
      <c r="L21" s="358"/>
      <c r="M21" s="357"/>
      <c r="N21" s="359"/>
      <c r="O21" s="353"/>
      <c r="P21" s="360"/>
      <c r="Q21" s="361"/>
      <c r="R21" s="361"/>
      <c r="S21" s="362"/>
      <c r="T21" s="362"/>
      <c r="U21" s="362"/>
      <c r="V21" s="362"/>
      <c r="W21" s="362"/>
      <c r="X21" s="362"/>
      <c r="Y21" s="362"/>
      <c r="Z21" s="362"/>
      <c r="AA21" s="362"/>
    </row>
    <row r="22" spans="1:27" ht="15.75" customHeight="1">
      <c r="A22" s="353"/>
      <c r="B22" s="354"/>
      <c r="C22" s="355"/>
      <c r="D22" s="354"/>
      <c r="E22" s="356"/>
      <c r="F22" s="357"/>
      <c r="G22" s="357"/>
      <c r="H22" s="356"/>
      <c r="I22" s="357"/>
      <c r="J22" s="356"/>
      <c r="K22" s="357"/>
      <c r="L22" s="358"/>
      <c r="M22" s="357"/>
      <c r="N22" s="359"/>
      <c r="O22" s="353"/>
      <c r="P22" s="360"/>
      <c r="Q22" s="361"/>
      <c r="R22" s="361"/>
      <c r="S22" s="362"/>
      <c r="T22" s="362"/>
      <c r="U22" s="362"/>
      <c r="V22" s="362"/>
      <c r="W22" s="362"/>
      <c r="X22" s="362"/>
      <c r="Y22" s="362"/>
      <c r="Z22" s="362"/>
      <c r="AA22" s="362"/>
    </row>
    <row r="23" spans="1:27" ht="15.75" customHeight="1">
      <c r="A23" s="353"/>
      <c r="B23" s="354"/>
      <c r="C23" s="355"/>
      <c r="D23" s="354"/>
      <c r="E23" s="356"/>
      <c r="F23" s="357"/>
      <c r="G23" s="357"/>
      <c r="H23" s="356"/>
      <c r="I23" s="357"/>
      <c r="J23" s="356"/>
      <c r="K23" s="357"/>
      <c r="L23" s="358"/>
      <c r="M23" s="357"/>
      <c r="N23" s="359"/>
      <c r="O23" s="353"/>
      <c r="P23" s="360"/>
      <c r="Q23" s="361"/>
      <c r="R23" s="361"/>
      <c r="S23" s="362"/>
      <c r="T23" s="362"/>
      <c r="U23" s="362"/>
      <c r="V23" s="362"/>
      <c r="W23" s="362"/>
      <c r="X23" s="362"/>
      <c r="Y23" s="362"/>
      <c r="Z23" s="362"/>
      <c r="AA23" s="362"/>
    </row>
    <row r="24" spans="1:27" ht="15.75" customHeight="1">
      <c r="A24" s="353"/>
      <c r="B24" s="354"/>
      <c r="C24" s="355"/>
      <c r="D24" s="354"/>
      <c r="E24" s="356"/>
      <c r="F24" s="357"/>
      <c r="G24" s="357"/>
      <c r="H24" s="356"/>
      <c r="I24" s="357"/>
      <c r="J24" s="356"/>
      <c r="K24" s="357"/>
      <c r="L24" s="358"/>
      <c r="M24" s="357"/>
      <c r="N24" s="359"/>
      <c r="O24" s="353"/>
      <c r="P24" s="360"/>
      <c r="Q24" s="361"/>
      <c r="R24" s="361"/>
      <c r="S24" s="362"/>
      <c r="T24" s="362"/>
      <c r="U24" s="362"/>
      <c r="V24" s="362"/>
      <c r="W24" s="362"/>
      <c r="X24" s="362"/>
      <c r="Y24" s="362"/>
      <c r="Z24" s="362"/>
      <c r="AA24" s="362"/>
    </row>
    <row r="25" spans="1:27" ht="15.75" customHeight="1">
      <c r="A25" s="353"/>
      <c r="B25" s="354"/>
      <c r="C25" s="355"/>
      <c r="D25" s="354"/>
      <c r="E25" s="356"/>
      <c r="F25" s="357"/>
      <c r="G25" s="357"/>
      <c r="H25" s="356"/>
      <c r="I25" s="357"/>
      <c r="J25" s="356"/>
      <c r="K25" s="357"/>
      <c r="L25" s="358"/>
      <c r="M25" s="357"/>
      <c r="N25" s="359"/>
      <c r="O25" s="353"/>
      <c r="P25" s="360"/>
      <c r="Q25" s="361"/>
      <c r="R25" s="361"/>
      <c r="S25" s="362"/>
      <c r="T25" s="362"/>
      <c r="U25" s="362"/>
      <c r="V25" s="362"/>
      <c r="W25" s="362"/>
      <c r="X25" s="362"/>
      <c r="Y25" s="362"/>
      <c r="Z25" s="362"/>
      <c r="AA25" s="362"/>
    </row>
    <row r="26" spans="1:27" ht="15.75" customHeight="1">
      <c r="A26" s="353"/>
      <c r="B26" s="354"/>
      <c r="C26" s="355"/>
      <c r="D26" s="354"/>
      <c r="E26" s="356"/>
      <c r="F26" s="357"/>
      <c r="G26" s="357"/>
      <c r="H26" s="356"/>
      <c r="I26" s="357"/>
      <c r="J26" s="356"/>
      <c r="K26" s="357"/>
      <c r="L26" s="358"/>
      <c r="M26" s="357"/>
      <c r="N26" s="359"/>
      <c r="O26" s="353"/>
      <c r="P26" s="360"/>
      <c r="Q26" s="361"/>
      <c r="R26" s="361"/>
      <c r="S26" s="362"/>
      <c r="T26" s="362"/>
      <c r="U26" s="362"/>
      <c r="V26" s="362"/>
      <c r="W26" s="362"/>
      <c r="X26" s="362"/>
      <c r="Y26" s="362"/>
      <c r="Z26" s="362"/>
      <c r="AA26" s="362"/>
    </row>
    <row r="27" spans="1:27" ht="15.75" customHeight="1">
      <c r="A27" s="353"/>
      <c r="B27" s="354"/>
      <c r="C27" s="355"/>
      <c r="D27" s="354"/>
      <c r="E27" s="356"/>
      <c r="F27" s="357"/>
      <c r="G27" s="357"/>
      <c r="H27" s="356"/>
      <c r="I27" s="357"/>
      <c r="J27" s="356"/>
      <c r="K27" s="357"/>
      <c r="L27" s="358"/>
      <c r="M27" s="357"/>
      <c r="N27" s="359"/>
      <c r="O27" s="353"/>
      <c r="P27" s="360"/>
      <c r="Q27" s="361"/>
      <c r="R27" s="361"/>
      <c r="S27" s="362"/>
      <c r="T27" s="362"/>
      <c r="U27" s="362"/>
      <c r="V27" s="362"/>
      <c r="W27" s="362"/>
      <c r="X27" s="362"/>
      <c r="Y27" s="362"/>
      <c r="Z27" s="362"/>
      <c r="AA27" s="362"/>
    </row>
    <row r="28" spans="1:27" ht="15.75" customHeight="1">
      <c r="A28" s="353"/>
      <c r="B28" s="354"/>
      <c r="C28" s="355"/>
      <c r="D28" s="354"/>
      <c r="E28" s="356"/>
      <c r="F28" s="357"/>
      <c r="G28" s="357"/>
      <c r="H28" s="356"/>
      <c r="I28" s="357"/>
      <c r="J28" s="356"/>
      <c r="K28" s="357"/>
      <c r="L28" s="358"/>
      <c r="M28" s="357"/>
      <c r="N28" s="359"/>
      <c r="O28" s="353"/>
      <c r="P28" s="360"/>
      <c r="Q28" s="361"/>
      <c r="R28" s="361"/>
      <c r="S28" s="362"/>
      <c r="T28" s="362"/>
      <c r="U28" s="362"/>
      <c r="V28" s="362"/>
      <c r="W28" s="362"/>
      <c r="X28" s="362"/>
      <c r="Y28" s="362"/>
      <c r="Z28" s="362"/>
      <c r="AA28" s="362"/>
    </row>
    <row r="29" spans="1:27" ht="15.75" customHeight="1">
      <c r="A29" s="353"/>
      <c r="B29" s="354"/>
      <c r="C29" s="355"/>
      <c r="D29" s="354"/>
      <c r="E29" s="356"/>
      <c r="F29" s="357"/>
      <c r="G29" s="357"/>
      <c r="H29" s="356"/>
      <c r="I29" s="357"/>
      <c r="J29" s="356"/>
      <c r="K29" s="357"/>
      <c r="L29" s="358"/>
      <c r="M29" s="357"/>
      <c r="N29" s="359"/>
      <c r="O29" s="353"/>
      <c r="P29" s="360"/>
      <c r="Q29" s="361"/>
      <c r="R29" s="361"/>
      <c r="S29" s="362"/>
      <c r="T29" s="362"/>
      <c r="U29" s="362"/>
      <c r="V29" s="362"/>
      <c r="W29" s="362"/>
      <c r="X29" s="362"/>
      <c r="Y29" s="362"/>
      <c r="Z29" s="362"/>
      <c r="AA29" s="362"/>
    </row>
    <row r="30" spans="1:27" ht="15.75" customHeight="1">
      <c r="A30" s="372"/>
      <c r="B30" s="373"/>
      <c r="C30" s="355"/>
      <c r="D30" s="374"/>
      <c r="E30" s="375"/>
      <c r="F30" s="376"/>
      <c r="G30" s="376"/>
      <c r="H30" s="375"/>
      <c r="I30" s="376"/>
      <c r="J30" s="372"/>
      <c r="K30" s="377"/>
      <c r="L30" s="378"/>
      <c r="M30" s="372"/>
      <c r="N30" s="379"/>
      <c r="O30" s="380"/>
      <c r="P30" s="381"/>
      <c r="Q30" s="382"/>
      <c r="R30" s="382"/>
      <c r="S30" s="383"/>
      <c r="T30" s="383"/>
      <c r="U30" s="383"/>
      <c r="V30" s="383"/>
      <c r="W30" s="383"/>
      <c r="X30" s="383"/>
      <c r="Y30" s="383"/>
      <c r="Z30" s="383"/>
      <c r="AA30" s="383"/>
    </row>
    <row r="31" spans="1:27" ht="15.75" customHeight="1">
      <c r="A31" s="384"/>
      <c r="B31" s="385"/>
      <c r="C31" s="386"/>
      <c r="D31" s="385"/>
      <c r="E31" s="387"/>
      <c r="F31" s="388"/>
      <c r="G31" s="388"/>
      <c r="H31" s="387"/>
      <c r="I31" s="388"/>
      <c r="J31" s="387"/>
      <c r="K31" s="388"/>
      <c r="L31" s="389"/>
      <c r="M31" s="388"/>
      <c r="N31" s="390"/>
      <c r="O31" s="384"/>
      <c r="P31" s="391"/>
      <c r="Q31" s="392"/>
      <c r="R31" s="392"/>
      <c r="S31" s="383"/>
      <c r="T31" s="383"/>
      <c r="U31" s="383"/>
      <c r="V31" s="383"/>
      <c r="W31" s="383"/>
      <c r="X31" s="383"/>
      <c r="Y31" s="383"/>
      <c r="Z31" s="383"/>
      <c r="AA31" s="383"/>
    </row>
    <row r="32" spans="1:27" ht="15.75" customHeight="1">
      <c r="A32" s="393"/>
      <c r="B32" s="394"/>
      <c r="C32" s="355"/>
      <c r="D32" s="394"/>
      <c r="E32" s="395"/>
      <c r="F32" s="396"/>
      <c r="G32" s="396"/>
      <c r="H32" s="395"/>
      <c r="I32" s="396"/>
      <c r="J32" s="395"/>
      <c r="K32" s="396"/>
      <c r="L32" s="397"/>
      <c r="M32" s="396"/>
      <c r="N32" s="398"/>
      <c r="O32" s="393"/>
      <c r="P32" s="399"/>
      <c r="Q32" s="400"/>
      <c r="R32" s="400"/>
      <c r="S32" s="401"/>
      <c r="T32" s="401"/>
      <c r="U32" s="401"/>
      <c r="V32" s="401"/>
      <c r="W32" s="401"/>
      <c r="X32" s="401"/>
      <c r="Y32" s="401"/>
      <c r="Z32" s="401"/>
      <c r="AA32" s="401"/>
    </row>
    <row r="33" spans="1:27" ht="15.75" customHeight="1">
      <c r="A33" s="393"/>
      <c r="B33" s="394"/>
      <c r="C33" s="355"/>
      <c r="D33" s="394"/>
      <c r="E33" s="395"/>
      <c r="F33" s="396"/>
      <c r="G33" s="396"/>
      <c r="H33" s="395"/>
      <c r="I33" s="396"/>
      <c r="J33" s="395"/>
      <c r="K33" s="396"/>
      <c r="L33" s="397"/>
      <c r="M33" s="396"/>
      <c r="N33" s="398"/>
      <c r="O33" s="393"/>
      <c r="P33" s="399"/>
      <c r="Q33" s="400"/>
      <c r="R33" s="400"/>
      <c r="S33" s="401"/>
      <c r="T33" s="401"/>
      <c r="U33" s="401"/>
      <c r="V33" s="401"/>
      <c r="W33" s="401"/>
      <c r="X33" s="401"/>
      <c r="Y33" s="401"/>
      <c r="Z33" s="401"/>
      <c r="AA33" s="401"/>
    </row>
    <row r="34" spans="1:27" ht="15.75" customHeight="1">
      <c r="A34" s="393"/>
      <c r="B34" s="394"/>
      <c r="C34" s="355"/>
      <c r="D34" s="394"/>
      <c r="E34" s="395"/>
      <c r="F34" s="396"/>
      <c r="G34" s="396"/>
      <c r="H34" s="395"/>
      <c r="I34" s="396"/>
      <c r="J34" s="395"/>
      <c r="K34" s="396"/>
      <c r="L34" s="397"/>
      <c r="M34" s="396"/>
      <c r="N34" s="398"/>
      <c r="O34" s="393"/>
      <c r="P34" s="399"/>
      <c r="Q34" s="400"/>
      <c r="R34" s="400"/>
      <c r="S34" s="401"/>
      <c r="T34" s="401"/>
      <c r="U34" s="401"/>
      <c r="V34" s="401"/>
      <c r="W34" s="401"/>
      <c r="X34" s="401"/>
      <c r="Y34" s="401"/>
      <c r="Z34" s="401"/>
      <c r="AA34" s="401"/>
    </row>
    <row r="35" spans="1:27" ht="15.75" customHeight="1">
      <c r="A35" s="393"/>
      <c r="B35" s="394"/>
      <c r="C35" s="355"/>
      <c r="D35" s="394"/>
      <c r="E35" s="395"/>
      <c r="F35" s="396"/>
      <c r="G35" s="396"/>
      <c r="H35" s="395"/>
      <c r="I35" s="396"/>
      <c r="J35" s="395"/>
      <c r="K35" s="396"/>
      <c r="L35" s="397"/>
      <c r="M35" s="396"/>
      <c r="N35" s="398"/>
      <c r="O35" s="393"/>
      <c r="P35" s="399"/>
      <c r="Q35" s="400"/>
      <c r="R35" s="400"/>
      <c r="S35" s="401"/>
      <c r="T35" s="401"/>
      <c r="U35" s="401"/>
      <c r="V35" s="401"/>
      <c r="W35" s="401"/>
      <c r="X35" s="401"/>
      <c r="Y35" s="401"/>
      <c r="Z35" s="401"/>
      <c r="AA35" s="401"/>
    </row>
    <row r="36" spans="1:27" ht="15.75" customHeight="1">
      <c r="A36" s="393"/>
      <c r="B36" s="394"/>
      <c r="C36" s="355"/>
      <c r="D36" s="394"/>
      <c r="E36" s="395"/>
      <c r="F36" s="396"/>
      <c r="G36" s="396"/>
      <c r="H36" s="395"/>
      <c r="I36" s="396"/>
      <c r="J36" s="395"/>
      <c r="K36" s="396"/>
      <c r="L36" s="397"/>
      <c r="M36" s="396"/>
      <c r="N36" s="398"/>
      <c r="O36" s="393"/>
      <c r="P36" s="399"/>
      <c r="Q36" s="400"/>
      <c r="R36" s="400"/>
      <c r="S36" s="401"/>
      <c r="T36" s="401"/>
      <c r="U36" s="401"/>
      <c r="V36" s="401"/>
      <c r="W36" s="401"/>
      <c r="X36" s="401"/>
      <c r="Y36" s="401"/>
      <c r="Z36" s="401"/>
      <c r="AA36" s="401"/>
    </row>
    <row r="37" spans="1:27" ht="15.75" customHeight="1">
      <c r="A37" s="393"/>
      <c r="B37" s="394"/>
      <c r="C37" s="355"/>
      <c r="D37" s="394"/>
      <c r="E37" s="395"/>
      <c r="F37" s="396"/>
      <c r="G37" s="396"/>
      <c r="H37" s="395"/>
      <c r="I37" s="396"/>
      <c r="J37" s="395"/>
      <c r="K37" s="396"/>
      <c r="L37" s="397"/>
      <c r="M37" s="396"/>
      <c r="N37" s="398"/>
      <c r="O37" s="393"/>
      <c r="P37" s="399"/>
      <c r="Q37" s="400"/>
      <c r="R37" s="400"/>
      <c r="S37" s="401"/>
      <c r="T37" s="401"/>
      <c r="U37" s="401"/>
      <c r="V37" s="401"/>
      <c r="W37" s="401"/>
      <c r="X37" s="401"/>
      <c r="Y37" s="401"/>
      <c r="Z37" s="401"/>
      <c r="AA37" s="401"/>
    </row>
    <row r="38" spans="1:27" ht="15.75" customHeight="1">
      <c r="A38" s="393"/>
      <c r="B38" s="394"/>
      <c r="C38" s="355"/>
      <c r="D38" s="394"/>
      <c r="E38" s="395"/>
      <c r="F38" s="396"/>
      <c r="G38" s="396"/>
      <c r="H38" s="395"/>
      <c r="I38" s="396"/>
      <c r="J38" s="395"/>
      <c r="K38" s="396"/>
      <c r="L38" s="397"/>
      <c r="M38" s="396"/>
      <c r="N38" s="398"/>
      <c r="O38" s="393"/>
      <c r="P38" s="399"/>
      <c r="Q38" s="400"/>
      <c r="R38" s="400"/>
      <c r="S38" s="402"/>
      <c r="T38" s="402"/>
      <c r="U38" s="402"/>
      <c r="V38" s="402"/>
      <c r="W38" s="402"/>
      <c r="X38" s="402"/>
      <c r="Y38" s="402"/>
      <c r="Z38" s="402"/>
      <c r="AA38" s="402"/>
    </row>
    <row r="39" spans="1:27" ht="15.75" customHeight="1">
      <c r="A39" s="393"/>
      <c r="B39" s="394"/>
      <c r="C39" s="355"/>
      <c r="D39" s="394"/>
      <c r="E39" s="395"/>
      <c r="F39" s="396"/>
      <c r="G39" s="396"/>
      <c r="H39" s="395"/>
      <c r="I39" s="396"/>
      <c r="J39" s="395"/>
      <c r="K39" s="396"/>
      <c r="L39" s="397"/>
      <c r="M39" s="396"/>
      <c r="N39" s="398"/>
      <c r="O39" s="393"/>
      <c r="P39" s="399"/>
      <c r="Q39" s="400"/>
      <c r="R39" s="400"/>
      <c r="S39" s="403"/>
      <c r="T39" s="403"/>
      <c r="U39" s="403"/>
      <c r="V39" s="403"/>
      <c r="W39" s="403"/>
      <c r="X39" s="403"/>
      <c r="Y39" s="403"/>
      <c r="Z39" s="403"/>
      <c r="AA39" s="403"/>
    </row>
    <row r="40" spans="1:27" ht="15.75" customHeight="1">
      <c r="A40" s="393"/>
      <c r="B40" s="394"/>
      <c r="C40" s="355"/>
      <c r="D40" s="394"/>
      <c r="E40" s="395"/>
      <c r="F40" s="396"/>
      <c r="G40" s="396"/>
      <c r="H40" s="395"/>
      <c r="I40" s="396"/>
      <c r="J40" s="395"/>
      <c r="K40" s="396"/>
      <c r="L40" s="397"/>
      <c r="M40" s="396"/>
      <c r="N40" s="398"/>
      <c r="O40" s="393"/>
      <c r="P40" s="399"/>
      <c r="Q40" s="400"/>
      <c r="R40" s="400"/>
      <c r="S40" s="404"/>
      <c r="T40" s="404"/>
      <c r="U40" s="404"/>
      <c r="V40" s="404"/>
      <c r="W40" s="404"/>
      <c r="X40" s="404"/>
      <c r="Y40" s="404"/>
      <c r="Z40" s="404"/>
      <c r="AA40" s="404"/>
    </row>
    <row r="41" spans="1:27" ht="15.75" customHeight="1">
      <c r="A41" s="393"/>
      <c r="B41" s="394"/>
      <c r="C41" s="355"/>
      <c r="D41" s="394"/>
      <c r="E41" s="395"/>
      <c r="F41" s="396"/>
      <c r="G41" s="396"/>
      <c r="H41" s="395"/>
      <c r="I41" s="396"/>
      <c r="J41" s="395"/>
      <c r="K41" s="396"/>
      <c r="L41" s="397"/>
      <c r="M41" s="396"/>
      <c r="N41" s="398"/>
      <c r="O41" s="393"/>
      <c r="P41" s="399"/>
      <c r="Q41" s="400"/>
      <c r="R41" s="400"/>
      <c r="S41" s="404"/>
      <c r="T41" s="404"/>
      <c r="U41" s="404"/>
      <c r="V41" s="404"/>
      <c r="W41" s="404"/>
      <c r="X41" s="404"/>
      <c r="Y41" s="404"/>
      <c r="Z41" s="404"/>
      <c r="AA41" s="404"/>
    </row>
    <row r="42" spans="1:27" ht="15.75" customHeight="1">
      <c r="A42" s="393"/>
      <c r="B42" s="394"/>
      <c r="C42" s="355"/>
      <c r="D42" s="394"/>
      <c r="E42" s="395"/>
      <c r="F42" s="396"/>
      <c r="G42" s="396"/>
      <c r="H42" s="395"/>
      <c r="I42" s="396"/>
      <c r="J42" s="395"/>
      <c r="K42" s="396"/>
      <c r="L42" s="397"/>
      <c r="M42" s="396"/>
      <c r="N42" s="398"/>
      <c r="O42" s="393"/>
      <c r="P42" s="399"/>
      <c r="Q42" s="400"/>
      <c r="R42" s="400"/>
      <c r="S42" s="405"/>
      <c r="T42" s="405"/>
      <c r="U42" s="405"/>
      <c r="V42" s="405"/>
      <c r="W42" s="405"/>
      <c r="X42" s="405"/>
      <c r="Y42" s="405"/>
      <c r="Z42" s="405"/>
      <c r="AA42" s="405"/>
    </row>
    <row r="43" spans="1:27" ht="15.75" customHeight="1">
      <c r="A43" s="393"/>
      <c r="B43" s="394"/>
      <c r="C43" s="355"/>
      <c r="D43" s="394"/>
      <c r="E43" s="395"/>
      <c r="F43" s="396"/>
      <c r="G43" s="396"/>
      <c r="H43" s="395"/>
      <c r="I43" s="396"/>
      <c r="J43" s="395"/>
      <c r="K43" s="396"/>
      <c r="L43" s="397"/>
      <c r="M43" s="396"/>
      <c r="N43" s="398"/>
      <c r="O43" s="393"/>
      <c r="P43" s="399"/>
      <c r="Q43" s="400"/>
      <c r="R43" s="400"/>
      <c r="S43" s="406"/>
      <c r="T43" s="406"/>
      <c r="U43" s="406"/>
      <c r="V43" s="406"/>
      <c r="W43" s="406"/>
      <c r="X43" s="406"/>
      <c r="Y43" s="406"/>
      <c r="Z43" s="406"/>
      <c r="AA43" s="406"/>
    </row>
    <row r="44" spans="1:27" ht="15.75" customHeight="1">
      <c r="A44" s="393"/>
      <c r="B44" s="394"/>
      <c r="C44" s="355"/>
      <c r="D44" s="394"/>
      <c r="E44" s="395"/>
      <c r="F44" s="396"/>
      <c r="G44" s="396"/>
      <c r="H44" s="395"/>
      <c r="I44" s="396"/>
      <c r="J44" s="395"/>
      <c r="K44" s="396"/>
      <c r="L44" s="397"/>
      <c r="M44" s="396"/>
      <c r="N44" s="398"/>
      <c r="O44" s="393"/>
      <c r="P44" s="399"/>
      <c r="Q44" s="400"/>
      <c r="R44" s="400"/>
      <c r="S44" s="407"/>
      <c r="T44" s="407"/>
      <c r="U44" s="407"/>
      <c r="V44" s="407"/>
      <c r="W44" s="407"/>
      <c r="X44" s="407"/>
      <c r="Y44" s="407"/>
      <c r="Z44" s="407"/>
      <c r="AA44" s="407"/>
    </row>
    <row r="45" spans="1:27" ht="15.75" customHeight="1">
      <c r="A45" s="393"/>
      <c r="B45" s="394"/>
      <c r="C45" s="355"/>
      <c r="D45" s="394"/>
      <c r="E45" s="395"/>
      <c r="F45" s="396"/>
      <c r="G45" s="396"/>
      <c r="H45" s="395"/>
      <c r="I45" s="396"/>
      <c r="J45" s="395"/>
      <c r="K45" s="396"/>
      <c r="L45" s="397"/>
      <c r="M45" s="396"/>
      <c r="N45" s="398"/>
      <c r="O45" s="393"/>
      <c r="P45" s="399"/>
      <c r="Q45" s="400"/>
      <c r="R45" s="400"/>
      <c r="S45" s="408"/>
      <c r="T45" s="408"/>
      <c r="U45" s="408"/>
      <c r="V45" s="408"/>
      <c r="W45" s="408"/>
      <c r="X45" s="408"/>
      <c r="Y45" s="408"/>
      <c r="Z45" s="408"/>
      <c r="AA45" s="408"/>
    </row>
    <row r="46" spans="1:27" ht="15.75" customHeight="1">
      <c r="A46" s="393"/>
      <c r="B46" s="394"/>
      <c r="C46" s="355"/>
      <c r="D46" s="394"/>
      <c r="E46" s="395"/>
      <c r="F46" s="396"/>
      <c r="G46" s="396"/>
      <c r="H46" s="395"/>
      <c r="I46" s="396"/>
      <c r="J46" s="395"/>
      <c r="K46" s="396"/>
      <c r="L46" s="397"/>
      <c r="M46" s="396"/>
      <c r="N46" s="398"/>
      <c r="O46" s="393"/>
      <c r="P46" s="399"/>
      <c r="Q46" s="400"/>
      <c r="R46" s="400"/>
      <c r="S46" s="409"/>
      <c r="T46" s="409"/>
      <c r="U46" s="409"/>
      <c r="V46" s="409"/>
      <c r="W46" s="409"/>
      <c r="X46" s="409"/>
      <c r="Y46" s="409"/>
      <c r="Z46" s="409"/>
      <c r="AA46" s="409"/>
    </row>
    <row r="47" spans="1:27" ht="15.75" customHeight="1">
      <c r="A47" s="393"/>
      <c r="B47" s="394"/>
      <c r="C47" s="355"/>
      <c r="D47" s="394"/>
      <c r="E47" s="395"/>
      <c r="F47" s="396"/>
      <c r="G47" s="396"/>
      <c r="H47" s="395"/>
      <c r="I47" s="396"/>
      <c r="J47" s="395"/>
      <c r="K47" s="396"/>
      <c r="L47" s="397"/>
      <c r="M47" s="396"/>
      <c r="N47" s="398"/>
      <c r="O47" s="393"/>
      <c r="P47" s="399"/>
      <c r="Q47" s="400"/>
      <c r="R47" s="400"/>
      <c r="S47" s="409"/>
      <c r="T47" s="409"/>
      <c r="U47" s="409"/>
      <c r="V47" s="409"/>
      <c r="W47" s="409"/>
      <c r="X47" s="409"/>
      <c r="Y47" s="409"/>
      <c r="Z47" s="409"/>
      <c r="AA47" s="409"/>
    </row>
    <row r="48" spans="1:27" ht="17.25" customHeight="1">
      <c r="A48" s="393"/>
      <c r="B48" s="394"/>
      <c r="C48" s="355"/>
      <c r="D48" s="394"/>
      <c r="E48" s="395"/>
      <c r="F48" s="396"/>
      <c r="G48" s="396"/>
      <c r="H48" s="395"/>
      <c r="I48" s="396"/>
      <c r="J48" s="395"/>
      <c r="K48" s="396"/>
      <c r="L48" s="397"/>
      <c r="M48" s="396"/>
      <c r="N48" s="398"/>
      <c r="O48" s="393"/>
      <c r="P48" s="399"/>
      <c r="Q48" s="400"/>
      <c r="R48" s="400"/>
      <c r="S48" s="410"/>
      <c r="T48" s="410"/>
      <c r="U48" s="410"/>
      <c r="V48" s="410"/>
      <c r="W48" s="410"/>
      <c r="X48" s="410"/>
      <c r="Y48" s="410"/>
      <c r="Z48" s="410"/>
      <c r="AA48" s="410"/>
    </row>
    <row r="49" spans="1:27" ht="15.75" customHeight="1">
      <c r="A49" s="393"/>
      <c r="B49" s="394"/>
      <c r="C49" s="355"/>
      <c r="D49" s="394"/>
      <c r="E49" s="395"/>
      <c r="F49" s="396"/>
      <c r="G49" s="396"/>
      <c r="H49" s="395"/>
      <c r="I49" s="396"/>
      <c r="J49" s="395"/>
      <c r="K49" s="396"/>
      <c r="L49" s="397"/>
      <c r="M49" s="396"/>
      <c r="N49" s="398"/>
      <c r="O49" s="393"/>
      <c r="P49" s="399"/>
      <c r="Q49" s="400"/>
      <c r="R49" s="400"/>
      <c r="S49" s="406"/>
      <c r="T49" s="406"/>
      <c r="U49" s="406"/>
      <c r="V49" s="406"/>
      <c r="W49" s="406"/>
      <c r="X49" s="406"/>
      <c r="Y49" s="406"/>
      <c r="Z49" s="406"/>
      <c r="AA49" s="406"/>
    </row>
    <row r="50" spans="1:27" ht="15.75" customHeight="1">
      <c r="A50" s="393"/>
      <c r="B50" s="394"/>
      <c r="C50" s="355"/>
      <c r="D50" s="394"/>
      <c r="E50" s="395"/>
      <c r="F50" s="396"/>
      <c r="G50" s="396"/>
      <c r="H50" s="395"/>
      <c r="I50" s="396"/>
      <c r="J50" s="395"/>
      <c r="K50" s="396"/>
      <c r="L50" s="397"/>
      <c r="M50" s="396"/>
      <c r="N50" s="398"/>
      <c r="O50" s="393"/>
      <c r="P50" s="399"/>
      <c r="Q50" s="400"/>
      <c r="R50" s="400"/>
      <c r="S50" s="411"/>
      <c r="T50" s="411"/>
      <c r="U50" s="411"/>
      <c r="V50" s="411"/>
      <c r="W50" s="411"/>
      <c r="X50" s="411"/>
      <c r="Y50" s="411"/>
      <c r="Z50" s="411"/>
      <c r="AA50" s="411"/>
    </row>
    <row r="51" spans="1:27" ht="15.75" customHeight="1">
      <c r="A51" s="393"/>
      <c r="B51" s="394"/>
      <c r="C51" s="355"/>
      <c r="D51" s="394"/>
      <c r="E51" s="395"/>
      <c r="F51" s="396"/>
      <c r="G51" s="396"/>
      <c r="H51" s="395"/>
      <c r="I51" s="396"/>
      <c r="J51" s="395"/>
      <c r="K51" s="396"/>
      <c r="L51" s="397"/>
      <c r="M51" s="396"/>
      <c r="N51" s="398"/>
      <c r="O51" s="393"/>
      <c r="P51" s="399"/>
      <c r="Q51" s="400"/>
      <c r="R51" s="400"/>
      <c r="S51" s="411"/>
      <c r="T51" s="411"/>
      <c r="U51" s="411"/>
      <c r="V51" s="411"/>
      <c r="W51" s="411"/>
      <c r="X51" s="411"/>
      <c r="Y51" s="411"/>
      <c r="Z51" s="411"/>
      <c r="AA51" s="411"/>
    </row>
    <row r="52" spans="1:27" ht="15.75" customHeight="1">
      <c r="A52" s="393"/>
      <c r="B52" s="394"/>
      <c r="C52" s="355"/>
      <c r="D52" s="394"/>
      <c r="E52" s="395"/>
      <c r="F52" s="396"/>
      <c r="G52" s="396"/>
      <c r="H52" s="395"/>
      <c r="I52" s="396"/>
      <c r="J52" s="395"/>
      <c r="K52" s="396"/>
      <c r="L52" s="397"/>
      <c r="M52" s="396"/>
      <c r="N52" s="398"/>
      <c r="O52" s="393"/>
      <c r="P52" s="399"/>
      <c r="Q52" s="400"/>
      <c r="R52" s="400"/>
      <c r="S52" s="411"/>
      <c r="T52" s="411"/>
      <c r="U52" s="411"/>
      <c r="V52" s="411"/>
      <c r="W52" s="411"/>
      <c r="X52" s="411"/>
      <c r="Y52" s="411"/>
      <c r="Z52" s="411"/>
      <c r="AA52" s="411"/>
    </row>
    <row r="53" spans="1:27" ht="15.75" customHeight="1">
      <c r="A53" s="393"/>
      <c r="B53" s="394"/>
      <c r="C53" s="355"/>
      <c r="D53" s="394"/>
      <c r="E53" s="395"/>
      <c r="F53" s="396"/>
      <c r="G53" s="396"/>
      <c r="H53" s="395"/>
      <c r="I53" s="396"/>
      <c r="J53" s="395"/>
      <c r="K53" s="396"/>
      <c r="L53" s="397"/>
      <c r="M53" s="396"/>
      <c r="N53" s="398"/>
      <c r="O53" s="393"/>
      <c r="P53" s="399"/>
      <c r="Q53" s="400"/>
      <c r="R53" s="400"/>
      <c r="S53" s="411"/>
      <c r="T53" s="411"/>
      <c r="U53" s="411"/>
      <c r="V53" s="411"/>
      <c r="W53" s="411"/>
      <c r="X53" s="411"/>
      <c r="Y53" s="411"/>
      <c r="Z53" s="411"/>
      <c r="AA53" s="411"/>
    </row>
    <row r="54" spans="1:27" ht="15.75" customHeight="1">
      <c r="A54" s="393"/>
      <c r="B54" s="394"/>
      <c r="C54" s="355"/>
      <c r="D54" s="394"/>
      <c r="E54" s="395"/>
      <c r="F54" s="396"/>
      <c r="G54" s="396"/>
      <c r="H54" s="395"/>
      <c r="I54" s="396"/>
      <c r="J54" s="395"/>
      <c r="K54" s="396"/>
      <c r="L54" s="397"/>
      <c r="M54" s="396"/>
      <c r="N54" s="398"/>
      <c r="O54" s="393"/>
      <c r="P54" s="399"/>
      <c r="Q54" s="400"/>
      <c r="R54" s="400"/>
      <c r="S54" s="411"/>
      <c r="T54" s="411"/>
      <c r="U54" s="411"/>
      <c r="V54" s="411"/>
      <c r="W54" s="411"/>
      <c r="X54" s="411"/>
      <c r="Y54" s="411"/>
      <c r="Z54" s="411"/>
      <c r="AA54" s="411"/>
    </row>
    <row r="55" spans="1:27" ht="15.75" customHeight="1">
      <c r="A55" s="393"/>
      <c r="B55" s="394"/>
      <c r="C55" s="355"/>
      <c r="D55" s="394"/>
      <c r="E55" s="395"/>
      <c r="F55" s="396"/>
      <c r="G55" s="396"/>
      <c r="H55" s="395"/>
      <c r="I55" s="396"/>
      <c r="J55" s="395"/>
      <c r="K55" s="396"/>
      <c r="L55" s="397"/>
      <c r="M55" s="396"/>
      <c r="N55" s="398"/>
      <c r="O55" s="393"/>
      <c r="P55" s="399"/>
      <c r="Q55" s="400"/>
      <c r="R55" s="400"/>
      <c r="S55" s="411"/>
      <c r="T55" s="411"/>
      <c r="U55" s="411"/>
      <c r="V55" s="411"/>
      <c r="W55" s="411"/>
      <c r="X55" s="411"/>
      <c r="Y55" s="411"/>
      <c r="Z55" s="411"/>
      <c r="AA55" s="411"/>
    </row>
    <row r="56" spans="1:27" ht="15.75" customHeight="1">
      <c r="A56" s="393"/>
      <c r="B56" s="394"/>
      <c r="C56" s="355"/>
      <c r="D56" s="394"/>
      <c r="E56" s="395"/>
      <c r="F56" s="396"/>
      <c r="G56" s="396"/>
      <c r="H56" s="395"/>
      <c r="I56" s="396"/>
      <c r="J56" s="395"/>
      <c r="K56" s="396"/>
      <c r="L56" s="397"/>
      <c r="M56" s="396"/>
      <c r="N56" s="398"/>
      <c r="O56" s="393"/>
      <c r="P56" s="399"/>
      <c r="Q56" s="400"/>
      <c r="R56" s="400"/>
      <c r="S56" s="411"/>
      <c r="T56" s="411"/>
      <c r="U56" s="411"/>
      <c r="V56" s="411"/>
      <c r="W56" s="411"/>
      <c r="X56" s="411"/>
      <c r="Y56" s="411"/>
      <c r="Z56" s="411"/>
      <c r="AA56" s="411"/>
    </row>
    <row r="57" spans="1:27" ht="15.75" customHeight="1">
      <c r="A57" s="393"/>
      <c r="B57" s="394"/>
      <c r="C57" s="355"/>
      <c r="D57" s="394"/>
      <c r="E57" s="395"/>
      <c r="F57" s="396"/>
      <c r="G57" s="396"/>
      <c r="H57" s="395"/>
      <c r="I57" s="396"/>
      <c r="J57" s="395"/>
      <c r="K57" s="396"/>
      <c r="L57" s="397"/>
      <c r="M57" s="396"/>
      <c r="N57" s="398"/>
      <c r="O57" s="393"/>
      <c r="P57" s="399"/>
      <c r="Q57" s="400"/>
      <c r="R57" s="400"/>
      <c r="S57" s="412"/>
      <c r="T57" s="412"/>
      <c r="U57" s="412"/>
      <c r="V57" s="412"/>
      <c r="W57" s="412"/>
      <c r="X57" s="412"/>
      <c r="Y57" s="412"/>
      <c r="Z57" s="412"/>
      <c r="AA57" s="412"/>
    </row>
    <row r="58" spans="1:27" ht="15.75" customHeight="1">
      <c r="A58" s="393"/>
      <c r="B58" s="394"/>
      <c r="C58" s="355"/>
      <c r="D58" s="394"/>
      <c r="E58" s="395"/>
      <c r="F58" s="396"/>
      <c r="G58" s="396"/>
      <c r="H58" s="395"/>
      <c r="I58" s="396"/>
      <c r="J58" s="395"/>
      <c r="K58" s="396"/>
      <c r="L58" s="397"/>
      <c r="M58" s="396"/>
      <c r="N58" s="398"/>
      <c r="O58" s="393"/>
      <c r="P58" s="399"/>
      <c r="Q58" s="400"/>
      <c r="R58" s="400"/>
      <c r="S58" s="411"/>
      <c r="T58" s="411"/>
      <c r="U58" s="411"/>
      <c r="V58" s="411"/>
      <c r="W58" s="411"/>
      <c r="X58" s="411"/>
      <c r="Y58" s="411"/>
      <c r="Z58" s="411"/>
      <c r="AA58" s="411"/>
    </row>
    <row r="59" spans="1:27" ht="15.75" customHeight="1">
      <c r="A59" s="393"/>
      <c r="B59" s="394"/>
      <c r="C59" s="355"/>
      <c r="D59" s="394"/>
      <c r="E59" s="395"/>
      <c r="F59" s="396"/>
      <c r="G59" s="396"/>
      <c r="H59" s="395"/>
      <c r="I59" s="396"/>
      <c r="J59" s="395"/>
      <c r="K59" s="396"/>
      <c r="L59" s="397"/>
      <c r="M59" s="396"/>
      <c r="N59" s="398"/>
      <c r="O59" s="393"/>
      <c r="P59" s="399"/>
      <c r="Q59" s="400"/>
      <c r="R59" s="400"/>
      <c r="S59" s="413"/>
      <c r="T59" s="413"/>
      <c r="U59" s="413"/>
      <c r="V59" s="413"/>
      <c r="W59" s="413"/>
      <c r="X59" s="413"/>
      <c r="Y59" s="413"/>
      <c r="Z59" s="413"/>
      <c r="AA59" s="413"/>
    </row>
    <row r="60" spans="1:27" ht="15.75" customHeight="1">
      <c r="A60" s="393"/>
      <c r="B60" s="394"/>
      <c r="C60" s="355"/>
      <c r="D60" s="394"/>
      <c r="E60" s="395"/>
      <c r="F60" s="396"/>
      <c r="G60" s="396"/>
      <c r="H60" s="395"/>
      <c r="I60" s="396"/>
      <c r="J60" s="395"/>
      <c r="K60" s="396"/>
      <c r="L60" s="397"/>
      <c r="M60" s="396"/>
      <c r="N60" s="398"/>
      <c r="O60" s="393"/>
      <c r="P60" s="399"/>
      <c r="Q60" s="400"/>
      <c r="R60" s="400"/>
      <c r="S60" s="414"/>
      <c r="T60" s="414"/>
      <c r="U60" s="414"/>
      <c r="V60" s="414"/>
      <c r="W60" s="414"/>
      <c r="X60" s="414"/>
      <c r="Y60" s="414"/>
      <c r="Z60" s="414"/>
      <c r="AA60" s="414"/>
    </row>
    <row r="61" spans="1:27" ht="15.75" customHeight="1">
      <c r="A61" s="415"/>
      <c r="B61" s="416"/>
      <c r="C61" s="355"/>
      <c r="D61" s="416"/>
      <c r="E61" s="417"/>
      <c r="F61" s="418"/>
      <c r="G61" s="418"/>
      <c r="H61" s="417"/>
      <c r="I61" s="418"/>
      <c r="J61" s="417"/>
      <c r="K61" s="418"/>
      <c r="L61" s="419"/>
      <c r="M61" s="418"/>
      <c r="N61" s="420"/>
      <c r="O61" s="415"/>
      <c r="P61" s="421"/>
      <c r="Q61" s="422"/>
      <c r="R61" s="422"/>
      <c r="S61" s="159"/>
      <c r="T61" s="159"/>
      <c r="U61" s="159"/>
      <c r="V61" s="159"/>
      <c r="W61" s="159"/>
      <c r="X61" s="159"/>
      <c r="Y61" s="159"/>
      <c r="Z61" s="159"/>
      <c r="AA61" s="159"/>
    </row>
    <row r="62" spans="1:27" ht="15.75" customHeight="1">
      <c r="A62" s="415"/>
      <c r="B62" s="416"/>
      <c r="C62" s="355"/>
      <c r="D62" s="416"/>
      <c r="E62" s="417"/>
      <c r="F62" s="418"/>
      <c r="G62" s="418"/>
      <c r="H62" s="417"/>
      <c r="I62" s="418"/>
      <c r="J62" s="417"/>
      <c r="K62" s="418"/>
      <c r="L62" s="419"/>
      <c r="M62" s="418"/>
      <c r="N62" s="420"/>
      <c r="O62" s="415"/>
      <c r="P62" s="421"/>
      <c r="Q62" s="422"/>
      <c r="R62" s="422"/>
      <c r="S62" s="159"/>
      <c r="T62" s="159"/>
      <c r="U62" s="159"/>
      <c r="V62" s="159"/>
      <c r="W62" s="159"/>
      <c r="X62" s="159"/>
      <c r="Y62" s="159"/>
      <c r="Z62" s="159"/>
      <c r="AA62" s="159"/>
    </row>
    <row r="63" spans="1:27" ht="15.75" customHeight="1">
      <c r="A63" s="423"/>
      <c r="B63" s="424"/>
      <c r="C63" s="425"/>
      <c r="D63" s="424"/>
      <c r="E63" s="426"/>
      <c r="F63" s="427"/>
      <c r="G63" s="427"/>
      <c r="H63" s="426"/>
      <c r="I63" s="427"/>
      <c r="J63" s="426"/>
      <c r="K63" s="427"/>
      <c r="L63" s="428"/>
      <c r="M63" s="427"/>
      <c r="N63" s="429"/>
      <c r="O63" s="423"/>
      <c r="P63" s="430"/>
      <c r="Q63" s="431"/>
      <c r="R63" s="431"/>
      <c r="S63" s="432"/>
      <c r="T63" s="432"/>
      <c r="U63" s="432"/>
      <c r="V63" s="432"/>
      <c r="W63" s="432"/>
      <c r="X63" s="432"/>
      <c r="Y63" s="432"/>
      <c r="Z63" s="432"/>
      <c r="AA63" s="432"/>
    </row>
    <row r="64" spans="1:27" ht="15.75" customHeight="1">
      <c r="A64" s="433"/>
      <c r="B64" s="434"/>
      <c r="C64" s="425"/>
      <c r="D64" s="434"/>
      <c r="E64" s="435"/>
      <c r="F64" s="436"/>
      <c r="G64" s="436"/>
      <c r="H64" s="435"/>
      <c r="I64" s="436"/>
      <c r="J64" s="435"/>
      <c r="K64" s="436"/>
      <c r="L64" s="437"/>
      <c r="M64" s="436"/>
      <c r="N64" s="438"/>
      <c r="O64" s="433"/>
      <c r="P64" s="439"/>
      <c r="Q64" s="440"/>
      <c r="R64" s="440"/>
      <c r="S64" s="441"/>
      <c r="T64" s="441"/>
      <c r="U64" s="441"/>
      <c r="V64" s="441"/>
      <c r="W64" s="441"/>
      <c r="X64" s="441"/>
      <c r="Y64" s="441"/>
      <c r="Z64" s="441"/>
      <c r="AA64" s="441"/>
    </row>
    <row r="65" spans="1:27" ht="15.75" customHeight="1">
      <c r="A65" s="433"/>
      <c r="B65" s="434"/>
      <c r="C65" s="425"/>
      <c r="D65" s="434"/>
      <c r="E65" s="435"/>
      <c r="F65" s="436"/>
      <c r="G65" s="436"/>
      <c r="H65" s="435"/>
      <c r="I65" s="436"/>
      <c r="J65" s="435"/>
      <c r="K65" s="436"/>
      <c r="L65" s="437"/>
      <c r="M65" s="436"/>
      <c r="N65" s="438"/>
      <c r="O65" s="433"/>
      <c r="P65" s="439"/>
      <c r="Q65" s="440"/>
      <c r="R65" s="440"/>
      <c r="S65" s="441"/>
      <c r="T65" s="441"/>
      <c r="U65" s="441"/>
      <c r="V65" s="441"/>
      <c r="W65" s="441"/>
      <c r="X65" s="441"/>
      <c r="Y65" s="441"/>
      <c r="Z65" s="441"/>
      <c r="AA65" s="441"/>
    </row>
    <row r="66" spans="1:27" ht="15.75" customHeight="1">
      <c r="A66" s="433"/>
      <c r="B66" s="434"/>
      <c r="C66" s="425"/>
      <c r="D66" s="434"/>
      <c r="E66" s="435"/>
      <c r="F66" s="436"/>
      <c r="G66" s="436"/>
      <c r="H66" s="435"/>
      <c r="I66" s="436"/>
      <c r="J66" s="435"/>
      <c r="K66" s="436"/>
      <c r="L66" s="437"/>
      <c r="M66" s="436"/>
      <c r="N66" s="438"/>
      <c r="O66" s="433"/>
      <c r="P66" s="439"/>
      <c r="Q66" s="440"/>
      <c r="R66" s="440"/>
      <c r="S66" s="441"/>
      <c r="T66" s="441"/>
      <c r="U66" s="441"/>
      <c r="V66" s="441"/>
      <c r="W66" s="441"/>
      <c r="X66" s="441"/>
      <c r="Y66" s="441"/>
      <c r="Z66" s="441"/>
      <c r="AA66" s="441"/>
    </row>
    <row r="67" spans="1:27" ht="15.75" customHeight="1">
      <c r="A67" s="433"/>
      <c r="B67" s="434"/>
      <c r="C67" s="425"/>
      <c r="D67" s="434"/>
      <c r="E67" s="435"/>
      <c r="F67" s="436"/>
      <c r="G67" s="436"/>
      <c r="H67" s="435"/>
      <c r="I67" s="436"/>
      <c r="J67" s="435"/>
      <c r="K67" s="436"/>
      <c r="L67" s="437"/>
      <c r="M67" s="436"/>
      <c r="N67" s="438"/>
      <c r="O67" s="433"/>
      <c r="P67" s="439"/>
      <c r="Q67" s="440"/>
      <c r="R67" s="440"/>
      <c r="S67" s="442"/>
      <c r="T67" s="442"/>
      <c r="U67" s="442"/>
      <c r="V67" s="442"/>
      <c r="W67" s="442"/>
      <c r="X67" s="442"/>
      <c r="Y67" s="442"/>
      <c r="Z67" s="442"/>
      <c r="AA67" s="442"/>
    </row>
    <row r="68" spans="1:27" ht="15.75" customHeight="1">
      <c r="A68" s="433"/>
      <c r="B68" s="434"/>
      <c r="C68" s="425"/>
      <c r="D68" s="434"/>
      <c r="E68" s="435"/>
      <c r="F68" s="436"/>
      <c r="G68" s="436"/>
      <c r="H68" s="435"/>
      <c r="I68" s="436"/>
      <c r="J68" s="435"/>
      <c r="K68" s="436"/>
      <c r="L68" s="437"/>
      <c r="M68" s="436"/>
      <c r="N68" s="438"/>
      <c r="O68" s="433"/>
      <c r="P68" s="439"/>
      <c r="Q68" s="440"/>
      <c r="R68" s="440"/>
      <c r="S68" s="442"/>
      <c r="T68" s="442"/>
      <c r="U68" s="442"/>
      <c r="V68" s="442"/>
      <c r="W68" s="442"/>
      <c r="X68" s="442"/>
      <c r="Y68" s="442"/>
      <c r="Z68" s="442"/>
      <c r="AA68" s="442"/>
    </row>
    <row r="69" spans="1:27" ht="15.75" customHeight="1">
      <c r="A69" s="433"/>
      <c r="B69" s="434"/>
      <c r="C69" s="425"/>
      <c r="D69" s="434"/>
      <c r="E69" s="435"/>
      <c r="F69" s="436"/>
      <c r="G69" s="436"/>
      <c r="H69" s="435"/>
      <c r="I69" s="436"/>
      <c r="J69" s="435"/>
      <c r="K69" s="436"/>
      <c r="L69" s="437"/>
      <c r="M69" s="436"/>
      <c r="N69" s="438"/>
      <c r="O69" s="433"/>
      <c r="P69" s="439"/>
      <c r="Q69" s="440"/>
      <c r="R69" s="440"/>
      <c r="S69" s="443"/>
      <c r="T69" s="443"/>
      <c r="U69" s="443"/>
      <c r="V69" s="443"/>
      <c r="W69" s="443"/>
      <c r="X69" s="443"/>
      <c r="Y69" s="443"/>
      <c r="Z69" s="443"/>
      <c r="AA69" s="443"/>
    </row>
    <row r="70" spans="1:27" ht="15.75" customHeight="1">
      <c r="A70" s="433"/>
      <c r="B70" s="434"/>
      <c r="C70" s="425"/>
      <c r="D70" s="434"/>
      <c r="E70" s="435"/>
      <c r="F70" s="436"/>
      <c r="G70" s="436"/>
      <c r="H70" s="435"/>
      <c r="I70" s="436"/>
      <c r="J70" s="435"/>
      <c r="K70" s="436"/>
      <c r="L70" s="437"/>
      <c r="M70" s="436"/>
      <c r="N70" s="438"/>
      <c r="O70" s="433"/>
      <c r="P70" s="439"/>
      <c r="Q70" s="440"/>
      <c r="R70" s="440"/>
      <c r="S70" s="442"/>
      <c r="T70" s="442"/>
      <c r="U70" s="442"/>
      <c r="V70" s="442"/>
      <c r="W70" s="442"/>
      <c r="X70" s="442"/>
      <c r="Y70" s="442"/>
      <c r="Z70" s="442"/>
      <c r="AA70" s="442"/>
    </row>
    <row r="71" spans="1:27" ht="15.75" customHeight="1">
      <c r="A71" s="433"/>
      <c r="B71" s="434"/>
      <c r="C71" s="425"/>
      <c r="D71" s="434"/>
      <c r="E71" s="435"/>
      <c r="F71" s="436"/>
      <c r="G71" s="436"/>
      <c r="H71" s="435"/>
      <c r="I71" s="436"/>
      <c r="J71" s="435"/>
      <c r="K71" s="436"/>
      <c r="L71" s="437"/>
      <c r="M71" s="436"/>
      <c r="N71" s="438"/>
      <c r="O71" s="433"/>
      <c r="P71" s="439"/>
      <c r="Q71" s="440"/>
      <c r="R71" s="440"/>
      <c r="S71" s="442"/>
      <c r="T71" s="442"/>
      <c r="U71" s="442"/>
      <c r="V71" s="442"/>
      <c r="W71" s="442"/>
      <c r="X71" s="442"/>
      <c r="Y71" s="442"/>
      <c r="Z71" s="442"/>
      <c r="AA71" s="442"/>
    </row>
    <row r="72" spans="1:27" ht="15.75" customHeight="1">
      <c r="A72" s="433"/>
      <c r="B72" s="434"/>
      <c r="C72" s="425"/>
      <c r="D72" s="434"/>
      <c r="E72" s="435"/>
      <c r="F72" s="436"/>
      <c r="G72" s="436"/>
      <c r="H72" s="435"/>
      <c r="I72" s="436"/>
      <c r="J72" s="435"/>
      <c r="K72" s="436"/>
      <c r="L72" s="437"/>
      <c r="M72" s="436"/>
      <c r="N72" s="438"/>
      <c r="O72" s="433"/>
      <c r="P72" s="439"/>
      <c r="Q72" s="440"/>
      <c r="R72" s="440"/>
      <c r="S72" s="444"/>
      <c r="T72" s="444"/>
      <c r="U72" s="444"/>
      <c r="V72" s="444"/>
      <c r="W72" s="444"/>
      <c r="X72" s="444"/>
      <c r="Y72" s="444"/>
      <c r="Z72" s="444"/>
      <c r="AA72" s="444"/>
    </row>
    <row r="73" spans="1:27" ht="15.75" customHeight="1">
      <c r="A73" s="433"/>
      <c r="B73" s="434"/>
      <c r="C73" s="425"/>
      <c r="D73" s="434"/>
      <c r="E73" s="435"/>
      <c r="F73" s="436"/>
      <c r="G73" s="436"/>
      <c r="H73" s="435"/>
      <c r="I73" s="436"/>
      <c r="J73" s="435"/>
      <c r="K73" s="436"/>
      <c r="L73" s="437"/>
      <c r="M73" s="436"/>
      <c r="N73" s="438"/>
      <c r="O73" s="433"/>
      <c r="P73" s="439"/>
      <c r="Q73" s="440"/>
      <c r="R73" s="440"/>
      <c r="S73" s="442"/>
      <c r="T73" s="442"/>
      <c r="U73" s="442"/>
      <c r="V73" s="442"/>
      <c r="W73" s="442"/>
      <c r="X73" s="442"/>
      <c r="Y73" s="442"/>
      <c r="Z73" s="442"/>
      <c r="AA73" s="442"/>
    </row>
    <row r="74" spans="1:27" ht="15.75" customHeight="1">
      <c r="A74" s="433"/>
      <c r="B74" s="434"/>
      <c r="C74" s="425"/>
      <c r="D74" s="434"/>
      <c r="E74" s="435"/>
      <c r="F74" s="436"/>
      <c r="G74" s="436"/>
      <c r="H74" s="435"/>
      <c r="I74" s="436"/>
      <c r="J74" s="435"/>
      <c r="K74" s="436"/>
      <c r="L74" s="437"/>
      <c r="M74" s="436"/>
      <c r="N74" s="438"/>
      <c r="O74" s="433"/>
      <c r="P74" s="439"/>
      <c r="Q74" s="440"/>
      <c r="R74" s="440"/>
      <c r="S74" s="442"/>
      <c r="T74" s="442"/>
      <c r="U74" s="442"/>
      <c r="V74" s="442"/>
      <c r="W74" s="442"/>
      <c r="X74" s="442"/>
      <c r="Y74" s="442"/>
      <c r="Z74" s="442"/>
      <c r="AA74" s="442"/>
    </row>
    <row r="75" spans="1:27" ht="15.75" customHeight="1">
      <c r="A75" s="433"/>
      <c r="B75" s="434"/>
      <c r="C75" s="425"/>
      <c r="D75" s="434"/>
      <c r="E75" s="435"/>
      <c r="F75" s="436"/>
      <c r="G75" s="436"/>
      <c r="H75" s="435"/>
      <c r="I75" s="436"/>
      <c r="J75" s="435"/>
      <c r="K75" s="436"/>
      <c r="L75" s="437"/>
      <c r="M75" s="436"/>
      <c r="N75" s="438"/>
      <c r="O75" s="433"/>
      <c r="P75" s="439"/>
      <c r="Q75" s="440"/>
      <c r="R75" s="440"/>
      <c r="S75" s="442"/>
      <c r="T75" s="442"/>
      <c r="U75" s="442"/>
      <c r="V75" s="442"/>
      <c r="W75" s="442"/>
      <c r="X75" s="442"/>
      <c r="Y75" s="442"/>
      <c r="Z75" s="442"/>
      <c r="AA75" s="442"/>
    </row>
    <row r="76" spans="1:27" ht="15.75" customHeight="1">
      <c r="A76" s="433"/>
      <c r="B76" s="434"/>
      <c r="C76" s="425"/>
      <c r="D76" s="434"/>
      <c r="E76" s="435"/>
      <c r="F76" s="436"/>
      <c r="G76" s="436"/>
      <c r="H76" s="435"/>
      <c r="I76" s="436"/>
      <c r="J76" s="435"/>
      <c r="K76" s="436"/>
      <c r="L76" s="437"/>
      <c r="M76" s="436"/>
      <c r="N76" s="438"/>
      <c r="O76" s="433"/>
      <c r="P76" s="439"/>
      <c r="Q76" s="440"/>
      <c r="R76" s="440"/>
      <c r="S76" s="442"/>
      <c r="T76" s="442"/>
      <c r="U76" s="442"/>
      <c r="V76" s="442"/>
      <c r="W76" s="442"/>
      <c r="X76" s="442"/>
      <c r="Y76" s="442"/>
      <c r="Z76" s="442"/>
      <c r="AA76" s="442"/>
    </row>
    <row r="77" spans="1:27" ht="15.75" customHeight="1">
      <c r="A77" s="433"/>
      <c r="B77" s="434"/>
      <c r="C77" s="425"/>
      <c r="D77" s="434"/>
      <c r="E77" s="435"/>
      <c r="F77" s="436"/>
      <c r="G77" s="436"/>
      <c r="H77" s="435"/>
      <c r="I77" s="436"/>
      <c r="J77" s="435"/>
      <c r="K77" s="436"/>
      <c r="L77" s="437"/>
      <c r="M77" s="436"/>
      <c r="N77" s="438"/>
      <c r="O77" s="433"/>
      <c r="P77" s="439"/>
      <c r="Q77" s="440"/>
      <c r="R77" s="440"/>
      <c r="S77" s="442"/>
      <c r="T77" s="442"/>
      <c r="U77" s="442"/>
      <c r="V77" s="442"/>
      <c r="W77" s="442"/>
      <c r="X77" s="442"/>
      <c r="Y77" s="442"/>
      <c r="Z77" s="442"/>
      <c r="AA77" s="442"/>
    </row>
    <row r="78" spans="1:27" ht="15.75" customHeight="1">
      <c r="A78" s="433"/>
      <c r="B78" s="434"/>
      <c r="C78" s="425"/>
      <c r="D78" s="434"/>
      <c r="E78" s="435"/>
      <c r="F78" s="436"/>
      <c r="G78" s="436"/>
      <c r="H78" s="435"/>
      <c r="I78" s="436"/>
      <c r="J78" s="435"/>
      <c r="K78" s="436"/>
      <c r="L78" s="437"/>
      <c r="M78" s="436"/>
      <c r="N78" s="438"/>
      <c r="O78" s="433"/>
      <c r="P78" s="439"/>
      <c r="Q78" s="440"/>
      <c r="R78" s="440"/>
      <c r="S78" s="445"/>
      <c r="T78" s="445"/>
      <c r="U78" s="445"/>
      <c r="V78" s="445"/>
      <c r="W78" s="445"/>
      <c r="X78" s="445"/>
      <c r="Y78" s="445"/>
      <c r="Z78" s="445"/>
      <c r="AA78" s="445"/>
    </row>
    <row r="79" spans="1:27" ht="15.75" customHeight="1">
      <c r="A79" s="433"/>
      <c r="B79" s="434"/>
      <c r="C79" s="425"/>
      <c r="D79" s="434"/>
      <c r="E79" s="435"/>
      <c r="F79" s="436"/>
      <c r="G79" s="436"/>
      <c r="H79" s="435"/>
      <c r="I79" s="436"/>
      <c r="J79" s="435"/>
      <c r="K79" s="436"/>
      <c r="L79" s="437"/>
      <c r="M79" s="436"/>
      <c r="N79" s="438"/>
      <c r="O79" s="433"/>
      <c r="P79" s="439"/>
      <c r="Q79" s="440"/>
      <c r="R79" s="440"/>
      <c r="S79" s="445"/>
      <c r="T79" s="445"/>
      <c r="U79" s="445"/>
      <c r="V79" s="445"/>
      <c r="W79" s="445"/>
      <c r="X79" s="445"/>
      <c r="Y79" s="445"/>
      <c r="Z79" s="445"/>
      <c r="AA79" s="445"/>
    </row>
    <row r="80" spans="1:27" ht="15.75" customHeight="1">
      <c r="A80" s="433"/>
      <c r="B80" s="434"/>
      <c r="C80" s="425"/>
      <c r="D80" s="434"/>
      <c r="E80" s="435"/>
      <c r="F80" s="436"/>
      <c r="G80" s="436"/>
      <c r="H80" s="435"/>
      <c r="I80" s="436"/>
      <c r="J80" s="435"/>
      <c r="K80" s="436"/>
      <c r="L80" s="437"/>
      <c r="M80" s="436"/>
      <c r="N80" s="438"/>
      <c r="O80" s="433"/>
      <c r="P80" s="439"/>
      <c r="Q80" s="440"/>
      <c r="R80" s="440"/>
      <c r="S80" s="446"/>
      <c r="T80" s="446"/>
      <c r="U80" s="446"/>
      <c r="V80" s="446"/>
      <c r="W80" s="446"/>
      <c r="X80" s="446"/>
      <c r="Y80" s="446"/>
      <c r="Z80" s="446"/>
      <c r="AA80" s="446"/>
    </row>
    <row r="81" spans="1:27" ht="15.75" customHeight="1">
      <c r="A81" s="433"/>
      <c r="B81" s="434"/>
      <c r="C81" s="425"/>
      <c r="D81" s="434"/>
      <c r="E81" s="435"/>
      <c r="F81" s="436"/>
      <c r="G81" s="436"/>
      <c r="H81" s="435"/>
      <c r="I81" s="436"/>
      <c r="J81" s="435"/>
      <c r="K81" s="436"/>
      <c r="L81" s="437"/>
      <c r="M81" s="436"/>
      <c r="N81" s="438"/>
      <c r="O81" s="433"/>
      <c r="P81" s="439"/>
      <c r="Q81" s="440"/>
      <c r="R81" s="440"/>
      <c r="S81" s="447"/>
      <c r="T81" s="447"/>
      <c r="U81" s="447"/>
      <c r="V81" s="447"/>
      <c r="W81" s="447"/>
      <c r="X81" s="447"/>
      <c r="Y81" s="447"/>
      <c r="Z81" s="447"/>
      <c r="AA81" s="447"/>
    </row>
    <row r="82" spans="1:27" ht="15.75" customHeight="1">
      <c r="A82" s="423"/>
      <c r="B82" s="424"/>
      <c r="C82" s="425"/>
      <c r="D82" s="424"/>
      <c r="E82" s="426"/>
      <c r="F82" s="427"/>
      <c r="G82" s="427"/>
      <c r="H82" s="426"/>
      <c r="I82" s="427"/>
      <c r="J82" s="426"/>
      <c r="K82" s="427"/>
      <c r="L82" s="428"/>
      <c r="M82" s="427"/>
      <c r="N82" s="429"/>
      <c r="O82" s="423"/>
      <c r="P82" s="430"/>
      <c r="Q82" s="431"/>
      <c r="R82" s="431"/>
      <c r="S82" s="447"/>
      <c r="T82" s="447"/>
      <c r="U82" s="447"/>
      <c r="V82" s="447"/>
      <c r="W82" s="447"/>
      <c r="X82" s="447"/>
      <c r="Y82" s="447"/>
      <c r="Z82" s="447"/>
      <c r="AA82" s="447"/>
    </row>
    <row r="83" spans="1:27" ht="15.75" customHeight="1">
      <c r="A83" s="423"/>
      <c r="B83" s="424"/>
      <c r="C83" s="425"/>
      <c r="D83" s="424"/>
      <c r="E83" s="426"/>
      <c r="F83" s="427"/>
      <c r="G83" s="427"/>
      <c r="H83" s="426"/>
      <c r="I83" s="427"/>
      <c r="J83" s="426"/>
      <c r="K83" s="427"/>
      <c r="L83" s="428"/>
      <c r="M83" s="427"/>
      <c r="N83" s="429"/>
      <c r="O83" s="423"/>
      <c r="P83" s="430"/>
      <c r="Q83" s="431"/>
      <c r="R83" s="431"/>
      <c r="S83" s="447"/>
      <c r="T83" s="447"/>
      <c r="U83" s="447"/>
      <c r="V83" s="447"/>
      <c r="W83" s="447"/>
      <c r="X83" s="447"/>
      <c r="Y83" s="447"/>
      <c r="Z83" s="447"/>
      <c r="AA83" s="447"/>
    </row>
    <row r="84" spans="1:27" ht="15.75" customHeight="1">
      <c r="A84" s="423"/>
      <c r="B84" s="424"/>
      <c r="C84" s="425"/>
      <c r="D84" s="424"/>
      <c r="E84" s="426"/>
      <c r="F84" s="427"/>
      <c r="G84" s="427"/>
      <c r="H84" s="426"/>
      <c r="I84" s="427"/>
      <c r="J84" s="426"/>
      <c r="K84" s="427"/>
      <c r="L84" s="428"/>
      <c r="M84" s="427"/>
      <c r="N84" s="429"/>
      <c r="O84" s="423"/>
      <c r="P84" s="430"/>
      <c r="Q84" s="431"/>
      <c r="R84" s="431"/>
      <c r="S84" s="447"/>
      <c r="T84" s="447"/>
      <c r="U84" s="447"/>
      <c r="V84" s="447"/>
      <c r="W84" s="447"/>
      <c r="X84" s="447"/>
      <c r="Y84" s="447"/>
      <c r="Z84" s="447"/>
      <c r="AA84" s="447"/>
    </row>
    <row r="85" spans="1:27" ht="15.75" customHeight="1">
      <c r="A85" s="423"/>
      <c r="B85" s="424"/>
      <c r="C85" s="425"/>
      <c r="D85" s="424"/>
      <c r="E85" s="426"/>
      <c r="F85" s="427"/>
      <c r="G85" s="427"/>
      <c r="H85" s="426"/>
      <c r="I85" s="427"/>
      <c r="J85" s="426"/>
      <c r="K85" s="427"/>
      <c r="L85" s="428"/>
      <c r="M85" s="427"/>
      <c r="N85" s="429"/>
      <c r="O85" s="423"/>
      <c r="P85" s="430"/>
      <c r="Q85" s="431"/>
      <c r="R85" s="431"/>
      <c r="S85" s="447"/>
      <c r="T85" s="447"/>
      <c r="U85" s="447"/>
      <c r="V85" s="447"/>
      <c r="W85" s="447"/>
      <c r="X85" s="447"/>
      <c r="Y85" s="447"/>
      <c r="Z85" s="447"/>
      <c r="AA85" s="447"/>
    </row>
    <row r="86" spans="1:27" ht="15.75" customHeight="1">
      <c r="A86" s="423"/>
      <c r="B86" s="424"/>
      <c r="C86" s="425"/>
      <c r="D86" s="424"/>
      <c r="E86" s="426"/>
      <c r="F86" s="427"/>
      <c r="G86" s="427"/>
      <c r="H86" s="426"/>
      <c r="I86" s="427"/>
      <c r="J86" s="426"/>
      <c r="K86" s="427"/>
      <c r="L86" s="428"/>
      <c r="M86" s="427"/>
      <c r="N86" s="429"/>
      <c r="O86" s="423"/>
      <c r="P86" s="430"/>
      <c r="Q86" s="431"/>
      <c r="R86" s="431"/>
      <c r="S86" s="447"/>
      <c r="T86" s="447"/>
      <c r="U86" s="447"/>
      <c r="V86" s="447"/>
      <c r="W86" s="447"/>
      <c r="X86" s="447"/>
      <c r="Y86" s="447"/>
      <c r="Z86" s="447"/>
      <c r="AA86" s="447"/>
    </row>
    <row r="87" spans="1:27" ht="15.75" customHeight="1">
      <c r="A87" s="423"/>
      <c r="B87" s="424"/>
      <c r="C87" s="425"/>
      <c r="D87" s="424"/>
      <c r="E87" s="426"/>
      <c r="F87" s="427"/>
      <c r="G87" s="427"/>
      <c r="H87" s="426"/>
      <c r="I87" s="427"/>
      <c r="J87" s="426"/>
      <c r="K87" s="427"/>
      <c r="L87" s="428"/>
      <c r="M87" s="427"/>
      <c r="N87" s="429"/>
      <c r="O87" s="423"/>
      <c r="P87" s="430"/>
      <c r="Q87" s="431"/>
      <c r="R87" s="431"/>
      <c r="S87" s="447"/>
      <c r="T87" s="447"/>
      <c r="U87" s="447"/>
      <c r="V87" s="447"/>
      <c r="W87" s="447"/>
      <c r="X87" s="447"/>
      <c r="Y87" s="447"/>
      <c r="Z87" s="447"/>
      <c r="AA87" s="447"/>
    </row>
    <row r="88" spans="1:27" ht="15.75" customHeight="1">
      <c r="A88" s="423"/>
      <c r="B88" s="424"/>
      <c r="C88" s="425"/>
      <c r="D88" s="424"/>
      <c r="E88" s="426"/>
      <c r="F88" s="427"/>
      <c r="G88" s="427"/>
      <c r="H88" s="426"/>
      <c r="I88" s="427"/>
      <c r="J88" s="426"/>
      <c r="K88" s="427"/>
      <c r="L88" s="428"/>
      <c r="M88" s="427"/>
      <c r="N88" s="429"/>
      <c r="O88" s="423"/>
      <c r="P88" s="430"/>
      <c r="Q88" s="431"/>
      <c r="R88" s="431"/>
      <c r="S88" s="447"/>
      <c r="T88" s="447"/>
      <c r="U88" s="447"/>
      <c r="V88" s="447"/>
      <c r="W88" s="447"/>
      <c r="X88" s="447"/>
      <c r="Y88" s="447"/>
      <c r="Z88" s="447"/>
      <c r="AA88" s="447"/>
    </row>
    <row r="89" spans="1:27" ht="15.75" customHeight="1">
      <c r="A89" s="448"/>
      <c r="B89" s="449"/>
      <c r="C89" s="450"/>
      <c r="D89" s="449"/>
      <c r="E89" s="451"/>
      <c r="F89" s="452"/>
      <c r="G89" s="452"/>
      <c r="H89" s="451"/>
      <c r="I89" s="452"/>
      <c r="J89" s="451"/>
      <c r="K89" s="452"/>
      <c r="L89" s="453"/>
      <c r="M89" s="452"/>
      <c r="N89" s="454"/>
      <c r="O89" s="448"/>
      <c r="P89" s="455"/>
      <c r="Q89" s="456"/>
      <c r="R89" s="456"/>
      <c r="S89" s="457"/>
      <c r="T89" s="457"/>
      <c r="U89" s="457"/>
      <c r="V89" s="457"/>
      <c r="W89" s="457"/>
      <c r="X89" s="457"/>
      <c r="Y89" s="457"/>
      <c r="Z89" s="457"/>
      <c r="AA89" s="457"/>
    </row>
    <row r="90" spans="1:27" ht="15.75" customHeight="1">
      <c r="A90" s="448"/>
      <c r="B90" s="449"/>
      <c r="C90" s="450"/>
      <c r="D90" s="449"/>
      <c r="E90" s="451"/>
      <c r="F90" s="452"/>
      <c r="G90" s="452"/>
      <c r="H90" s="451"/>
      <c r="I90" s="452"/>
      <c r="J90" s="451"/>
      <c r="K90" s="452"/>
      <c r="L90" s="453"/>
      <c r="M90" s="452"/>
      <c r="N90" s="454"/>
      <c r="O90" s="448"/>
      <c r="P90" s="455"/>
      <c r="Q90" s="456"/>
      <c r="R90" s="456"/>
      <c r="S90" s="458"/>
      <c r="T90" s="458"/>
      <c r="U90" s="458"/>
      <c r="V90" s="458"/>
      <c r="W90" s="458"/>
      <c r="X90" s="458"/>
      <c r="Y90" s="458"/>
      <c r="Z90" s="458"/>
      <c r="AA90" s="458"/>
    </row>
    <row r="91" spans="1:27" ht="15.75" customHeight="1">
      <c r="A91" s="448"/>
      <c r="B91" s="449"/>
      <c r="C91" s="450"/>
      <c r="D91" s="449"/>
      <c r="E91" s="451"/>
      <c r="F91" s="452"/>
      <c r="G91" s="452"/>
      <c r="H91" s="451"/>
      <c r="I91" s="452"/>
      <c r="J91" s="451"/>
      <c r="K91" s="452"/>
      <c r="L91" s="453"/>
      <c r="M91" s="452"/>
      <c r="N91" s="454"/>
      <c r="O91" s="448"/>
      <c r="P91" s="455"/>
      <c r="Q91" s="456"/>
      <c r="R91" s="456"/>
      <c r="S91" s="459"/>
      <c r="T91" s="459"/>
      <c r="U91" s="459"/>
      <c r="V91" s="459"/>
      <c r="W91" s="459"/>
      <c r="X91" s="459"/>
      <c r="Y91" s="459"/>
      <c r="Z91" s="459"/>
      <c r="AA91" s="459"/>
    </row>
    <row r="92" spans="1:27" ht="15.75" customHeight="1">
      <c r="A92" s="448"/>
      <c r="B92" s="449"/>
      <c r="C92" s="450"/>
      <c r="D92" s="449"/>
      <c r="E92" s="451"/>
      <c r="F92" s="452"/>
      <c r="G92" s="452"/>
      <c r="H92" s="451"/>
      <c r="I92" s="452"/>
      <c r="J92" s="451"/>
      <c r="K92" s="452"/>
      <c r="L92" s="453"/>
      <c r="M92" s="452"/>
      <c r="N92" s="454"/>
      <c r="O92" s="448"/>
      <c r="P92" s="455"/>
      <c r="Q92" s="456"/>
      <c r="R92" s="456"/>
      <c r="S92" s="457"/>
      <c r="T92" s="457"/>
      <c r="U92" s="457"/>
      <c r="V92" s="457"/>
      <c r="W92" s="457"/>
      <c r="X92" s="457"/>
      <c r="Y92" s="457"/>
      <c r="Z92" s="457"/>
      <c r="AA92" s="457"/>
    </row>
    <row r="93" spans="1:27" ht="15.75" customHeight="1">
      <c r="A93" s="448"/>
      <c r="B93" s="449"/>
      <c r="C93" s="450"/>
      <c r="D93" s="449"/>
      <c r="E93" s="451"/>
      <c r="F93" s="452"/>
      <c r="G93" s="452"/>
      <c r="H93" s="451"/>
      <c r="I93" s="452"/>
      <c r="J93" s="451"/>
      <c r="K93" s="452"/>
      <c r="L93" s="453"/>
      <c r="M93" s="452"/>
      <c r="N93" s="454"/>
      <c r="O93" s="448"/>
      <c r="P93" s="455"/>
      <c r="Q93" s="456"/>
      <c r="R93" s="456"/>
      <c r="S93" s="457"/>
      <c r="T93" s="457"/>
      <c r="U93" s="457"/>
      <c r="V93" s="457"/>
      <c r="W93" s="457"/>
      <c r="X93" s="457"/>
      <c r="Y93" s="457"/>
      <c r="Z93" s="457"/>
      <c r="AA93" s="457"/>
    </row>
    <row r="94" spans="1:27" ht="15.75" customHeight="1">
      <c r="A94" s="448"/>
      <c r="B94" s="449"/>
      <c r="C94" s="450"/>
      <c r="D94" s="449"/>
      <c r="E94" s="451"/>
      <c r="F94" s="452"/>
      <c r="G94" s="452"/>
      <c r="H94" s="451"/>
      <c r="I94" s="452"/>
      <c r="J94" s="451"/>
      <c r="K94" s="452"/>
      <c r="L94" s="453"/>
      <c r="M94" s="452"/>
      <c r="N94" s="454"/>
      <c r="O94" s="448"/>
      <c r="P94" s="455"/>
      <c r="Q94" s="456"/>
      <c r="R94" s="456"/>
      <c r="S94" s="457"/>
      <c r="T94" s="457"/>
      <c r="U94" s="457"/>
      <c r="V94" s="457"/>
      <c r="W94" s="457"/>
      <c r="X94" s="457"/>
      <c r="Y94" s="457"/>
      <c r="Z94" s="457"/>
      <c r="AA94" s="457"/>
    </row>
    <row r="95" spans="1:27" ht="15.75" customHeight="1">
      <c r="A95" s="448"/>
      <c r="B95" s="460"/>
      <c r="C95" s="450"/>
      <c r="D95" s="449"/>
      <c r="E95" s="451"/>
      <c r="F95" s="452"/>
      <c r="G95" s="452"/>
      <c r="H95" s="451"/>
      <c r="I95" s="452"/>
      <c r="J95" s="451"/>
      <c r="K95" s="452"/>
      <c r="L95" s="453"/>
      <c r="M95" s="452"/>
      <c r="N95" s="454"/>
      <c r="O95" s="448"/>
      <c r="P95" s="455"/>
      <c r="Q95" s="456"/>
      <c r="R95" s="456"/>
      <c r="S95" s="461"/>
      <c r="T95" s="461"/>
      <c r="U95" s="461"/>
      <c r="V95" s="461"/>
      <c r="W95" s="461"/>
      <c r="X95" s="461"/>
      <c r="Y95" s="461"/>
      <c r="Z95" s="461"/>
      <c r="AA95" s="461"/>
    </row>
    <row r="96" spans="1:27" ht="15.75" customHeight="1">
      <c r="A96" s="448"/>
      <c r="B96" s="460"/>
      <c r="C96" s="450"/>
      <c r="D96" s="449"/>
      <c r="E96" s="451"/>
      <c r="F96" s="452"/>
      <c r="G96" s="452"/>
      <c r="H96" s="451"/>
      <c r="I96" s="452"/>
      <c r="J96" s="451"/>
      <c r="K96" s="452"/>
      <c r="L96" s="453"/>
      <c r="M96" s="452"/>
      <c r="N96" s="454"/>
      <c r="O96" s="448"/>
      <c r="P96" s="455"/>
      <c r="Q96" s="456"/>
      <c r="R96" s="456"/>
      <c r="S96" s="462"/>
      <c r="T96" s="462"/>
      <c r="U96" s="462"/>
      <c r="V96" s="462"/>
      <c r="W96" s="462"/>
      <c r="X96" s="462"/>
      <c r="Y96" s="462"/>
      <c r="Z96" s="462"/>
      <c r="AA96" s="462"/>
    </row>
    <row r="97" spans="1:18" ht="17.25" customHeight="1">
      <c r="A97" s="463"/>
      <c r="B97" s="460"/>
      <c r="C97" s="450"/>
      <c r="D97" s="460"/>
      <c r="E97" s="464"/>
      <c r="F97" s="465"/>
      <c r="G97" s="465"/>
      <c r="H97" s="464"/>
      <c r="I97" s="465"/>
      <c r="J97" s="464"/>
      <c r="K97" s="465"/>
      <c r="L97" s="466"/>
      <c r="M97" s="465"/>
      <c r="N97" s="467"/>
      <c r="O97" s="463"/>
      <c r="P97" s="468"/>
      <c r="Q97" s="469"/>
      <c r="R97" s="469"/>
    </row>
    <row r="98" spans="1:18" ht="15.75" customHeight="1">
      <c r="A98" s="470"/>
      <c r="B98" s="460"/>
      <c r="C98" s="450"/>
      <c r="D98" s="471"/>
      <c r="E98" s="464"/>
      <c r="F98" s="465"/>
      <c r="G98" s="472"/>
      <c r="H98" s="473"/>
      <c r="I98" s="472"/>
      <c r="J98" s="473"/>
      <c r="K98" s="472"/>
      <c r="L98" s="474"/>
      <c r="M98" s="472"/>
      <c r="N98" s="475"/>
      <c r="O98" s="470"/>
      <c r="P98" s="476"/>
      <c r="Q98" s="477"/>
      <c r="R98" s="477"/>
    </row>
    <row r="99" spans="1:18" ht="17.25" customHeight="1">
      <c r="A99" s="470"/>
      <c r="B99" s="471"/>
      <c r="C99" s="450"/>
      <c r="D99" s="471"/>
      <c r="E99" s="473"/>
      <c r="F99" s="472"/>
      <c r="G99" s="472"/>
      <c r="H99" s="473"/>
      <c r="I99" s="472"/>
      <c r="J99" s="473"/>
      <c r="K99" s="472"/>
      <c r="L99" s="474"/>
      <c r="M99" s="472"/>
      <c r="N99" s="475"/>
      <c r="O99" s="470"/>
      <c r="P99" s="476"/>
      <c r="Q99" s="477"/>
      <c r="R99" s="477"/>
    </row>
    <row r="100" spans="1:18" ht="15.75" customHeight="1">
      <c r="A100" s="470"/>
      <c r="B100" s="471"/>
      <c r="C100" s="450"/>
      <c r="D100" s="471"/>
      <c r="E100" s="473"/>
      <c r="F100" s="472"/>
      <c r="G100" s="472"/>
      <c r="H100" s="473"/>
      <c r="I100" s="472"/>
      <c r="J100" s="473"/>
      <c r="K100" s="472"/>
      <c r="L100" s="474"/>
      <c r="M100" s="472"/>
      <c r="N100" s="475"/>
      <c r="O100" s="470"/>
      <c r="P100" s="476"/>
      <c r="Q100" s="477"/>
      <c r="R100" s="477"/>
    </row>
    <row r="101" spans="1:18" ht="15.75" customHeight="1">
      <c r="A101" s="470"/>
      <c r="B101" s="471"/>
      <c r="C101" s="450"/>
      <c r="D101" s="471"/>
      <c r="E101" s="473"/>
      <c r="F101" s="472"/>
      <c r="G101" s="472"/>
      <c r="H101" s="473"/>
      <c r="I101" s="472"/>
      <c r="J101" s="473"/>
      <c r="K101" s="472"/>
      <c r="L101" s="474"/>
      <c r="M101" s="472"/>
      <c r="N101" s="475"/>
      <c r="O101" s="470"/>
      <c r="P101" s="476"/>
      <c r="Q101" s="477"/>
      <c r="R101" s="477"/>
    </row>
    <row r="102" spans="1:18" ht="15.75" customHeight="1">
      <c r="A102" s="470"/>
      <c r="B102" s="471"/>
      <c r="C102" s="450"/>
      <c r="D102" s="471"/>
      <c r="E102" s="473"/>
      <c r="F102" s="472"/>
      <c r="G102" s="472"/>
      <c r="H102" s="473"/>
      <c r="I102" s="472"/>
      <c r="J102" s="473"/>
      <c r="K102" s="472"/>
      <c r="L102" s="474"/>
      <c r="M102" s="472"/>
      <c r="N102" s="475"/>
      <c r="O102" s="470"/>
      <c r="P102" s="476"/>
      <c r="Q102" s="477"/>
      <c r="R102" s="477"/>
    </row>
    <row r="103" spans="1:18" ht="15.75" customHeight="1">
      <c r="A103" s="470"/>
      <c r="B103" s="471"/>
      <c r="C103" s="450"/>
      <c r="D103" s="471"/>
      <c r="E103" s="473"/>
      <c r="F103" s="472"/>
      <c r="G103" s="472"/>
      <c r="H103" s="473"/>
      <c r="I103" s="472"/>
      <c r="J103" s="473"/>
      <c r="K103" s="472"/>
      <c r="L103" s="474"/>
      <c r="M103" s="472"/>
      <c r="N103" s="475"/>
      <c r="O103" s="470"/>
      <c r="P103" s="476"/>
      <c r="Q103" s="477"/>
      <c r="R103" s="477"/>
    </row>
    <row r="104" spans="1:18" ht="15.75" customHeight="1">
      <c r="A104" s="470"/>
      <c r="B104" s="471"/>
      <c r="C104" s="450"/>
      <c r="D104" s="471"/>
      <c r="E104" s="473"/>
      <c r="F104" s="472"/>
      <c r="G104" s="472"/>
      <c r="H104" s="473"/>
      <c r="I104" s="472"/>
      <c r="J104" s="473"/>
      <c r="K104" s="472"/>
      <c r="L104" s="474"/>
      <c r="M104" s="472"/>
      <c r="N104" s="475"/>
      <c r="O104" s="470"/>
      <c r="P104" s="476"/>
      <c r="Q104" s="477"/>
      <c r="R104" s="477"/>
    </row>
    <row r="105" spans="1:18" ht="15.75" customHeight="1">
      <c r="A105" s="470"/>
      <c r="B105" s="471"/>
      <c r="C105" s="450"/>
      <c r="D105" s="471"/>
      <c r="E105" s="473"/>
      <c r="F105" s="472"/>
      <c r="G105" s="472"/>
      <c r="H105" s="473"/>
      <c r="I105" s="472"/>
      <c r="J105" s="473"/>
      <c r="K105" s="472"/>
      <c r="L105" s="474"/>
      <c r="M105" s="472"/>
      <c r="N105" s="475"/>
      <c r="O105" s="470"/>
      <c r="P105" s="476"/>
      <c r="Q105" s="477"/>
      <c r="R105" s="477"/>
    </row>
    <row r="106" spans="1:18" ht="15.75" customHeight="1">
      <c r="A106" s="470"/>
      <c r="B106" s="471"/>
      <c r="C106" s="450"/>
      <c r="D106" s="471"/>
      <c r="E106" s="473"/>
      <c r="F106" s="472"/>
      <c r="G106" s="472"/>
      <c r="H106" s="473"/>
      <c r="I106" s="472"/>
      <c r="J106" s="473"/>
      <c r="K106" s="472"/>
      <c r="L106" s="474"/>
      <c r="M106" s="472"/>
      <c r="N106" s="475"/>
      <c r="O106" s="470"/>
      <c r="P106" s="476"/>
      <c r="Q106" s="477"/>
      <c r="R106" s="477"/>
    </row>
    <row r="107" spans="1:18" ht="15.75" customHeight="1">
      <c r="A107" s="478"/>
      <c r="B107" s="479"/>
      <c r="C107" s="450"/>
      <c r="D107" s="479"/>
      <c r="E107" s="480"/>
      <c r="F107" s="481"/>
      <c r="G107" s="481"/>
      <c r="H107" s="480"/>
      <c r="I107" s="481"/>
      <c r="J107" s="480"/>
      <c r="K107" s="481"/>
      <c r="L107" s="482"/>
      <c r="M107" s="481"/>
      <c r="N107" s="483"/>
      <c r="O107" s="478"/>
      <c r="P107" s="484"/>
      <c r="Q107" s="485"/>
      <c r="R107" s="485"/>
    </row>
    <row r="108" spans="1:18" ht="15.75" customHeight="1">
      <c r="A108" s="486"/>
      <c r="B108" s="487"/>
      <c r="C108" s="450"/>
      <c r="D108" s="488"/>
      <c r="E108" s="489"/>
      <c r="F108" s="490"/>
      <c r="G108" s="490"/>
      <c r="H108" s="489"/>
      <c r="I108" s="490"/>
      <c r="J108" s="486"/>
      <c r="K108" s="491"/>
      <c r="L108" s="492"/>
      <c r="M108" s="486"/>
      <c r="N108" s="493"/>
      <c r="O108" s="494"/>
      <c r="P108" s="495"/>
      <c r="Q108" s="496"/>
      <c r="R108" s="496"/>
    </row>
    <row r="109" spans="1:18" ht="15.75" customHeight="1">
      <c r="A109" s="497"/>
      <c r="B109" s="498"/>
      <c r="C109" s="450"/>
      <c r="D109" s="499"/>
      <c r="E109" s="500"/>
      <c r="F109" s="501"/>
      <c r="G109" s="501"/>
      <c r="H109" s="500"/>
      <c r="I109" s="501"/>
      <c r="J109" s="497"/>
      <c r="K109" s="502"/>
      <c r="L109" s="503"/>
      <c r="M109" s="497"/>
      <c r="N109" s="504"/>
      <c r="O109" s="505"/>
      <c r="P109" s="506"/>
      <c r="Q109" s="507"/>
      <c r="R109" s="507"/>
    </row>
    <row r="110" spans="1:18" ht="15.75" customHeight="1">
      <c r="A110" s="497"/>
      <c r="B110" s="498"/>
      <c r="C110" s="450"/>
      <c r="D110" s="499"/>
      <c r="E110" s="500"/>
      <c r="F110" s="501"/>
      <c r="G110" s="501"/>
      <c r="H110" s="500"/>
      <c r="I110" s="501"/>
      <c r="J110" s="497"/>
      <c r="K110" s="502"/>
      <c r="L110" s="503"/>
      <c r="M110" s="497"/>
      <c r="N110" s="504"/>
      <c r="O110" s="505"/>
      <c r="P110" s="506"/>
      <c r="Q110" s="507"/>
      <c r="R110" s="507"/>
    </row>
    <row r="111" spans="1:18" ht="15.75" customHeight="1">
      <c r="A111" s="486"/>
      <c r="B111" s="487"/>
      <c r="C111" s="450"/>
      <c r="D111" s="488"/>
      <c r="E111" s="489"/>
      <c r="F111" s="490"/>
      <c r="G111" s="490"/>
      <c r="H111" s="489"/>
      <c r="I111" s="490"/>
      <c r="J111" s="486"/>
      <c r="K111" s="491"/>
      <c r="L111" s="492"/>
      <c r="M111" s="486"/>
      <c r="N111" s="493"/>
      <c r="O111" s="494"/>
      <c r="P111" s="495"/>
      <c r="Q111" s="496"/>
      <c r="R111" s="496"/>
    </row>
    <row r="112" spans="1:18" ht="15.75" customHeight="1">
      <c r="A112" s="486"/>
      <c r="B112" s="487"/>
      <c r="C112" s="450"/>
      <c r="D112" s="488"/>
      <c r="E112" s="489"/>
      <c r="F112" s="490"/>
      <c r="G112" s="490"/>
      <c r="H112" s="489"/>
      <c r="I112" s="490"/>
      <c r="J112" s="486"/>
      <c r="K112" s="491"/>
      <c r="L112" s="492"/>
      <c r="M112" s="486"/>
      <c r="N112" s="493"/>
      <c r="O112" s="494"/>
      <c r="P112" s="495"/>
      <c r="Q112" s="496"/>
      <c r="R112" s="496"/>
    </row>
    <row r="113" spans="1:18" ht="15.75" customHeight="1">
      <c r="A113" s="486"/>
      <c r="B113" s="487"/>
      <c r="C113" s="450"/>
      <c r="D113" s="488"/>
      <c r="E113" s="489"/>
      <c r="F113" s="490"/>
      <c r="G113" s="490"/>
      <c r="H113" s="489"/>
      <c r="I113" s="490"/>
      <c r="J113" s="486"/>
      <c r="K113" s="491"/>
      <c r="L113" s="492"/>
      <c r="M113" s="486"/>
      <c r="N113" s="493"/>
      <c r="O113" s="494"/>
      <c r="P113" s="495"/>
      <c r="Q113" s="496"/>
      <c r="R113" s="496"/>
    </row>
    <row r="114" spans="1:18" ht="15.75" customHeight="1">
      <c r="A114" s="486"/>
      <c r="B114" s="487"/>
      <c r="C114" s="450"/>
      <c r="D114" s="488"/>
      <c r="E114" s="489"/>
      <c r="F114" s="490"/>
      <c r="G114" s="490"/>
      <c r="H114" s="489"/>
      <c r="I114" s="490"/>
      <c r="J114" s="486"/>
      <c r="K114" s="491"/>
      <c r="L114" s="492"/>
      <c r="M114" s="486"/>
      <c r="N114" s="493"/>
      <c r="O114" s="494"/>
      <c r="P114" s="495"/>
      <c r="Q114" s="496"/>
      <c r="R114" s="496"/>
    </row>
    <row r="115" spans="1:18" ht="15.75" customHeight="1">
      <c r="A115" s="486"/>
      <c r="B115" s="487"/>
      <c r="C115" s="450"/>
      <c r="D115" s="488"/>
      <c r="E115" s="489"/>
      <c r="F115" s="490"/>
      <c r="G115" s="490"/>
      <c r="H115" s="489"/>
      <c r="I115" s="490"/>
      <c r="J115" s="486"/>
      <c r="K115" s="491"/>
      <c r="L115" s="492"/>
      <c r="M115" s="486"/>
      <c r="N115" s="493"/>
      <c r="O115" s="494"/>
      <c r="P115" s="495"/>
      <c r="Q115" s="496"/>
      <c r="R115" s="496"/>
    </row>
    <row r="116" spans="1:18" ht="15.75" customHeight="1">
      <c r="A116" s="508"/>
      <c r="B116" s="509"/>
      <c r="C116" s="510"/>
      <c r="D116" s="509"/>
      <c r="E116" s="508"/>
      <c r="F116" s="508"/>
      <c r="G116" s="508"/>
      <c r="H116" s="508"/>
      <c r="I116" s="508"/>
      <c r="J116" s="508"/>
      <c r="K116" s="511"/>
      <c r="L116" s="512"/>
      <c r="M116" s="508"/>
      <c r="N116" s="513"/>
      <c r="O116" s="514"/>
      <c r="P116" s="515"/>
      <c r="Q116" s="516"/>
      <c r="R116" s="516"/>
    </row>
    <row r="117" spans="1:18" ht="15.75" customHeight="1">
      <c r="A117" s="517"/>
      <c r="B117" s="518"/>
      <c r="C117" s="510"/>
      <c r="D117" s="518"/>
      <c r="E117" s="517"/>
      <c r="F117" s="517"/>
      <c r="G117" s="517"/>
      <c r="H117" s="517"/>
      <c r="I117" s="517"/>
      <c r="J117" s="517"/>
      <c r="K117" s="519"/>
      <c r="L117" s="520"/>
      <c r="M117" s="517"/>
      <c r="N117" s="521"/>
      <c r="O117" s="522"/>
      <c r="P117" s="523"/>
      <c r="Q117" s="524"/>
      <c r="R117" s="524"/>
    </row>
    <row r="118" spans="1:18" ht="15.75" customHeight="1">
      <c r="A118" s="525"/>
      <c r="B118" s="526"/>
      <c r="C118" s="510"/>
      <c r="D118" s="526"/>
      <c r="E118" s="517"/>
      <c r="F118" s="525"/>
      <c r="G118" s="525"/>
      <c r="H118" s="525"/>
      <c r="I118" s="525"/>
      <c r="J118" s="525"/>
      <c r="K118" s="527"/>
      <c r="L118" s="528"/>
      <c r="M118" s="525"/>
      <c r="N118" s="529"/>
      <c r="O118" s="530"/>
      <c r="P118" s="531"/>
      <c r="Q118" s="532"/>
      <c r="R118" s="532"/>
    </row>
    <row r="119" spans="1:18" ht="15.75" customHeight="1">
      <c r="A119" s="525"/>
      <c r="B119" s="526"/>
      <c r="C119" s="510"/>
      <c r="D119" s="526"/>
      <c r="E119" s="517"/>
      <c r="F119" s="525"/>
      <c r="G119" s="525"/>
      <c r="H119" s="525"/>
      <c r="I119" s="525"/>
      <c r="J119" s="525"/>
      <c r="K119" s="527"/>
      <c r="L119" s="528"/>
      <c r="M119" s="525"/>
      <c r="N119" s="533"/>
      <c r="O119" s="530"/>
      <c r="P119" s="531"/>
      <c r="Q119" s="532"/>
      <c r="R119" s="532"/>
    </row>
    <row r="120" spans="1:18" ht="15.75" customHeight="1">
      <c r="A120" s="525"/>
      <c r="B120" s="526"/>
      <c r="C120" s="510"/>
      <c r="D120" s="526"/>
      <c r="E120" s="525"/>
      <c r="F120" s="525"/>
      <c r="G120" s="525"/>
      <c r="H120" s="525"/>
      <c r="I120" s="525"/>
      <c r="J120" s="525"/>
      <c r="K120" s="527"/>
      <c r="L120" s="528"/>
      <c r="M120" s="525"/>
      <c r="N120" s="533"/>
      <c r="O120" s="530"/>
      <c r="P120" s="531"/>
      <c r="Q120" s="532"/>
      <c r="R120" s="532"/>
    </row>
    <row r="121" spans="1:18" ht="15.75" customHeight="1">
      <c r="A121" s="534"/>
      <c r="B121" s="535"/>
      <c r="C121" s="510"/>
      <c r="D121" s="535"/>
      <c r="E121" s="534"/>
      <c r="F121" s="534"/>
      <c r="G121" s="534"/>
      <c r="H121" s="534"/>
      <c r="I121" s="534"/>
      <c r="J121" s="534"/>
      <c r="K121" s="536"/>
      <c r="L121" s="537"/>
      <c r="M121" s="534"/>
      <c r="N121" s="538"/>
      <c r="O121" s="539"/>
      <c r="P121" s="540"/>
      <c r="Q121" s="541"/>
      <c r="R121" s="541"/>
    </row>
    <row r="122" spans="1:18" ht="15.75" customHeight="1">
      <c r="A122" s="542"/>
      <c r="B122" s="543"/>
      <c r="C122" s="510"/>
      <c r="D122" s="543"/>
      <c r="E122" s="542"/>
      <c r="F122" s="534"/>
      <c r="G122" s="534"/>
      <c r="H122" s="542"/>
      <c r="I122" s="542"/>
      <c r="J122" s="542"/>
      <c r="K122" s="544"/>
      <c r="L122" s="545"/>
      <c r="M122" s="542"/>
      <c r="N122" s="546"/>
      <c r="O122" s="547"/>
      <c r="P122" s="548"/>
      <c r="Q122" s="549"/>
      <c r="R122" s="549"/>
    </row>
    <row r="123" spans="1:18" ht="15.75" customHeight="1">
      <c r="A123" s="542"/>
      <c r="B123" s="543"/>
      <c r="C123" s="510"/>
      <c r="D123" s="543"/>
      <c r="E123" s="542"/>
      <c r="F123" s="542"/>
      <c r="G123" s="542"/>
      <c r="H123" s="542"/>
      <c r="I123" s="542"/>
      <c r="J123" s="542"/>
      <c r="K123" s="544"/>
      <c r="L123" s="545"/>
      <c r="M123" s="542"/>
      <c r="N123" s="546"/>
      <c r="O123" s="547"/>
      <c r="P123" s="548"/>
      <c r="Q123" s="549"/>
      <c r="R123" s="549"/>
    </row>
    <row r="124" spans="1:18" ht="15.75" customHeight="1">
      <c r="A124" s="542"/>
      <c r="B124" s="543"/>
      <c r="C124" s="510"/>
      <c r="D124" s="543"/>
      <c r="E124" s="508"/>
      <c r="F124" s="542"/>
      <c r="G124" s="542"/>
      <c r="H124" s="550"/>
      <c r="I124" s="542"/>
      <c r="J124" s="542"/>
      <c r="K124" s="544"/>
      <c r="L124" s="545"/>
      <c r="M124" s="542"/>
      <c r="N124" s="546"/>
      <c r="O124" s="547"/>
      <c r="P124" s="548"/>
      <c r="Q124" s="549"/>
      <c r="R124" s="549"/>
    </row>
    <row r="125" spans="1:18" ht="15.75" customHeight="1">
      <c r="A125" s="551"/>
      <c r="B125" s="552"/>
      <c r="C125" s="510"/>
      <c r="D125" s="552"/>
      <c r="E125" s="508"/>
      <c r="F125" s="550"/>
      <c r="G125" s="550"/>
      <c r="H125" s="550"/>
      <c r="I125" s="550"/>
      <c r="J125" s="550"/>
      <c r="K125" s="553"/>
      <c r="L125" s="554"/>
      <c r="M125" s="550"/>
      <c r="N125" s="555"/>
      <c r="O125" s="556"/>
      <c r="P125" s="557"/>
      <c r="Q125" s="558"/>
      <c r="R125" s="558"/>
    </row>
    <row r="126" spans="1:18" ht="15.75" customHeight="1">
      <c r="A126" s="551"/>
      <c r="B126" s="552"/>
      <c r="C126" s="510"/>
      <c r="D126" s="552"/>
      <c r="E126" s="508"/>
      <c r="F126" s="550"/>
      <c r="G126" s="550"/>
      <c r="H126" s="550"/>
      <c r="I126" s="550"/>
      <c r="J126" s="550"/>
      <c r="K126" s="553"/>
      <c r="L126" s="554"/>
      <c r="M126" s="550"/>
      <c r="N126" s="555"/>
      <c r="O126" s="556"/>
      <c r="P126" s="557"/>
      <c r="Q126" s="558"/>
      <c r="R126" s="558"/>
    </row>
    <row r="127" spans="1:18" ht="15.75" customHeight="1">
      <c r="A127" s="559"/>
      <c r="B127" s="560"/>
      <c r="C127" s="510"/>
      <c r="D127" s="561"/>
      <c r="E127" s="562"/>
      <c r="F127" s="563"/>
      <c r="G127" s="564"/>
      <c r="H127" s="563"/>
      <c r="I127" s="564"/>
      <c r="J127" s="564"/>
      <c r="K127" s="565"/>
      <c r="L127" s="566"/>
      <c r="M127" s="564"/>
      <c r="N127" s="567"/>
      <c r="O127" s="568"/>
      <c r="P127" s="569"/>
      <c r="Q127" s="570"/>
      <c r="R127" s="570"/>
    </row>
    <row r="128" spans="1:18" ht="15.75" customHeight="1">
      <c r="A128" s="571"/>
      <c r="B128" s="552"/>
      <c r="C128" s="510"/>
      <c r="D128" s="572"/>
      <c r="E128" s="573"/>
      <c r="F128" s="571"/>
      <c r="G128" s="571"/>
      <c r="H128" s="571"/>
      <c r="I128" s="571"/>
      <c r="J128" s="571"/>
      <c r="K128" s="574"/>
      <c r="L128" s="575"/>
      <c r="M128" s="571"/>
      <c r="N128" s="576"/>
      <c r="O128" s="577"/>
      <c r="P128" s="578"/>
      <c r="Q128" s="579"/>
      <c r="R128" s="579"/>
    </row>
    <row r="129" spans="1:18" ht="15.75" customHeight="1">
      <c r="A129" s="571"/>
      <c r="B129" s="580"/>
      <c r="C129" s="510"/>
      <c r="D129" s="572"/>
      <c r="E129" s="508"/>
      <c r="F129" s="571"/>
      <c r="G129" s="571"/>
      <c r="H129" s="571"/>
      <c r="I129" s="571"/>
      <c r="J129" s="571"/>
      <c r="K129" s="574"/>
      <c r="L129" s="575"/>
      <c r="M129" s="571"/>
      <c r="N129" s="576"/>
      <c r="O129" s="577"/>
      <c r="P129" s="578"/>
      <c r="Q129" s="579"/>
      <c r="R129" s="579"/>
    </row>
    <row r="130" spans="1:18" ht="15.75" customHeight="1">
      <c r="A130" s="581"/>
      <c r="B130" s="582"/>
      <c r="C130" s="510"/>
      <c r="D130" s="583"/>
      <c r="E130" s="584"/>
      <c r="F130" s="581"/>
      <c r="G130" s="581"/>
      <c r="H130" s="581"/>
      <c r="I130" s="581"/>
      <c r="J130" s="581"/>
      <c r="K130" s="585"/>
      <c r="L130" s="586"/>
      <c r="M130" s="581"/>
      <c r="N130" s="587"/>
      <c r="O130" s="588"/>
      <c r="P130" s="589"/>
      <c r="Q130" s="590"/>
      <c r="R130" s="590"/>
    </row>
    <row r="131" spans="1:18" ht="15.75" customHeight="1">
      <c r="A131" s="591"/>
      <c r="B131" s="592"/>
      <c r="C131" s="593"/>
      <c r="D131" s="594"/>
      <c r="E131" s="595"/>
      <c r="F131" s="591"/>
      <c r="G131" s="591"/>
      <c r="H131" s="591"/>
      <c r="I131" s="591"/>
      <c r="J131" s="591"/>
      <c r="K131" s="596"/>
      <c r="L131" s="597"/>
      <c r="M131" s="591"/>
      <c r="N131" s="598"/>
      <c r="O131" s="599"/>
      <c r="P131" s="600"/>
      <c r="Q131" s="601"/>
      <c r="R131" s="601"/>
    </row>
    <row r="132" spans="1:18" ht="15.75" customHeight="1">
      <c r="A132" s="591"/>
      <c r="B132" s="592"/>
      <c r="C132" s="593"/>
      <c r="D132" s="594"/>
      <c r="E132" s="595"/>
      <c r="F132" s="591"/>
      <c r="G132" s="591"/>
      <c r="H132" s="591"/>
      <c r="I132" s="591"/>
      <c r="J132" s="591"/>
      <c r="K132" s="596"/>
      <c r="L132" s="597"/>
      <c r="M132" s="591"/>
      <c r="N132" s="598"/>
      <c r="O132" s="599"/>
      <c r="P132" s="600"/>
      <c r="Q132" s="601"/>
      <c r="R132" s="601"/>
    </row>
    <row r="133" spans="1:18" ht="15.75" customHeight="1">
      <c r="A133" s="591"/>
      <c r="B133" s="592"/>
      <c r="C133" s="593"/>
      <c r="D133" s="594"/>
      <c r="E133" s="595"/>
      <c r="F133" s="591"/>
      <c r="G133" s="591"/>
      <c r="H133" s="591"/>
      <c r="I133" s="591"/>
      <c r="J133" s="591"/>
      <c r="K133" s="596"/>
      <c r="L133" s="597"/>
      <c r="M133" s="591"/>
      <c r="N133" s="598"/>
      <c r="O133" s="599"/>
      <c r="P133" s="600"/>
      <c r="Q133" s="601"/>
      <c r="R133" s="601"/>
    </row>
    <row r="134" spans="1:18" ht="15.75" customHeight="1">
      <c r="A134" s="591"/>
      <c r="B134" s="592"/>
      <c r="C134" s="593"/>
      <c r="D134" s="594"/>
      <c r="E134" s="595"/>
      <c r="F134" s="591"/>
      <c r="G134" s="591"/>
      <c r="H134" s="591"/>
      <c r="I134" s="591"/>
      <c r="J134" s="591"/>
      <c r="K134" s="596"/>
      <c r="L134" s="597"/>
      <c r="M134" s="591"/>
      <c r="N134" s="598"/>
      <c r="O134" s="599"/>
      <c r="P134" s="600"/>
      <c r="Q134" s="601"/>
      <c r="R134" s="601"/>
    </row>
    <row r="135" spans="1:18" ht="15.75" customHeight="1">
      <c r="A135" s="591"/>
      <c r="B135" s="592"/>
      <c r="C135" s="593"/>
      <c r="D135" s="594"/>
      <c r="E135" s="595"/>
      <c r="F135" s="591"/>
      <c r="G135" s="591"/>
      <c r="H135" s="591"/>
      <c r="I135" s="591"/>
      <c r="J135" s="591"/>
      <c r="K135" s="596"/>
      <c r="L135" s="597"/>
      <c r="M135" s="591"/>
      <c r="N135" s="598"/>
      <c r="O135" s="599"/>
      <c r="P135" s="600"/>
      <c r="Q135" s="601"/>
      <c r="R135" s="601"/>
    </row>
    <row r="136" spans="1:18" ht="15.75" customHeight="1">
      <c r="A136" s="602"/>
      <c r="B136" s="603"/>
      <c r="C136" s="593"/>
      <c r="D136" s="604"/>
      <c r="E136" s="605"/>
      <c r="F136" s="602"/>
      <c r="G136" s="602"/>
      <c r="H136" s="602"/>
      <c r="I136" s="602"/>
      <c r="J136" s="602"/>
      <c r="K136" s="606"/>
      <c r="L136" s="607"/>
      <c r="M136" s="602"/>
      <c r="N136" s="608"/>
      <c r="O136" s="609"/>
      <c r="P136" s="610"/>
      <c r="Q136" s="611"/>
      <c r="R136" s="611"/>
    </row>
    <row r="137" spans="1:18" ht="15.75" customHeight="1">
      <c r="A137" s="591"/>
      <c r="B137" s="592"/>
      <c r="C137" s="593"/>
      <c r="D137" s="594"/>
      <c r="E137" s="595"/>
      <c r="F137" s="591"/>
      <c r="G137" s="591"/>
      <c r="H137" s="591"/>
      <c r="I137" s="591"/>
      <c r="J137" s="591"/>
      <c r="K137" s="596"/>
      <c r="L137" s="597"/>
      <c r="M137" s="591"/>
      <c r="N137" s="598"/>
      <c r="O137" s="599"/>
      <c r="P137" s="600"/>
      <c r="Q137" s="601"/>
      <c r="R137" s="601"/>
    </row>
    <row r="138" spans="1:18" ht="15.75" customHeight="1">
      <c r="A138" s="602"/>
      <c r="B138" s="603"/>
      <c r="C138" s="593"/>
      <c r="D138" s="604"/>
      <c r="E138" s="595"/>
      <c r="F138" s="602"/>
      <c r="G138" s="602"/>
      <c r="H138" s="602"/>
      <c r="I138" s="602"/>
      <c r="J138" s="602"/>
      <c r="K138" s="606"/>
      <c r="L138" s="597"/>
      <c r="M138" s="602"/>
      <c r="N138" s="608"/>
      <c r="O138" s="609"/>
      <c r="P138" s="610"/>
      <c r="Q138" s="611"/>
      <c r="R138" s="611"/>
    </row>
    <row r="139" spans="1:18" ht="15.75" customHeight="1">
      <c r="A139" s="602"/>
      <c r="B139" s="603"/>
      <c r="C139" s="593"/>
      <c r="D139" s="604"/>
      <c r="E139" s="595"/>
      <c r="F139" s="602"/>
      <c r="G139" s="602"/>
      <c r="H139" s="602"/>
      <c r="I139" s="602"/>
      <c r="J139" s="602"/>
      <c r="K139" s="606"/>
      <c r="L139" s="597"/>
      <c r="M139" s="602"/>
      <c r="N139" s="608"/>
      <c r="O139" s="609"/>
      <c r="P139" s="610"/>
      <c r="Q139" s="611"/>
      <c r="R139" s="611"/>
    </row>
    <row r="140" spans="1:18" ht="15.75" customHeight="1">
      <c r="A140" s="602"/>
      <c r="B140" s="603"/>
      <c r="C140" s="593"/>
      <c r="D140" s="604"/>
      <c r="E140" s="595"/>
      <c r="F140" s="602"/>
      <c r="G140" s="602"/>
      <c r="H140" s="602"/>
      <c r="I140" s="602"/>
      <c r="J140" s="602"/>
      <c r="K140" s="606"/>
      <c r="L140" s="597"/>
      <c r="M140" s="602"/>
      <c r="N140" s="608"/>
      <c r="O140" s="609"/>
      <c r="P140" s="610"/>
      <c r="Q140" s="611"/>
      <c r="R140" s="611"/>
    </row>
    <row r="141" spans="1:18" ht="15.75" customHeight="1">
      <c r="A141" s="602"/>
      <c r="B141" s="603"/>
      <c r="C141" s="593"/>
      <c r="D141" s="604"/>
      <c r="E141" s="595"/>
      <c r="F141" s="602"/>
      <c r="G141" s="602"/>
      <c r="H141" s="602"/>
      <c r="I141" s="602"/>
      <c r="J141" s="602"/>
      <c r="K141" s="606"/>
      <c r="L141" s="597"/>
      <c r="M141" s="602"/>
      <c r="N141" s="608"/>
      <c r="O141" s="609"/>
      <c r="P141" s="610"/>
      <c r="Q141" s="611"/>
      <c r="R141" s="611"/>
    </row>
    <row r="142" spans="1:18" ht="15.75" customHeight="1">
      <c r="A142" s="602"/>
      <c r="B142" s="603"/>
      <c r="C142" s="593"/>
      <c r="D142" s="604"/>
      <c r="E142" s="595"/>
      <c r="F142" s="602"/>
      <c r="G142" s="602"/>
      <c r="H142" s="602"/>
      <c r="I142" s="602"/>
      <c r="J142" s="602"/>
      <c r="K142" s="606"/>
      <c r="L142" s="597"/>
      <c r="M142" s="602"/>
      <c r="N142" s="608"/>
      <c r="O142" s="609"/>
      <c r="P142" s="610"/>
      <c r="Q142" s="611"/>
      <c r="R142" s="611"/>
    </row>
    <row r="143" spans="1:18" ht="15.75" customHeight="1">
      <c r="A143" s="602"/>
      <c r="B143" s="603"/>
      <c r="C143" s="593"/>
      <c r="D143" s="604"/>
      <c r="E143" s="595"/>
      <c r="F143" s="602"/>
      <c r="G143" s="602"/>
      <c r="H143" s="602"/>
      <c r="I143" s="602"/>
      <c r="J143" s="602"/>
      <c r="K143" s="606"/>
      <c r="L143" s="597"/>
      <c r="M143" s="602"/>
      <c r="N143" s="608"/>
      <c r="O143" s="609"/>
      <c r="P143" s="610"/>
      <c r="Q143" s="611"/>
      <c r="R143" s="611"/>
    </row>
    <row r="144" spans="1:18" ht="15.75" customHeight="1">
      <c r="A144" s="602"/>
      <c r="B144" s="603"/>
      <c r="C144" s="593"/>
      <c r="D144" s="604"/>
      <c r="E144" s="595"/>
      <c r="F144" s="602"/>
      <c r="G144" s="602"/>
      <c r="H144" s="602"/>
      <c r="I144" s="602"/>
      <c r="J144" s="602"/>
      <c r="K144" s="606"/>
      <c r="L144" s="597"/>
      <c r="M144" s="602"/>
      <c r="N144" s="608"/>
      <c r="O144" s="609"/>
      <c r="P144" s="610"/>
      <c r="Q144" s="611"/>
      <c r="R144" s="611"/>
    </row>
    <row r="145" spans="1:18" ht="15.75" customHeight="1">
      <c r="A145" s="602"/>
      <c r="B145" s="603"/>
      <c r="C145" s="593"/>
      <c r="D145" s="604"/>
      <c r="E145" s="595"/>
      <c r="F145" s="602"/>
      <c r="G145" s="602"/>
      <c r="H145" s="602"/>
      <c r="I145" s="602"/>
      <c r="J145" s="602"/>
      <c r="K145" s="606"/>
      <c r="L145" s="597"/>
      <c r="M145" s="602"/>
      <c r="N145" s="608"/>
      <c r="O145" s="609"/>
      <c r="P145" s="610"/>
      <c r="Q145" s="611"/>
      <c r="R145" s="611"/>
    </row>
    <row r="146" spans="1:18" ht="15.75" customHeight="1">
      <c r="A146" s="612"/>
      <c r="B146" s="613"/>
      <c r="C146" s="593"/>
      <c r="D146" s="614"/>
      <c r="E146" s="615"/>
      <c r="F146" s="612"/>
      <c r="G146" s="612"/>
      <c r="H146" s="612"/>
      <c r="I146" s="612"/>
      <c r="J146" s="612"/>
      <c r="K146" s="616"/>
      <c r="L146" s="617"/>
      <c r="M146" s="612"/>
      <c r="N146" s="618"/>
      <c r="O146" s="619"/>
      <c r="P146" s="620"/>
      <c r="Q146" s="621"/>
      <c r="R146" s="621"/>
    </row>
    <row r="147" spans="1:18" ht="15.75" customHeight="1">
      <c r="A147" s="612"/>
      <c r="B147" s="613"/>
      <c r="C147" s="593"/>
      <c r="D147" s="614"/>
      <c r="E147" s="615"/>
      <c r="F147" s="612"/>
      <c r="G147" s="612"/>
      <c r="H147" s="612"/>
      <c r="I147" s="622"/>
      <c r="J147" s="622"/>
      <c r="K147" s="623"/>
      <c r="L147" s="623"/>
      <c r="M147" s="622"/>
      <c r="N147" s="624"/>
      <c r="O147" s="625"/>
      <c r="P147" s="626"/>
      <c r="Q147" s="627"/>
      <c r="R147" s="627"/>
    </row>
    <row r="148" spans="1:18" ht="15.75" customHeight="1">
      <c r="A148" s="628"/>
      <c r="B148" s="629"/>
      <c r="C148" s="593"/>
      <c r="D148" s="629"/>
      <c r="E148" s="630"/>
      <c r="F148" s="628"/>
      <c r="G148" s="628"/>
      <c r="H148" s="628"/>
      <c r="I148" s="628"/>
      <c r="J148" s="628"/>
      <c r="K148" s="631"/>
      <c r="L148" s="631"/>
      <c r="M148" s="628"/>
      <c r="N148" s="632"/>
      <c r="O148" s="633"/>
      <c r="P148" s="634"/>
      <c r="Q148" s="635"/>
      <c r="R148" s="635"/>
    </row>
    <row r="149" spans="1:18" ht="15.75" customHeight="1">
      <c r="A149" s="628"/>
      <c r="B149" s="629"/>
      <c r="C149" s="593"/>
      <c r="D149" s="629"/>
      <c r="E149" s="630"/>
      <c r="F149" s="628"/>
      <c r="G149" s="628"/>
      <c r="H149" s="628"/>
      <c r="I149" s="628"/>
      <c r="J149" s="628"/>
      <c r="K149" s="631"/>
      <c r="L149" s="631"/>
      <c r="M149" s="628"/>
      <c r="N149" s="632"/>
      <c r="O149" s="633"/>
      <c r="P149" s="634"/>
      <c r="Q149" s="635"/>
      <c r="R149" s="635"/>
    </row>
    <row r="150" spans="1:18" ht="15.75" customHeight="1">
      <c r="A150" s="636"/>
      <c r="B150" s="637"/>
      <c r="C150" s="638"/>
      <c r="D150" s="637"/>
      <c r="E150" s="639"/>
      <c r="F150" s="636"/>
      <c r="G150" s="636"/>
      <c r="H150" s="636"/>
      <c r="I150" s="636"/>
      <c r="J150" s="636"/>
      <c r="K150" s="640"/>
      <c r="L150" s="641"/>
      <c r="M150" s="636"/>
      <c r="N150" s="642"/>
      <c r="O150" s="643"/>
      <c r="P150" s="644"/>
      <c r="Q150" s="645"/>
      <c r="R150" s="645"/>
    </row>
    <row r="151" spans="1:18" ht="15.75" customHeight="1">
      <c r="A151" s="646"/>
      <c r="B151" s="647"/>
      <c r="C151" s="638"/>
      <c r="D151" s="647"/>
      <c r="E151" s="648"/>
      <c r="F151" s="646"/>
      <c r="G151" s="646"/>
      <c r="H151" s="646"/>
      <c r="I151" s="646"/>
      <c r="J151" s="646"/>
      <c r="K151" s="649"/>
      <c r="L151" s="650"/>
      <c r="M151" s="646"/>
      <c r="N151" s="651"/>
      <c r="O151" s="652"/>
      <c r="P151" s="653"/>
      <c r="Q151" s="654"/>
      <c r="R151" s="654"/>
    </row>
    <row r="152" spans="1:18" ht="15.75" customHeight="1">
      <c r="A152" s="646"/>
      <c r="B152" s="647"/>
      <c r="C152" s="638"/>
      <c r="D152" s="647"/>
      <c r="E152" s="648"/>
      <c r="F152" s="646"/>
      <c r="G152" s="655"/>
      <c r="H152" s="655"/>
      <c r="I152" s="655"/>
      <c r="J152" s="655"/>
      <c r="K152" s="656"/>
      <c r="L152" s="657"/>
      <c r="M152" s="655"/>
      <c r="N152" s="658"/>
      <c r="O152" s="659"/>
      <c r="P152" s="660"/>
      <c r="Q152" s="661"/>
      <c r="R152" s="661"/>
    </row>
    <row r="153" spans="1:18" ht="15.75" customHeight="1">
      <c r="A153" s="662"/>
      <c r="B153" s="663"/>
      <c r="C153" s="638"/>
      <c r="D153" s="663"/>
      <c r="E153" s="664"/>
      <c r="F153" s="662"/>
      <c r="G153" s="662"/>
      <c r="H153" s="662"/>
      <c r="I153" s="662"/>
      <c r="J153" s="662"/>
      <c r="K153" s="665"/>
      <c r="L153" s="666"/>
      <c r="M153" s="662"/>
      <c r="N153" s="667"/>
      <c r="O153" s="668"/>
      <c r="P153" s="669"/>
      <c r="Q153" s="670"/>
      <c r="R153" s="670"/>
    </row>
    <row r="154" spans="1:18" ht="15.75" customHeight="1">
      <c r="A154" s="671"/>
      <c r="B154" s="672"/>
      <c r="C154" s="638"/>
      <c r="D154" s="672"/>
      <c r="E154" s="664"/>
      <c r="F154" s="671"/>
      <c r="G154" s="671"/>
      <c r="H154" s="671"/>
      <c r="I154" s="671"/>
      <c r="J154" s="671"/>
      <c r="K154" s="673"/>
      <c r="L154" s="674"/>
      <c r="M154" s="671"/>
      <c r="N154" s="675"/>
      <c r="O154" s="676"/>
      <c r="P154" s="677"/>
      <c r="Q154" s="678"/>
      <c r="R154" s="678"/>
    </row>
    <row r="155" spans="1:18" ht="15.75" customHeight="1">
      <c r="A155" s="671"/>
      <c r="B155" s="672"/>
      <c r="C155" s="638"/>
      <c r="D155" s="672"/>
      <c r="E155" s="664"/>
      <c r="F155" s="671"/>
      <c r="G155" s="671"/>
      <c r="H155" s="671"/>
      <c r="I155" s="671"/>
      <c r="J155" s="671"/>
      <c r="K155" s="673"/>
      <c r="L155" s="674"/>
      <c r="M155" s="671"/>
      <c r="N155" s="675"/>
      <c r="O155" s="676"/>
      <c r="P155" s="677"/>
      <c r="Q155" s="678"/>
      <c r="R155" s="678"/>
    </row>
    <row r="156" spans="1:18" ht="15.75" customHeight="1">
      <c r="A156" s="679"/>
      <c r="B156" s="672"/>
      <c r="C156" s="638"/>
      <c r="D156" s="680"/>
      <c r="E156" s="664"/>
      <c r="F156" s="679"/>
      <c r="G156" s="679"/>
      <c r="H156" s="679"/>
      <c r="I156" s="679"/>
      <c r="J156" s="679"/>
      <c r="K156" s="681"/>
      <c r="L156" s="682"/>
      <c r="M156" s="679"/>
      <c r="N156" s="683"/>
      <c r="O156" s="684"/>
      <c r="P156" s="685"/>
      <c r="Q156" s="686"/>
      <c r="R156" s="686"/>
    </row>
    <row r="157" spans="1:18" ht="15.75" customHeight="1">
      <c r="A157" s="679"/>
      <c r="B157" s="672"/>
      <c r="C157" s="638"/>
      <c r="D157" s="680"/>
      <c r="E157" s="664"/>
      <c r="F157" s="679"/>
      <c r="G157" s="679"/>
      <c r="H157" s="679"/>
      <c r="I157" s="679"/>
      <c r="J157" s="679"/>
      <c r="K157" s="681"/>
      <c r="L157" s="682"/>
      <c r="M157" s="679"/>
      <c r="N157" s="683"/>
      <c r="O157" s="684"/>
      <c r="P157" s="685"/>
      <c r="Q157" s="686"/>
      <c r="R157" s="686"/>
    </row>
    <row r="158" spans="1:18" ht="15.75" customHeight="1">
      <c r="A158" s="679"/>
      <c r="B158" s="672"/>
      <c r="C158" s="638"/>
      <c r="D158" s="680"/>
      <c r="E158" s="664"/>
      <c r="F158" s="679"/>
      <c r="G158" s="679"/>
      <c r="H158" s="679"/>
      <c r="I158" s="679"/>
      <c r="J158" s="679"/>
      <c r="K158" s="681"/>
      <c r="L158" s="682"/>
      <c r="M158" s="679"/>
      <c r="N158" s="683"/>
      <c r="O158" s="684"/>
      <c r="P158" s="685"/>
      <c r="Q158" s="686"/>
      <c r="R158" s="686"/>
    </row>
    <row r="159" spans="1:18" ht="15.75" customHeight="1">
      <c r="A159" s="687"/>
      <c r="B159" s="672"/>
      <c r="C159" s="688"/>
      <c r="D159" s="689"/>
      <c r="E159" s="690"/>
      <c r="F159" s="687"/>
      <c r="G159" s="687"/>
      <c r="H159" s="687"/>
      <c r="I159" s="687"/>
      <c r="J159" s="687"/>
      <c r="K159" s="691"/>
      <c r="L159" s="692"/>
      <c r="M159" s="687"/>
      <c r="N159" s="693"/>
      <c r="O159" s="694"/>
      <c r="P159" s="695"/>
      <c r="Q159" s="696"/>
      <c r="R159" s="696"/>
    </row>
    <row r="160" spans="1:18" ht="15.75" customHeight="1">
      <c r="A160" s="679"/>
      <c r="B160" s="672"/>
      <c r="C160" s="638"/>
      <c r="D160" s="680"/>
      <c r="E160" s="664"/>
      <c r="F160" s="679"/>
      <c r="G160" s="679"/>
      <c r="H160" s="679"/>
      <c r="I160" s="679"/>
      <c r="J160" s="679"/>
      <c r="K160" s="681"/>
      <c r="L160" s="682"/>
      <c r="M160" s="679"/>
      <c r="N160" s="683"/>
      <c r="O160" s="684"/>
      <c r="P160" s="685"/>
      <c r="Q160" s="686"/>
      <c r="R160" s="686"/>
    </row>
    <row r="161" spans="1:18" ht="15.75" customHeight="1">
      <c r="A161" s="160"/>
      <c r="B161" s="161"/>
      <c r="C161" s="638"/>
      <c r="D161" s="161"/>
      <c r="E161" s="162"/>
      <c r="F161" s="160"/>
      <c r="G161" s="160"/>
      <c r="H161" s="160"/>
      <c r="I161" s="160"/>
      <c r="J161" s="160"/>
      <c r="K161" s="163"/>
      <c r="L161" s="164"/>
      <c r="M161" s="160"/>
      <c r="N161" s="165"/>
      <c r="O161" s="166"/>
      <c r="P161" s="167"/>
      <c r="Q161" s="168"/>
      <c r="R161" s="168"/>
    </row>
    <row r="162" spans="1:18" ht="15.75" customHeight="1">
      <c r="A162" s="160"/>
      <c r="B162" s="161"/>
      <c r="C162" s="638"/>
      <c r="D162" s="161"/>
      <c r="E162" s="162"/>
      <c r="F162" s="160"/>
      <c r="G162" s="160"/>
      <c r="H162" s="160"/>
      <c r="I162" s="160"/>
      <c r="J162" s="160"/>
      <c r="K162" s="163"/>
      <c r="L162" s="164"/>
      <c r="M162" s="160"/>
      <c r="N162" s="165"/>
      <c r="O162" s="166"/>
      <c r="P162" s="167"/>
      <c r="Q162" s="168"/>
      <c r="R162" s="168"/>
    </row>
    <row r="163" spans="1:18" ht="15.75" customHeight="1">
      <c r="A163" s="169"/>
      <c r="B163" s="161"/>
      <c r="C163" s="638"/>
      <c r="D163" s="161"/>
      <c r="E163" s="690"/>
      <c r="F163" s="169"/>
      <c r="G163" s="169"/>
      <c r="H163" s="169"/>
      <c r="I163" s="169"/>
      <c r="J163" s="169"/>
      <c r="K163" s="171"/>
      <c r="L163" s="172"/>
      <c r="M163" s="169"/>
      <c r="N163" s="173"/>
      <c r="O163" s="174"/>
      <c r="P163" s="175"/>
      <c r="Q163" s="176"/>
      <c r="R163" s="176"/>
    </row>
    <row r="164" spans="1:18" ht="15.75" customHeight="1">
      <c r="A164" s="169"/>
      <c r="B164" s="161"/>
      <c r="C164" s="638"/>
      <c r="D164" s="161"/>
      <c r="E164" s="177"/>
      <c r="F164" s="169"/>
      <c r="G164" s="169"/>
      <c r="H164" s="169"/>
      <c r="I164" s="169"/>
      <c r="J164" s="169"/>
      <c r="K164" s="171"/>
      <c r="L164" s="172"/>
      <c r="M164" s="169"/>
      <c r="N164" s="173"/>
      <c r="O164" s="174"/>
      <c r="P164" s="175"/>
      <c r="Q164" s="176"/>
      <c r="R164" s="176"/>
    </row>
    <row r="165" spans="1:18" ht="15.75" customHeight="1">
      <c r="A165" s="169"/>
      <c r="B165" s="170"/>
      <c r="C165" s="638"/>
      <c r="D165" s="170"/>
      <c r="E165" s="177"/>
      <c r="F165" s="169"/>
      <c r="G165" s="169"/>
      <c r="H165" s="169"/>
      <c r="I165" s="169"/>
      <c r="J165" s="169"/>
      <c r="K165" s="171"/>
      <c r="L165" s="172"/>
      <c r="M165" s="169"/>
      <c r="N165" s="173"/>
      <c r="O165" s="174"/>
      <c r="P165" s="175"/>
      <c r="Q165" s="176"/>
      <c r="R165" s="176"/>
    </row>
    <row r="166" spans="1:18" ht="15.75" customHeight="1">
      <c r="A166" s="169"/>
      <c r="B166" s="170"/>
      <c r="C166" s="638"/>
      <c r="D166" s="170"/>
      <c r="E166" s="690"/>
      <c r="F166" s="169"/>
      <c r="G166" s="169"/>
      <c r="H166" s="169"/>
      <c r="I166" s="169"/>
      <c r="J166" s="169"/>
      <c r="K166" s="171"/>
      <c r="L166" s="172"/>
      <c r="M166" s="169"/>
      <c r="N166" s="173"/>
      <c r="O166" s="174"/>
      <c r="P166" s="175"/>
      <c r="Q166" s="176"/>
      <c r="R166" s="176"/>
    </row>
    <row r="167" spans="1:18" ht="15.75" customHeight="1">
      <c r="A167" s="178"/>
      <c r="B167" s="179"/>
      <c r="C167" s="638"/>
      <c r="D167" s="179"/>
      <c r="E167" s="690"/>
      <c r="F167" s="178"/>
      <c r="G167" s="178"/>
      <c r="H167" s="178"/>
      <c r="I167" s="178"/>
      <c r="J167" s="178"/>
      <c r="K167" s="180"/>
      <c r="L167" s="181"/>
      <c r="M167" s="178"/>
      <c r="N167" s="182"/>
      <c r="O167" s="183"/>
      <c r="P167" s="184"/>
      <c r="Q167" s="185"/>
      <c r="R167" s="185"/>
    </row>
    <row r="168" spans="1:18" ht="15.75" customHeight="1">
      <c r="A168" s="178"/>
      <c r="B168" s="179"/>
      <c r="C168" s="638"/>
      <c r="D168" s="179"/>
      <c r="E168" s="186"/>
      <c r="F168" s="178"/>
      <c r="G168" s="178"/>
      <c r="H168" s="178"/>
      <c r="I168" s="178"/>
      <c r="J168" s="178"/>
      <c r="K168" s="180"/>
      <c r="L168" s="181"/>
      <c r="M168" s="178"/>
      <c r="N168" s="182"/>
      <c r="O168" s="183"/>
      <c r="P168" s="184"/>
      <c r="Q168" s="185"/>
      <c r="R168" s="185"/>
    </row>
    <row r="169" spans="1:18" ht="15.75" customHeight="1">
      <c r="A169" s="178"/>
      <c r="B169" s="179"/>
      <c r="C169" s="638"/>
      <c r="D169" s="179"/>
      <c r="E169" s="186"/>
      <c r="F169" s="178"/>
      <c r="G169" s="178"/>
      <c r="H169" s="178"/>
      <c r="I169" s="178"/>
      <c r="J169" s="178"/>
      <c r="K169" s="180"/>
      <c r="L169" s="181"/>
      <c r="M169" s="178"/>
      <c r="N169" s="182"/>
      <c r="O169" s="183"/>
      <c r="P169" s="184"/>
      <c r="Q169" s="185"/>
      <c r="R169" s="185"/>
    </row>
    <row r="170" spans="1:18" ht="15.75" customHeight="1">
      <c r="A170" s="187"/>
      <c r="B170" s="188"/>
      <c r="C170" s="638"/>
      <c r="D170" s="188"/>
      <c r="E170" s="189"/>
      <c r="F170" s="187"/>
      <c r="G170" s="187"/>
      <c r="H170" s="187"/>
      <c r="I170" s="187"/>
      <c r="J170" s="187"/>
      <c r="K170" s="190"/>
      <c r="L170" s="191"/>
      <c r="M170" s="187"/>
      <c r="N170" s="192"/>
      <c r="O170" s="193"/>
      <c r="P170" s="194"/>
      <c r="Q170" s="195"/>
      <c r="R170" s="195"/>
    </row>
    <row r="171" spans="1:18" ht="15.75" customHeight="1">
      <c r="A171" s="187"/>
      <c r="B171" s="188"/>
      <c r="C171" s="638"/>
      <c r="D171" s="188"/>
      <c r="E171" s="189"/>
      <c r="F171" s="187"/>
      <c r="G171" s="187"/>
      <c r="H171" s="187"/>
      <c r="I171" s="187"/>
      <c r="J171" s="187"/>
      <c r="K171" s="190"/>
      <c r="L171" s="191"/>
      <c r="M171" s="187"/>
      <c r="N171" s="192"/>
      <c r="O171" s="193"/>
      <c r="P171" s="194"/>
      <c r="Q171" s="195"/>
      <c r="R171" s="195"/>
    </row>
    <row r="172" spans="1:18" ht="15.75" customHeight="1">
      <c r="A172" s="187"/>
      <c r="B172" s="188"/>
      <c r="C172" s="638"/>
      <c r="D172" s="188"/>
      <c r="E172" s="189"/>
      <c r="F172" s="187"/>
      <c r="G172" s="187"/>
      <c r="H172" s="187"/>
      <c r="I172" s="187"/>
      <c r="J172" s="187"/>
      <c r="K172" s="190"/>
      <c r="L172" s="191"/>
      <c r="M172" s="187"/>
      <c r="N172" s="192"/>
      <c r="O172" s="193"/>
      <c r="P172" s="194"/>
      <c r="Q172" s="195"/>
      <c r="R172" s="195"/>
    </row>
    <row r="173" spans="1:18" ht="15.75" customHeight="1">
      <c r="A173" s="187"/>
      <c r="B173" s="188"/>
      <c r="C173" s="638"/>
      <c r="D173" s="188"/>
      <c r="E173" s="189"/>
      <c r="F173" s="187"/>
      <c r="G173" s="187"/>
      <c r="H173" s="187"/>
      <c r="I173" s="187"/>
      <c r="J173" s="187"/>
      <c r="K173" s="190"/>
      <c r="L173" s="191"/>
      <c r="M173" s="187"/>
      <c r="N173" s="192"/>
      <c r="O173" s="193"/>
      <c r="P173" s="194"/>
      <c r="Q173" s="195"/>
      <c r="R173" s="195"/>
    </row>
    <row r="174" spans="1:18" ht="15.75" customHeight="1">
      <c r="A174" s="196"/>
      <c r="B174" s="197"/>
      <c r="C174" s="638"/>
      <c r="D174" s="197"/>
      <c r="E174" s="690"/>
      <c r="F174" s="196"/>
      <c r="G174" s="196"/>
      <c r="H174" s="196"/>
      <c r="I174" s="196"/>
      <c r="J174" s="196"/>
      <c r="K174" s="198"/>
      <c r="L174" s="199"/>
      <c r="M174" s="196"/>
      <c r="N174" s="200"/>
      <c r="O174" s="201"/>
      <c r="P174" s="202"/>
      <c r="Q174" s="203"/>
      <c r="R174" s="203"/>
    </row>
    <row r="175" spans="1:18" ht="15.75" customHeight="1">
      <c r="A175" s="196"/>
      <c r="B175" s="197"/>
      <c r="C175" s="638"/>
      <c r="D175" s="197"/>
      <c r="E175" s="690"/>
      <c r="F175" s="196"/>
      <c r="G175" s="196"/>
      <c r="H175" s="196"/>
      <c r="I175" s="196"/>
      <c r="J175" s="196"/>
      <c r="K175" s="198"/>
      <c r="L175" s="199"/>
      <c r="M175" s="196"/>
      <c r="N175" s="200"/>
      <c r="O175" s="201"/>
      <c r="P175" s="202"/>
      <c r="Q175" s="203"/>
      <c r="R175" s="203"/>
    </row>
    <row r="176" spans="1:18" ht="15.75" customHeight="1">
      <c r="A176" s="196"/>
      <c r="B176" s="197"/>
      <c r="C176" s="638"/>
      <c r="D176" s="197"/>
      <c r="E176" s="690"/>
      <c r="F176" s="196"/>
      <c r="G176" s="196"/>
      <c r="H176" s="196"/>
      <c r="I176" s="196"/>
      <c r="J176" s="196"/>
      <c r="K176" s="198"/>
      <c r="L176" s="199"/>
      <c r="M176" s="196"/>
      <c r="N176" s="200"/>
      <c r="O176" s="201"/>
      <c r="P176" s="202"/>
      <c r="Q176" s="203"/>
      <c r="R176" s="203"/>
    </row>
    <row r="177" spans="1:18" ht="15.75" customHeight="1">
      <c r="A177" s="196"/>
      <c r="B177" s="197"/>
      <c r="C177" s="638"/>
      <c r="D177" s="197"/>
      <c r="E177" s="690"/>
      <c r="F177" s="196"/>
      <c r="G177" s="196"/>
      <c r="H177" s="196"/>
      <c r="I177" s="196"/>
      <c r="J177" s="196"/>
      <c r="K177" s="198"/>
      <c r="L177" s="199"/>
      <c r="M177" s="196"/>
      <c r="N177" s="200"/>
      <c r="O177" s="201"/>
      <c r="P177" s="202"/>
      <c r="Q177" s="203"/>
      <c r="R177" s="203"/>
    </row>
    <row r="178" spans="1:18" ht="15.75" customHeight="1">
      <c r="A178" s="204"/>
      <c r="B178" s="205"/>
      <c r="C178" s="638"/>
      <c r="D178" s="205"/>
      <c r="E178" s="206"/>
      <c r="F178" s="204"/>
      <c r="G178" s="204"/>
      <c r="H178" s="204"/>
      <c r="I178" s="204"/>
      <c r="J178" s="204"/>
      <c r="K178" s="207"/>
      <c r="L178" s="208"/>
      <c r="M178" s="204"/>
      <c r="N178" s="209"/>
      <c r="O178" s="210"/>
      <c r="P178" s="211"/>
      <c r="Q178" s="212"/>
      <c r="R178" s="212"/>
    </row>
    <row r="179" spans="1:18" ht="15.75" customHeight="1">
      <c r="A179" s="204"/>
      <c r="B179" s="205"/>
      <c r="C179" s="638"/>
      <c r="D179" s="205"/>
      <c r="E179" s="206"/>
      <c r="F179" s="204"/>
      <c r="G179" s="204"/>
      <c r="H179" s="204"/>
      <c r="I179" s="204"/>
      <c r="J179" s="204"/>
      <c r="K179" s="207"/>
      <c r="L179" s="208"/>
      <c r="M179" s="204"/>
      <c r="N179" s="209"/>
      <c r="O179" s="210"/>
      <c r="P179" s="211"/>
      <c r="Q179" s="212"/>
      <c r="R179" s="212"/>
    </row>
    <row r="180" spans="1:18" ht="15.75" customHeight="1">
      <c r="A180" s="213"/>
      <c r="B180" s="214"/>
      <c r="C180" s="638"/>
      <c r="D180" s="214"/>
      <c r="E180" s="215"/>
      <c r="F180" s="213"/>
      <c r="G180" s="213"/>
      <c r="H180" s="213"/>
      <c r="I180" s="213"/>
      <c r="J180" s="213"/>
      <c r="K180" s="216"/>
      <c r="L180" s="217"/>
      <c r="M180" s="213"/>
      <c r="N180" s="218"/>
      <c r="O180" s="219"/>
      <c r="P180" s="220"/>
      <c r="Q180" s="221"/>
      <c r="R180" s="221"/>
    </row>
    <row r="181" spans="1:18" ht="15.75" customHeight="1">
      <c r="A181" s="213"/>
      <c r="B181" s="214"/>
      <c r="C181" s="638"/>
      <c r="D181" s="214"/>
      <c r="E181" s="215"/>
      <c r="F181" s="213"/>
      <c r="G181" s="213"/>
      <c r="H181" s="213"/>
      <c r="I181" s="213"/>
      <c r="J181" s="213"/>
      <c r="K181" s="216"/>
      <c r="L181" s="217"/>
      <c r="M181" s="213"/>
      <c r="N181" s="218"/>
      <c r="O181" s="219"/>
      <c r="P181" s="220"/>
      <c r="Q181" s="221"/>
      <c r="R181" s="221"/>
    </row>
    <row r="182" spans="1:18" ht="15.75" customHeight="1">
      <c r="A182" s="213"/>
      <c r="B182" s="214"/>
      <c r="C182" s="638"/>
      <c r="D182" s="214"/>
      <c r="E182" s="215"/>
      <c r="F182" s="213"/>
      <c r="G182" s="213"/>
      <c r="H182" s="213"/>
      <c r="I182" s="213"/>
      <c r="J182" s="213"/>
      <c r="K182" s="216"/>
      <c r="L182" s="217"/>
      <c r="M182" s="213"/>
      <c r="N182" s="218"/>
      <c r="O182" s="219"/>
      <c r="P182" s="220"/>
      <c r="Q182" s="221"/>
      <c r="R182" s="221"/>
    </row>
    <row r="183" spans="1:18" ht="15.75" customHeight="1">
      <c r="A183" s="222"/>
      <c r="B183" s="223"/>
      <c r="C183" s="638"/>
      <c r="D183" s="223"/>
      <c r="E183" s="224"/>
      <c r="F183" s="222"/>
      <c r="G183" s="222"/>
      <c r="H183" s="222"/>
      <c r="I183" s="222"/>
      <c r="J183" s="222"/>
      <c r="K183" s="225"/>
      <c r="L183" s="226"/>
      <c r="M183" s="222"/>
      <c r="N183" s="227"/>
      <c r="O183" s="228"/>
      <c r="P183" s="229"/>
      <c r="Q183" s="230"/>
      <c r="R183" s="230"/>
    </row>
    <row r="184" spans="1:18" ht="15.75" customHeight="1">
      <c r="A184" s="231"/>
      <c r="B184" s="232"/>
      <c r="C184" s="638"/>
      <c r="D184" s="232"/>
      <c r="E184" s="233"/>
      <c r="F184" s="231"/>
      <c r="G184" s="231"/>
      <c r="H184" s="231"/>
      <c r="I184" s="231"/>
      <c r="J184" s="231"/>
      <c r="K184" s="234"/>
      <c r="L184" s="235"/>
      <c r="M184" s="231"/>
      <c r="N184" s="236"/>
      <c r="O184" s="237"/>
      <c r="P184" s="238"/>
      <c r="Q184" s="239"/>
      <c r="R184" s="239"/>
    </row>
    <row r="185" spans="1:18" ht="15.75" customHeight="1">
      <c r="A185" s="231"/>
      <c r="B185" s="232"/>
      <c r="C185" s="638"/>
      <c r="D185" s="232"/>
      <c r="E185" s="233"/>
      <c r="F185" s="231"/>
      <c r="G185" s="231"/>
      <c r="H185" s="231"/>
      <c r="I185" s="231"/>
      <c r="J185" s="231"/>
      <c r="K185" s="234"/>
      <c r="L185" s="235"/>
      <c r="M185" s="231"/>
      <c r="N185" s="236"/>
      <c r="O185" s="237"/>
      <c r="P185" s="238"/>
      <c r="Q185" s="239"/>
      <c r="R185" s="239"/>
    </row>
    <row r="186" spans="1:18" ht="15.75" customHeight="1">
      <c r="A186" s="719"/>
      <c r="B186" s="720"/>
      <c r="C186" s="721"/>
      <c r="D186" s="720"/>
      <c r="E186" s="722"/>
      <c r="F186" s="719"/>
      <c r="G186" s="719"/>
      <c r="H186" s="719"/>
      <c r="I186" s="719"/>
      <c r="J186" s="719"/>
      <c r="K186" s="723"/>
      <c r="L186" s="724"/>
      <c r="M186" s="719"/>
      <c r="N186" s="725"/>
      <c r="O186" s="726"/>
      <c r="P186" s="727"/>
      <c r="Q186" s="728"/>
      <c r="R186" s="728"/>
    </row>
    <row r="187" spans="1:18" ht="15.75" customHeight="1">
      <c r="A187" s="719"/>
      <c r="B187" s="720"/>
      <c r="C187" s="721"/>
      <c r="D187" s="720"/>
      <c r="E187" s="722"/>
      <c r="F187" s="719"/>
      <c r="G187" s="719"/>
      <c r="H187" s="719"/>
      <c r="I187" s="719"/>
      <c r="J187" s="719"/>
      <c r="K187" s="723"/>
      <c r="L187" s="724"/>
      <c r="M187" s="719"/>
      <c r="N187" s="725"/>
      <c r="O187" s="726"/>
      <c r="P187" s="727"/>
      <c r="Q187" s="728"/>
      <c r="R187" s="728"/>
    </row>
    <row r="188" spans="1:18" ht="15.75" customHeight="1">
      <c r="A188" s="719"/>
      <c r="B188" s="720"/>
      <c r="C188" s="721"/>
      <c r="D188" s="720"/>
      <c r="E188" s="722"/>
      <c r="F188" s="719"/>
      <c r="G188" s="719"/>
      <c r="H188" s="719"/>
      <c r="I188" s="719"/>
      <c r="J188" s="719"/>
      <c r="K188" s="723"/>
      <c r="L188" s="724"/>
      <c r="M188" s="719"/>
      <c r="N188" s="725"/>
      <c r="O188" s="726"/>
      <c r="P188" s="727"/>
      <c r="Q188" s="728"/>
      <c r="R188" s="728"/>
    </row>
    <row r="189" spans="1:18" ht="15.75" customHeight="1">
      <c r="A189" s="719"/>
      <c r="B189" s="720"/>
      <c r="C189" s="721"/>
      <c r="D189" s="720"/>
      <c r="E189" s="722"/>
      <c r="F189" s="719"/>
      <c r="G189" s="719"/>
      <c r="H189" s="719"/>
      <c r="I189" s="719"/>
      <c r="J189" s="719"/>
      <c r="K189" s="723"/>
      <c r="L189" s="724"/>
      <c r="M189" s="719"/>
      <c r="N189" s="725"/>
      <c r="O189" s="726"/>
      <c r="P189" s="727"/>
      <c r="Q189" s="728"/>
      <c r="R189" s="728"/>
    </row>
    <row r="190" spans="1:18" ht="15.75" customHeight="1">
      <c r="A190" s="719"/>
      <c r="B190" s="720"/>
      <c r="C190" s="721"/>
      <c r="D190" s="720"/>
      <c r="E190" s="722"/>
      <c r="F190" s="719"/>
      <c r="G190" s="719"/>
      <c r="H190" s="719"/>
      <c r="I190" s="719"/>
      <c r="J190" s="719"/>
      <c r="K190" s="723"/>
      <c r="L190" s="724"/>
      <c r="M190" s="719"/>
      <c r="N190" s="725"/>
      <c r="O190" s="726"/>
      <c r="P190" s="727"/>
      <c r="Q190" s="728"/>
      <c r="R190" s="728"/>
    </row>
    <row r="191" spans="1:18" ht="15.75" customHeight="1">
      <c r="A191" s="719"/>
      <c r="B191" s="720"/>
      <c r="C191" s="721"/>
      <c r="D191" s="720"/>
      <c r="E191" s="722"/>
      <c r="F191" s="719"/>
      <c r="G191" s="719"/>
      <c r="H191" s="719"/>
      <c r="I191" s="719"/>
      <c r="J191" s="719"/>
      <c r="K191" s="723"/>
      <c r="L191" s="724"/>
      <c r="M191" s="719"/>
      <c r="N191" s="725"/>
      <c r="O191" s="726"/>
      <c r="P191" s="727"/>
      <c r="Q191" s="728"/>
      <c r="R191" s="728"/>
    </row>
    <row r="192" spans="1:18" ht="15.75" customHeight="1">
      <c r="A192" s="719"/>
      <c r="B192" s="720"/>
      <c r="C192" s="721"/>
      <c r="D192" s="720"/>
      <c r="E192" s="722"/>
      <c r="F192" s="719"/>
      <c r="G192" s="719"/>
      <c r="H192" s="719"/>
      <c r="I192" s="719"/>
      <c r="J192" s="719"/>
      <c r="K192" s="723"/>
      <c r="L192" s="724"/>
      <c r="M192" s="719"/>
      <c r="N192" s="725"/>
      <c r="O192" s="726"/>
      <c r="P192" s="727"/>
      <c r="Q192" s="728"/>
      <c r="R192" s="728"/>
    </row>
    <row r="193" spans="1:18" ht="15.75" customHeight="1">
      <c r="A193" s="729"/>
      <c r="B193" s="730"/>
      <c r="C193" s="721"/>
      <c r="D193" s="730"/>
      <c r="E193" s="731"/>
      <c r="F193" s="729"/>
      <c r="G193" s="729"/>
      <c r="H193" s="729"/>
      <c r="I193" s="729"/>
      <c r="J193" s="729"/>
      <c r="K193" s="732"/>
      <c r="L193" s="733"/>
      <c r="M193" s="729"/>
      <c r="N193" s="734"/>
      <c r="O193" s="735"/>
      <c r="P193" s="736"/>
      <c r="Q193" s="737"/>
      <c r="R193" s="737"/>
    </row>
    <row r="194" spans="1:18" ht="15.75" customHeight="1">
      <c r="A194" s="738"/>
      <c r="B194" s="739"/>
      <c r="C194" s="721"/>
      <c r="D194" s="739"/>
      <c r="E194" s="740"/>
      <c r="F194" s="738"/>
      <c r="G194" s="738"/>
      <c r="H194" s="738"/>
      <c r="I194" s="738"/>
      <c r="J194" s="738"/>
      <c r="K194" s="741"/>
      <c r="L194" s="742"/>
      <c r="M194" s="738"/>
      <c r="N194" s="743"/>
      <c r="O194" s="744"/>
      <c r="P194" s="745"/>
      <c r="Q194" s="746"/>
      <c r="R194" s="746"/>
    </row>
    <row r="195" spans="1:18" ht="15.75" customHeight="1">
      <c r="A195" s="747"/>
      <c r="B195" s="748"/>
      <c r="C195" s="721"/>
      <c r="D195" s="748"/>
      <c r="E195" s="749"/>
      <c r="F195" s="747"/>
      <c r="G195" s="747"/>
      <c r="H195" s="747"/>
      <c r="I195" s="747"/>
      <c r="J195" s="747"/>
      <c r="K195" s="750"/>
      <c r="L195" s="751"/>
      <c r="M195" s="747"/>
      <c r="N195" s="752"/>
      <c r="O195" s="753"/>
      <c r="P195" s="754"/>
      <c r="Q195" s="755"/>
      <c r="R195" s="755"/>
    </row>
    <row r="196" spans="1:18" ht="15.75" customHeight="1">
      <c r="A196" s="756"/>
      <c r="B196" s="757"/>
      <c r="C196" s="721"/>
      <c r="D196" s="757"/>
      <c r="E196" s="758"/>
      <c r="F196" s="756"/>
      <c r="G196" s="756"/>
      <c r="H196" s="756"/>
      <c r="I196" s="756"/>
      <c r="J196" s="756"/>
      <c r="K196" s="759"/>
      <c r="L196" s="759"/>
      <c r="M196" s="756"/>
      <c r="N196" s="760"/>
      <c r="O196" s="761"/>
      <c r="P196" s="762"/>
      <c r="Q196" s="763"/>
      <c r="R196" s="763"/>
    </row>
    <row r="197" spans="1:18" ht="15.75" customHeight="1">
      <c r="A197" s="764"/>
      <c r="B197" s="765"/>
      <c r="C197" s="721"/>
      <c r="D197" s="765"/>
      <c r="E197" s="764"/>
      <c r="F197" s="764"/>
      <c r="G197" s="764"/>
      <c r="H197" s="764"/>
      <c r="I197" s="764"/>
      <c r="J197" s="764"/>
      <c r="K197" s="766"/>
      <c r="L197" s="766"/>
      <c r="M197" s="764"/>
      <c r="N197" s="767"/>
      <c r="O197" s="768"/>
      <c r="P197" s="769"/>
      <c r="Q197" s="770"/>
      <c r="R197" s="770"/>
    </row>
    <row r="198" spans="1:18" ht="15.75" customHeight="1">
      <c r="A198" s="704"/>
      <c r="B198" s="705"/>
      <c r="C198" s="721"/>
      <c r="D198" s="705"/>
      <c r="E198" s="704"/>
      <c r="F198" s="704"/>
      <c r="G198" s="704"/>
      <c r="H198" s="704"/>
      <c r="I198" s="704"/>
      <c r="J198" s="704"/>
      <c r="K198" s="706"/>
      <c r="L198" s="706"/>
      <c r="M198" s="704"/>
      <c r="N198" s="707"/>
      <c r="O198" s="708"/>
      <c r="P198" s="709"/>
      <c r="Q198" s="710"/>
      <c r="R198" s="710"/>
    </row>
    <row r="199" spans="1:18" ht="15.75" customHeight="1">
      <c r="A199" s="704"/>
      <c r="B199" s="705"/>
      <c r="C199" s="721"/>
      <c r="D199" s="705"/>
      <c r="E199" s="711"/>
      <c r="F199" s="704"/>
      <c r="G199" s="704"/>
      <c r="H199" s="704"/>
      <c r="I199" s="704"/>
      <c r="J199" s="704"/>
      <c r="K199" s="706"/>
      <c r="L199" s="706"/>
      <c r="M199" s="704"/>
      <c r="N199" s="707"/>
      <c r="O199" s="708"/>
      <c r="P199" s="709"/>
      <c r="Q199" s="710"/>
      <c r="R199" s="710"/>
    </row>
    <row r="200" spans="1:18" ht="15.75" customHeight="1">
      <c r="A200" s="712"/>
      <c r="B200" s="713"/>
      <c r="C200" s="721"/>
      <c r="D200" s="713"/>
      <c r="E200" s="712"/>
      <c r="F200" s="712"/>
      <c r="G200" s="712"/>
      <c r="H200" s="712"/>
      <c r="I200" s="712"/>
      <c r="J200" s="712"/>
      <c r="K200" s="714"/>
      <c r="L200" s="714"/>
      <c r="M200" s="712"/>
      <c r="N200" s="715"/>
      <c r="O200" s="716"/>
      <c r="P200" s="717"/>
      <c r="Q200" s="718"/>
      <c r="R200" s="718"/>
    </row>
    <row r="201" spans="1:18" ht="15.75" customHeight="1">
      <c r="A201" s="712"/>
      <c r="B201" s="713"/>
      <c r="C201" s="721"/>
      <c r="D201" s="713"/>
      <c r="E201" s="712"/>
      <c r="F201" s="712"/>
      <c r="G201" s="712"/>
      <c r="H201" s="712"/>
      <c r="I201" s="712"/>
      <c r="J201" s="712"/>
      <c r="K201" s="714"/>
      <c r="L201" s="714"/>
      <c r="M201" s="712"/>
      <c r="N201" s="715"/>
      <c r="O201" s="716"/>
      <c r="P201" s="717"/>
      <c r="Q201" s="718"/>
      <c r="R201" s="718"/>
    </row>
    <row r="202" spans="1:18" ht="15.75" customHeight="1">
      <c r="A202" s="697"/>
      <c r="B202" s="700"/>
      <c r="C202" s="721"/>
      <c r="D202" s="700"/>
      <c r="E202" s="712"/>
      <c r="F202" s="697"/>
      <c r="G202" s="697"/>
      <c r="H202" s="697"/>
      <c r="I202" s="697"/>
      <c r="J202" s="697"/>
      <c r="K202" s="699"/>
      <c r="L202" s="699"/>
      <c r="M202" s="697"/>
      <c r="N202" s="703"/>
      <c r="O202" s="701"/>
      <c r="P202" s="702"/>
      <c r="Q202" s="698"/>
      <c r="R202" s="698"/>
    </row>
    <row r="203" spans="1:18" ht="15.75" customHeight="1">
      <c r="A203" s="240"/>
      <c r="B203" s="241"/>
      <c r="C203" s="242"/>
      <c r="D203" s="241"/>
      <c r="E203" s="243"/>
      <c r="F203" s="240"/>
      <c r="G203" s="240"/>
      <c r="H203" s="240"/>
      <c r="I203" s="240"/>
      <c r="J203" s="240"/>
      <c r="K203" s="244"/>
      <c r="L203" s="244"/>
      <c r="M203" s="240"/>
      <c r="N203" s="245"/>
      <c r="O203" s="246"/>
      <c r="P203" s="247"/>
      <c r="Q203" s="248"/>
      <c r="R203" s="248"/>
    </row>
    <row r="204" spans="1:18" ht="15.75" customHeight="1">
      <c r="A204" s="249"/>
      <c r="B204" s="250"/>
      <c r="C204" s="242"/>
      <c r="D204" s="250"/>
      <c r="E204" s="251"/>
      <c r="F204" s="249"/>
      <c r="G204" s="249"/>
      <c r="H204" s="249"/>
      <c r="I204" s="249"/>
      <c r="J204" s="249"/>
      <c r="K204" s="252"/>
      <c r="L204" s="252"/>
      <c r="M204" s="249"/>
      <c r="N204" s="253"/>
      <c r="O204" s="254"/>
      <c r="P204" s="255"/>
      <c r="Q204" s="256"/>
      <c r="R204" s="256"/>
    </row>
    <row r="205" spans="1:18" ht="15.75" customHeight="1">
      <c r="A205" s="249"/>
      <c r="B205" s="250"/>
      <c r="C205" s="242"/>
      <c r="D205" s="250"/>
      <c r="E205" s="257"/>
      <c r="F205" s="249"/>
      <c r="G205" s="249"/>
      <c r="H205" s="249"/>
      <c r="I205" s="249"/>
      <c r="J205" s="249"/>
      <c r="K205" s="252"/>
      <c r="L205" s="252"/>
      <c r="M205" s="249"/>
      <c r="N205" s="253"/>
      <c r="O205" s="254"/>
      <c r="P205" s="255"/>
      <c r="Q205" s="256"/>
      <c r="R205" s="256"/>
    </row>
    <row r="206" spans="1:18" ht="15.75" customHeight="1">
      <c r="A206" s="249"/>
      <c r="B206" s="250"/>
      <c r="C206" s="242"/>
      <c r="D206" s="250"/>
      <c r="E206" s="251"/>
      <c r="F206" s="249"/>
      <c r="G206" s="249"/>
      <c r="H206" s="249"/>
      <c r="I206" s="249"/>
      <c r="J206" s="249"/>
      <c r="K206" s="252"/>
      <c r="L206" s="252"/>
      <c r="M206" s="249"/>
      <c r="N206" s="253"/>
      <c r="O206" s="254"/>
      <c r="P206" s="255"/>
      <c r="Q206" s="256"/>
      <c r="R206" s="256"/>
    </row>
    <row r="207" spans="1:18" ht="15.75" customHeight="1">
      <c r="A207" s="249"/>
      <c r="B207" s="250"/>
      <c r="C207" s="242"/>
      <c r="D207" s="250"/>
      <c r="E207" s="251"/>
      <c r="F207" s="249"/>
      <c r="G207" s="249"/>
      <c r="H207" s="249"/>
      <c r="I207" s="249"/>
      <c r="J207" s="249"/>
      <c r="K207" s="252"/>
      <c r="L207" s="252"/>
      <c r="M207" s="249"/>
      <c r="N207" s="253"/>
      <c r="O207" s="254"/>
      <c r="P207" s="255"/>
      <c r="Q207" s="256"/>
      <c r="R207" s="256"/>
    </row>
    <row r="208" spans="1:18" ht="15.75" customHeight="1">
      <c r="A208" s="258"/>
      <c r="B208" s="259"/>
      <c r="C208" s="242"/>
      <c r="D208" s="259"/>
      <c r="E208" s="257"/>
      <c r="F208" s="258"/>
      <c r="G208" s="258"/>
      <c r="H208" s="258"/>
      <c r="I208" s="258"/>
      <c r="J208" s="258"/>
      <c r="K208" s="260"/>
      <c r="L208" s="260"/>
      <c r="M208" s="258"/>
      <c r="N208" s="261"/>
      <c r="O208" s="262"/>
      <c r="P208" s="263"/>
      <c r="Q208" s="264"/>
      <c r="R208" s="264"/>
    </row>
    <row r="209" spans="1:18" ht="15.75" customHeight="1">
      <c r="A209" s="258"/>
      <c r="B209" s="259"/>
      <c r="C209" s="242"/>
      <c r="D209" s="259"/>
      <c r="E209" s="257"/>
      <c r="F209" s="258"/>
      <c r="G209" s="258"/>
      <c r="H209" s="258"/>
      <c r="I209" s="258"/>
      <c r="J209" s="258"/>
      <c r="K209" s="260"/>
      <c r="L209" s="260"/>
      <c r="M209" s="258"/>
      <c r="N209" s="261"/>
      <c r="O209" s="262"/>
      <c r="P209" s="263"/>
      <c r="Q209" s="264"/>
      <c r="R209" s="264"/>
    </row>
    <row r="210" spans="1:18" ht="15.75" customHeight="1">
      <c r="A210" s="258"/>
      <c r="B210" s="259"/>
      <c r="C210" s="242"/>
      <c r="D210" s="259"/>
      <c r="E210" s="257"/>
      <c r="F210" s="258"/>
      <c r="G210" s="258"/>
      <c r="H210" s="258"/>
      <c r="I210" s="258"/>
      <c r="J210" s="258"/>
      <c r="K210" s="260"/>
      <c r="L210" s="260"/>
      <c r="M210" s="258"/>
      <c r="N210" s="261"/>
      <c r="O210" s="262"/>
      <c r="P210" s="263"/>
      <c r="Q210" s="264"/>
      <c r="R210" s="264"/>
    </row>
    <row r="211" spans="1:18" ht="15.75" customHeight="1">
      <c r="A211" s="258"/>
      <c r="B211" s="259"/>
      <c r="C211" s="242"/>
      <c r="D211" s="259"/>
      <c r="E211" s="265"/>
      <c r="F211" s="258"/>
      <c r="G211" s="258"/>
      <c r="H211" s="258"/>
      <c r="I211" s="258"/>
      <c r="J211" s="258"/>
      <c r="K211" s="260"/>
      <c r="L211" s="260"/>
      <c r="M211" s="258"/>
      <c r="N211" s="261"/>
      <c r="O211" s="262"/>
      <c r="P211" s="263"/>
      <c r="Q211" s="264"/>
      <c r="R211" s="264"/>
    </row>
    <row r="212" spans="1:18" ht="15.75" customHeight="1">
      <c r="A212" s="266"/>
      <c r="B212" s="267"/>
      <c r="C212" s="242"/>
      <c r="D212" s="267"/>
      <c r="E212" s="268"/>
      <c r="F212" s="266"/>
      <c r="G212" s="266"/>
      <c r="H212" s="266"/>
      <c r="I212" s="266"/>
      <c r="J212" s="266"/>
      <c r="K212" s="269"/>
      <c r="L212" s="269"/>
      <c r="M212" s="266"/>
      <c r="N212" s="270"/>
      <c r="O212" s="271"/>
      <c r="P212" s="272"/>
      <c r="Q212" s="273"/>
      <c r="R212" s="273"/>
    </row>
    <row r="213" spans="1:18" ht="15.75" customHeight="1">
      <c r="A213" s="266"/>
      <c r="B213" s="267"/>
      <c r="C213" s="242"/>
      <c r="D213" s="267"/>
      <c r="E213" s="274"/>
      <c r="F213" s="266"/>
      <c r="G213" s="266"/>
      <c r="H213" s="266"/>
      <c r="I213" s="266"/>
      <c r="J213" s="266"/>
      <c r="K213" s="269"/>
      <c r="L213" s="269"/>
      <c r="M213" s="266"/>
      <c r="N213" s="270"/>
      <c r="O213" s="271"/>
      <c r="P213" s="272"/>
      <c r="Q213" s="273"/>
      <c r="R213" s="273"/>
    </row>
    <row r="214" spans="1:18" ht="15.75" customHeight="1">
      <c r="A214" s="65"/>
      <c r="B214" s="68"/>
      <c r="C214" s="242"/>
      <c r="D214" s="68"/>
      <c r="E214" s="69"/>
      <c r="F214" s="65"/>
      <c r="G214" s="65"/>
      <c r="H214" s="65"/>
      <c r="I214" s="65"/>
      <c r="J214" s="65"/>
      <c r="K214" s="67"/>
      <c r="L214" s="67"/>
      <c r="M214" s="65"/>
      <c r="N214" s="72"/>
      <c r="O214" s="70"/>
      <c r="P214" s="71"/>
      <c r="Q214" s="66"/>
      <c r="R214" s="66"/>
    </row>
    <row r="215" spans="1:18" ht="15.75" customHeight="1">
      <c r="A215" s="65"/>
      <c r="B215" s="68"/>
      <c r="C215" s="242"/>
      <c r="D215" s="68"/>
      <c r="E215" s="69"/>
      <c r="F215" s="65"/>
      <c r="G215" s="65"/>
      <c r="H215" s="65"/>
      <c r="I215" s="65"/>
      <c r="J215" s="65"/>
      <c r="K215" s="67"/>
      <c r="L215" s="67"/>
      <c r="M215" s="65"/>
      <c r="N215" s="72"/>
      <c r="O215" s="70"/>
      <c r="P215" s="71"/>
      <c r="Q215" s="66"/>
      <c r="R215" s="66"/>
    </row>
    <row r="216" spans="1:18" ht="15.75" customHeight="1">
      <c r="A216" s="65"/>
      <c r="B216" s="68"/>
      <c r="C216" s="242"/>
      <c r="D216" s="68"/>
      <c r="E216" s="69"/>
      <c r="F216" s="65"/>
      <c r="G216" s="65"/>
      <c r="H216" s="65"/>
      <c r="I216" s="65"/>
      <c r="J216" s="65"/>
      <c r="K216" s="67"/>
      <c r="L216" s="67"/>
      <c r="M216" s="65"/>
      <c r="N216" s="72"/>
      <c r="O216" s="70"/>
      <c r="P216" s="71"/>
      <c r="Q216" s="66"/>
      <c r="R216" s="66"/>
    </row>
    <row r="217" spans="1:18" ht="15.75" customHeight="1">
      <c r="A217" s="65"/>
      <c r="B217" s="68"/>
      <c r="C217" s="242"/>
      <c r="D217" s="68"/>
      <c r="E217" s="69"/>
      <c r="F217" s="65"/>
      <c r="G217" s="65"/>
      <c r="H217" s="65"/>
      <c r="I217" s="65"/>
      <c r="J217" s="65"/>
      <c r="K217" s="67"/>
      <c r="L217" s="67"/>
      <c r="M217" s="65"/>
      <c r="N217" s="72"/>
      <c r="O217" s="70"/>
      <c r="P217" s="71"/>
      <c r="Q217" s="66"/>
      <c r="R217" s="66"/>
    </row>
    <row r="218" spans="1:18" ht="15.75" customHeight="1">
      <c r="A218" s="65"/>
      <c r="B218" s="68"/>
      <c r="C218" s="242"/>
      <c r="D218" s="68"/>
      <c r="E218" s="69"/>
      <c r="F218" s="65"/>
      <c r="G218" s="65"/>
      <c r="H218" s="65"/>
      <c r="I218" s="65"/>
      <c r="J218" s="65"/>
      <c r="K218" s="67"/>
      <c r="L218" s="67"/>
      <c r="M218" s="65"/>
      <c r="N218" s="72"/>
      <c r="O218" s="70"/>
      <c r="P218" s="71"/>
      <c r="Q218" s="66"/>
      <c r="R218" s="66"/>
    </row>
    <row r="219" spans="1:18" ht="15.75" customHeight="1">
      <c r="A219" s="65"/>
      <c r="B219" s="68"/>
      <c r="C219" s="242"/>
      <c r="D219" s="68"/>
      <c r="E219" s="274"/>
      <c r="F219" s="65"/>
      <c r="G219" s="65"/>
      <c r="H219" s="65"/>
      <c r="I219" s="65"/>
      <c r="J219" s="65"/>
      <c r="K219" s="67"/>
      <c r="L219" s="67"/>
      <c r="M219" s="65"/>
      <c r="N219" s="72"/>
      <c r="O219" s="70"/>
      <c r="P219" s="71"/>
      <c r="Q219" s="66"/>
      <c r="R219" s="66"/>
    </row>
    <row r="220" spans="1:18" ht="15.75" customHeight="1">
      <c r="A220" s="65"/>
      <c r="B220" s="68"/>
      <c r="C220" s="242"/>
      <c r="D220" s="68"/>
      <c r="E220" s="69"/>
      <c r="F220" s="65"/>
      <c r="G220" s="65"/>
      <c r="H220" s="65"/>
      <c r="I220" s="65"/>
      <c r="J220" s="65"/>
      <c r="K220" s="67"/>
      <c r="L220" s="67"/>
      <c r="M220" s="65"/>
      <c r="N220" s="72"/>
      <c r="O220" s="70"/>
      <c r="P220" s="71"/>
      <c r="Q220" s="66"/>
      <c r="R220" s="66"/>
    </row>
    <row r="221" spans="1:18" ht="15.75" customHeight="1">
      <c r="A221" s="65"/>
      <c r="B221" s="68"/>
      <c r="C221" s="242"/>
      <c r="D221" s="68"/>
      <c r="E221" s="69"/>
      <c r="F221" s="65"/>
      <c r="G221" s="65"/>
      <c r="H221" s="65"/>
      <c r="I221" s="65"/>
      <c r="J221" s="65"/>
      <c r="K221" s="67"/>
      <c r="L221" s="67"/>
      <c r="M221" s="65"/>
      <c r="N221" s="72"/>
      <c r="O221" s="70"/>
      <c r="P221" s="71"/>
      <c r="Q221" s="66"/>
      <c r="R221" s="66"/>
    </row>
    <row r="222" spans="1:18" ht="15.75" customHeight="1">
      <c r="A222" s="65"/>
      <c r="B222" s="68"/>
      <c r="C222" s="242"/>
      <c r="D222" s="68"/>
      <c r="E222" s="69"/>
      <c r="F222" s="65"/>
      <c r="G222" s="65"/>
      <c r="H222" s="65"/>
      <c r="I222" s="65"/>
      <c r="J222" s="65"/>
      <c r="K222" s="67"/>
      <c r="L222" s="67"/>
      <c r="M222" s="65"/>
      <c r="N222" s="72"/>
      <c r="O222" s="70"/>
      <c r="P222" s="71"/>
      <c r="Q222" s="66"/>
      <c r="R222" s="66"/>
    </row>
    <row r="223" spans="1:18" ht="15.75" customHeight="1">
      <c r="A223" s="65"/>
      <c r="B223" s="68"/>
      <c r="C223" s="242"/>
      <c r="D223" s="68"/>
      <c r="E223" s="69"/>
      <c r="F223" s="65"/>
      <c r="G223" s="65"/>
      <c r="H223" s="65"/>
      <c r="I223" s="65"/>
      <c r="J223" s="65"/>
      <c r="K223" s="67"/>
      <c r="L223" s="67"/>
      <c r="M223" s="65"/>
      <c r="N223" s="72"/>
      <c r="O223" s="70"/>
      <c r="P223" s="71"/>
      <c r="Q223" s="66"/>
      <c r="R223" s="66"/>
    </row>
    <row r="224" spans="1:18" ht="15.75" customHeight="1">
      <c r="A224" s="65"/>
      <c r="B224" s="68"/>
      <c r="C224" s="242"/>
      <c r="D224" s="68"/>
      <c r="E224" s="69"/>
      <c r="F224" s="65"/>
      <c r="G224" s="65"/>
      <c r="H224" s="65"/>
      <c r="I224" s="65"/>
      <c r="J224" s="65"/>
      <c r="K224" s="67"/>
      <c r="L224" s="67"/>
      <c r="M224" s="65"/>
      <c r="N224" s="72"/>
      <c r="O224" s="70"/>
      <c r="P224" s="71"/>
      <c r="Q224" s="66"/>
      <c r="R224" s="66"/>
    </row>
    <row r="225" spans="1:18" ht="15.75" customHeight="1">
      <c r="A225" s="65"/>
      <c r="B225" s="68"/>
      <c r="C225" s="64"/>
      <c r="D225" s="68"/>
      <c r="E225" s="69"/>
      <c r="F225" s="65"/>
      <c r="G225" s="65"/>
      <c r="H225" s="65"/>
      <c r="I225" s="65"/>
      <c r="J225" s="65"/>
      <c r="K225" s="67"/>
      <c r="L225" s="67"/>
      <c r="M225" s="65"/>
      <c r="N225" s="72"/>
      <c r="O225" s="70"/>
      <c r="P225" s="71"/>
      <c r="Q225" s="66"/>
      <c r="R225" s="66"/>
    </row>
    <row r="226" spans="1:18" ht="15.75" customHeight="1">
      <c r="A226" s="65"/>
      <c r="B226" s="68"/>
      <c r="C226" s="64"/>
      <c r="D226" s="68"/>
      <c r="E226" s="69"/>
      <c r="F226" s="65"/>
      <c r="G226" s="65"/>
      <c r="H226" s="65"/>
      <c r="I226" s="65"/>
      <c r="J226" s="65"/>
      <c r="K226" s="67"/>
      <c r="L226" s="67"/>
      <c r="M226" s="65"/>
      <c r="N226" s="72"/>
      <c r="O226" s="70"/>
      <c r="P226" s="71"/>
      <c r="Q226" s="66"/>
      <c r="R226" s="66"/>
    </row>
    <row r="227" spans="1:18" ht="15.75" customHeight="1">
      <c r="A227" s="65"/>
      <c r="B227" s="68"/>
      <c r="C227" s="64"/>
      <c r="D227" s="68"/>
      <c r="E227" s="69"/>
      <c r="F227" s="65"/>
      <c r="G227" s="65"/>
      <c r="H227" s="65"/>
      <c r="I227" s="65"/>
      <c r="J227" s="65"/>
      <c r="K227" s="67"/>
      <c r="L227" s="67"/>
      <c r="M227" s="65"/>
      <c r="N227" s="72"/>
      <c r="O227" s="70"/>
      <c r="P227" s="71"/>
      <c r="Q227" s="66"/>
      <c r="R227" s="66"/>
    </row>
    <row r="228" spans="1:18" ht="15.75" customHeight="1">
      <c r="A228" s="65"/>
      <c r="B228" s="68"/>
      <c r="C228" s="64"/>
      <c r="D228" s="68"/>
      <c r="E228" s="69"/>
      <c r="F228" s="65"/>
      <c r="G228" s="65"/>
      <c r="H228" s="65"/>
      <c r="I228" s="65"/>
      <c r="J228" s="65"/>
      <c r="K228" s="67"/>
      <c r="L228" s="67"/>
      <c r="M228" s="65"/>
      <c r="N228" s="72"/>
      <c r="O228" s="70"/>
      <c r="P228" s="71"/>
      <c r="Q228" s="66"/>
      <c r="R228" s="66"/>
    </row>
    <row r="229" spans="1:18" ht="15.75" customHeight="1">
      <c r="A229" s="65"/>
      <c r="B229" s="68"/>
      <c r="C229" s="64"/>
      <c r="D229" s="68"/>
      <c r="E229" s="69"/>
      <c r="F229" s="65"/>
      <c r="G229" s="65"/>
      <c r="H229" s="65"/>
      <c r="I229" s="65"/>
      <c r="J229" s="65"/>
      <c r="K229" s="67"/>
      <c r="L229" s="67"/>
      <c r="M229" s="65"/>
      <c r="N229" s="72"/>
      <c r="O229" s="70"/>
      <c r="P229" s="71"/>
      <c r="Q229" s="66"/>
      <c r="R229" s="66"/>
    </row>
    <row r="230" spans="1:18" ht="15.75" customHeight="1">
      <c r="A230" s="65"/>
      <c r="B230" s="68"/>
      <c r="C230" s="64"/>
      <c r="D230" s="68"/>
      <c r="E230" s="69"/>
      <c r="F230" s="65"/>
      <c r="G230" s="65"/>
      <c r="H230" s="65"/>
      <c r="I230" s="65"/>
      <c r="J230" s="65"/>
      <c r="K230" s="67"/>
      <c r="L230" s="67"/>
      <c r="M230" s="65"/>
      <c r="N230" s="72"/>
      <c r="O230" s="70"/>
      <c r="P230" s="71"/>
      <c r="Q230" s="66"/>
      <c r="R230" s="66"/>
    </row>
    <row r="231" spans="1:18" ht="15.75" customHeight="1">
      <c r="A231" s="65"/>
      <c r="B231" s="68"/>
      <c r="C231" s="64"/>
      <c r="D231" s="68"/>
      <c r="E231" s="69"/>
      <c r="F231" s="65"/>
      <c r="G231" s="65"/>
      <c r="H231" s="65"/>
      <c r="I231" s="65"/>
      <c r="J231" s="65"/>
      <c r="K231" s="67"/>
      <c r="L231" s="67"/>
      <c r="M231" s="65"/>
      <c r="N231" s="72"/>
      <c r="O231" s="70"/>
      <c r="P231" s="71"/>
      <c r="Q231" s="66"/>
      <c r="R231" s="66"/>
    </row>
    <row r="232" spans="1:18" ht="15.75" customHeight="1">
      <c r="A232" s="65"/>
      <c r="B232" s="68"/>
      <c r="C232" s="64"/>
      <c r="D232" s="68"/>
      <c r="E232" s="69"/>
      <c r="F232" s="65"/>
      <c r="G232" s="65"/>
      <c r="H232" s="65"/>
      <c r="I232" s="65"/>
      <c r="J232" s="65"/>
      <c r="K232" s="67"/>
      <c r="L232" s="67"/>
      <c r="M232" s="65"/>
      <c r="N232" s="72"/>
      <c r="O232" s="70"/>
      <c r="P232" s="71"/>
      <c r="Q232" s="66"/>
      <c r="R232" s="66"/>
    </row>
    <row r="233" spans="1:18" ht="15.75" customHeight="1">
      <c r="A233" s="65"/>
      <c r="B233" s="68"/>
      <c r="C233" s="64"/>
      <c r="D233" s="68"/>
      <c r="E233" s="69"/>
      <c r="F233" s="65"/>
      <c r="G233" s="65"/>
      <c r="H233" s="65"/>
      <c r="I233" s="65"/>
      <c r="J233" s="65"/>
      <c r="K233" s="67"/>
      <c r="L233" s="67"/>
      <c r="M233" s="65"/>
      <c r="N233" s="72"/>
      <c r="O233" s="70"/>
      <c r="P233" s="71"/>
      <c r="Q233" s="66"/>
      <c r="R233" s="66"/>
    </row>
    <row r="234" spans="1:18" ht="15.75" customHeight="1">
      <c r="A234" s="65"/>
      <c r="B234" s="68"/>
      <c r="C234" s="64"/>
      <c r="D234" s="68"/>
      <c r="E234" s="69"/>
      <c r="F234" s="65"/>
      <c r="G234" s="65"/>
      <c r="H234" s="65"/>
      <c r="I234" s="65"/>
      <c r="J234" s="65"/>
      <c r="K234" s="67"/>
      <c r="L234" s="67"/>
      <c r="M234" s="65"/>
      <c r="N234" s="72"/>
      <c r="O234" s="70"/>
      <c r="P234" s="71"/>
      <c r="Q234" s="66"/>
      <c r="R234" s="66"/>
    </row>
    <row r="235" spans="1:18" ht="15.75" customHeight="1">
      <c r="A235" s="65"/>
      <c r="B235" s="68"/>
      <c r="C235" s="64"/>
      <c r="D235" s="68"/>
      <c r="E235" s="69"/>
      <c r="F235" s="65"/>
      <c r="G235" s="65"/>
      <c r="H235" s="65"/>
      <c r="I235" s="65"/>
      <c r="J235" s="65"/>
      <c r="K235" s="67"/>
      <c r="L235" s="67"/>
      <c r="M235" s="65"/>
      <c r="N235" s="72"/>
      <c r="O235" s="70"/>
      <c r="P235" s="71"/>
      <c r="Q235" s="66"/>
      <c r="R235" s="66"/>
    </row>
    <row r="236" spans="1:18" ht="15.75" customHeight="1">
      <c r="A236" s="65"/>
      <c r="B236" s="68"/>
      <c r="C236" s="64"/>
      <c r="D236" s="68"/>
      <c r="E236" s="69"/>
      <c r="F236" s="65"/>
      <c r="G236" s="65"/>
      <c r="H236" s="65"/>
      <c r="I236" s="65"/>
      <c r="J236" s="65"/>
      <c r="K236" s="67"/>
      <c r="L236" s="67"/>
      <c r="M236" s="65"/>
      <c r="N236" s="72"/>
      <c r="O236" s="70"/>
      <c r="P236" s="71"/>
      <c r="Q236" s="66"/>
      <c r="R236" s="66"/>
    </row>
    <row r="237" spans="1:18" ht="15.75" customHeight="1">
      <c r="A237" s="65"/>
      <c r="B237" s="68"/>
      <c r="C237" s="64"/>
      <c r="D237" s="68"/>
      <c r="E237" s="69"/>
      <c r="F237" s="65"/>
      <c r="G237" s="65"/>
      <c r="H237" s="65"/>
      <c r="I237" s="65"/>
      <c r="J237" s="65"/>
      <c r="K237" s="67"/>
      <c r="L237" s="67"/>
      <c r="M237" s="65"/>
      <c r="N237" s="72"/>
      <c r="O237" s="70"/>
      <c r="P237" s="71"/>
      <c r="Q237" s="66"/>
      <c r="R237" s="66"/>
    </row>
    <row r="238" spans="1:18" ht="15.75" customHeight="1">
      <c r="A238" s="65"/>
      <c r="B238" s="68"/>
      <c r="C238" s="64"/>
      <c r="D238" s="68"/>
      <c r="E238" s="69"/>
      <c r="F238" s="65"/>
      <c r="G238" s="65"/>
      <c r="H238" s="65"/>
      <c r="I238" s="65"/>
      <c r="J238" s="65"/>
      <c r="K238" s="67"/>
      <c r="L238" s="67"/>
      <c r="M238" s="65"/>
      <c r="N238" s="72"/>
      <c r="O238" s="70"/>
      <c r="P238" s="71"/>
      <c r="Q238" s="66"/>
      <c r="R238" s="66"/>
    </row>
    <row r="239" spans="1:18" ht="15.75" customHeight="1">
      <c r="A239" s="65"/>
      <c r="B239" s="68"/>
      <c r="C239" s="64"/>
      <c r="D239" s="68"/>
      <c r="E239" s="69"/>
      <c r="F239" s="65"/>
      <c r="G239" s="65"/>
      <c r="H239" s="65"/>
      <c r="I239" s="65"/>
      <c r="J239" s="65"/>
      <c r="K239" s="67"/>
      <c r="L239" s="67"/>
      <c r="M239" s="65"/>
      <c r="N239" s="72"/>
      <c r="O239" s="70"/>
      <c r="P239" s="71"/>
      <c r="Q239" s="66"/>
      <c r="R239" s="66"/>
    </row>
    <row r="240" spans="1:18" ht="15.75" customHeight="1">
      <c r="A240" s="65"/>
      <c r="B240" s="68"/>
      <c r="C240" s="64"/>
      <c r="D240" s="68"/>
      <c r="E240" s="69"/>
      <c r="F240" s="65"/>
      <c r="G240" s="65"/>
      <c r="H240" s="65"/>
      <c r="I240" s="65"/>
      <c r="J240" s="65"/>
      <c r="K240" s="67"/>
      <c r="L240" s="67"/>
      <c r="M240" s="65"/>
      <c r="N240" s="72"/>
      <c r="O240" s="70"/>
      <c r="P240" s="71"/>
      <c r="Q240" s="66"/>
      <c r="R240" s="66"/>
    </row>
    <row r="241" spans="1:18" ht="15.75" customHeight="1">
      <c r="A241" s="65"/>
      <c r="B241" s="68"/>
      <c r="C241" s="64"/>
      <c r="D241" s="68"/>
      <c r="E241" s="69"/>
      <c r="F241" s="65"/>
      <c r="G241" s="65"/>
      <c r="H241" s="65"/>
      <c r="I241" s="65"/>
      <c r="J241" s="65"/>
      <c r="K241" s="67"/>
      <c r="L241" s="67"/>
      <c r="M241" s="65"/>
      <c r="N241" s="72"/>
      <c r="O241" s="70"/>
      <c r="P241" s="71"/>
      <c r="Q241" s="66"/>
      <c r="R241" s="66"/>
    </row>
    <row r="242" spans="1:18" ht="15.75" customHeight="1">
      <c r="A242" s="65"/>
      <c r="B242" s="68"/>
      <c r="C242" s="64"/>
      <c r="D242" s="68"/>
      <c r="E242" s="69"/>
      <c r="F242" s="65"/>
      <c r="G242" s="65"/>
      <c r="H242" s="65"/>
      <c r="I242" s="65"/>
      <c r="J242" s="65"/>
      <c r="K242" s="67"/>
      <c r="L242" s="67"/>
      <c r="M242" s="65"/>
      <c r="N242" s="72"/>
      <c r="O242" s="70"/>
      <c r="P242" s="71"/>
      <c r="Q242" s="66"/>
      <c r="R242" s="66"/>
    </row>
    <row r="243" spans="1:18" ht="15.75" customHeight="1">
      <c r="A243" s="65"/>
      <c r="B243" s="68"/>
      <c r="C243" s="64"/>
      <c r="D243" s="68"/>
      <c r="E243" s="69"/>
      <c r="F243" s="65"/>
      <c r="G243" s="65"/>
      <c r="H243" s="65"/>
      <c r="I243" s="65"/>
      <c r="J243" s="65"/>
      <c r="K243" s="67"/>
      <c r="L243" s="67"/>
      <c r="M243" s="65"/>
      <c r="N243" s="72"/>
      <c r="O243" s="70"/>
      <c r="P243" s="71"/>
      <c r="Q243" s="66"/>
      <c r="R243" s="66"/>
    </row>
    <row r="244" spans="1:18" ht="15.75" customHeight="1">
      <c r="A244" s="65"/>
      <c r="B244" s="68"/>
      <c r="C244" s="64"/>
      <c r="D244" s="68"/>
      <c r="E244" s="69"/>
      <c r="F244" s="65"/>
      <c r="G244" s="65"/>
      <c r="H244" s="65"/>
      <c r="I244" s="65"/>
      <c r="J244" s="65"/>
      <c r="K244" s="67"/>
      <c r="L244" s="67"/>
      <c r="M244" s="65"/>
      <c r="N244" s="72"/>
      <c r="O244" s="70"/>
      <c r="P244" s="71"/>
      <c r="Q244" s="66"/>
      <c r="R244" s="66"/>
    </row>
    <row r="245" spans="1:18" ht="15.75" customHeight="1">
      <c r="A245" s="65"/>
      <c r="B245" s="68"/>
      <c r="C245" s="64"/>
      <c r="D245" s="68"/>
      <c r="E245" s="69"/>
      <c r="F245" s="65"/>
      <c r="G245" s="65"/>
      <c r="H245" s="65"/>
      <c r="I245" s="65"/>
      <c r="J245" s="65"/>
      <c r="K245" s="67"/>
      <c r="L245" s="67"/>
      <c r="M245" s="65"/>
      <c r="N245" s="72"/>
      <c r="O245" s="70"/>
      <c r="P245" s="71"/>
      <c r="Q245" s="66"/>
      <c r="R245" s="66"/>
    </row>
    <row r="246" spans="1:18" ht="15.75" customHeight="1">
      <c r="A246" s="65"/>
      <c r="B246" s="68"/>
      <c r="C246" s="64"/>
      <c r="D246" s="68"/>
      <c r="E246" s="69"/>
      <c r="F246" s="65"/>
      <c r="G246" s="65"/>
      <c r="H246" s="65"/>
      <c r="I246" s="65"/>
      <c r="J246" s="65"/>
      <c r="K246" s="67"/>
      <c r="L246" s="67"/>
      <c r="M246" s="65"/>
      <c r="N246" s="72"/>
      <c r="O246" s="70"/>
      <c r="P246" s="71"/>
      <c r="Q246" s="66"/>
      <c r="R246" s="66"/>
    </row>
    <row r="247" spans="1:18" ht="15.75" customHeight="1">
      <c r="A247" s="65"/>
      <c r="B247" s="68"/>
      <c r="C247" s="64"/>
      <c r="D247" s="68"/>
      <c r="E247" s="69"/>
      <c r="F247" s="65"/>
      <c r="G247" s="65"/>
      <c r="H247" s="65"/>
      <c r="I247" s="65"/>
      <c r="J247" s="65"/>
      <c r="K247" s="67"/>
      <c r="L247" s="67"/>
      <c r="M247" s="65"/>
      <c r="N247" s="72"/>
      <c r="O247" s="70"/>
      <c r="P247" s="71"/>
      <c r="Q247" s="66"/>
      <c r="R247" s="66"/>
    </row>
    <row r="248" spans="1:18" ht="15.75" customHeight="1">
      <c r="A248" s="65"/>
      <c r="B248" s="68"/>
      <c r="C248" s="64"/>
      <c r="D248" s="68"/>
      <c r="E248" s="69"/>
      <c r="F248" s="65"/>
      <c r="G248" s="65"/>
      <c r="H248" s="65"/>
      <c r="I248" s="65"/>
      <c r="J248" s="65"/>
      <c r="K248" s="67"/>
      <c r="L248" s="67"/>
      <c r="M248" s="65"/>
      <c r="N248" s="72"/>
      <c r="O248" s="70"/>
      <c r="P248" s="71"/>
      <c r="Q248" s="66"/>
      <c r="R248" s="66"/>
    </row>
    <row r="249" spans="1:18" ht="15.75" customHeight="1">
      <c r="A249" s="65"/>
      <c r="B249" s="68"/>
      <c r="C249" s="64"/>
      <c r="D249" s="68"/>
      <c r="E249" s="69"/>
      <c r="F249" s="65"/>
      <c r="G249" s="65"/>
      <c r="H249" s="65"/>
      <c r="I249" s="65"/>
      <c r="J249" s="65"/>
      <c r="K249" s="67"/>
      <c r="L249" s="67"/>
      <c r="M249" s="65"/>
      <c r="N249" s="72"/>
      <c r="O249" s="70"/>
      <c r="P249" s="71"/>
      <c r="Q249" s="66"/>
      <c r="R249" s="66"/>
    </row>
    <row r="250" spans="1:18" ht="15.75" customHeight="1">
      <c r="A250" s="65"/>
      <c r="B250" s="68"/>
      <c r="C250" s="64"/>
      <c r="D250" s="68"/>
      <c r="E250" s="69"/>
      <c r="F250" s="65"/>
      <c r="G250" s="65"/>
      <c r="H250" s="65"/>
      <c r="I250" s="65"/>
      <c r="J250" s="65"/>
      <c r="K250" s="67"/>
      <c r="L250" s="67"/>
      <c r="M250" s="65"/>
      <c r="N250" s="72"/>
      <c r="O250" s="70"/>
      <c r="P250" s="71"/>
      <c r="Q250" s="66"/>
      <c r="R250" s="66"/>
    </row>
    <row r="251" spans="1:18" ht="15.75" customHeight="1">
      <c r="A251" s="65"/>
      <c r="B251" s="68"/>
      <c r="C251" s="64"/>
      <c r="D251" s="68"/>
      <c r="E251" s="69"/>
      <c r="F251" s="65"/>
      <c r="G251" s="65"/>
      <c r="H251" s="65"/>
      <c r="I251" s="65"/>
      <c r="J251" s="65"/>
      <c r="K251" s="67"/>
      <c r="L251" s="67"/>
      <c r="M251" s="65"/>
      <c r="N251" s="72"/>
      <c r="O251" s="70"/>
      <c r="P251" s="71"/>
      <c r="Q251" s="66"/>
      <c r="R251" s="66"/>
    </row>
    <row r="252" spans="1:18" ht="15.75" customHeight="1">
      <c r="A252" s="65"/>
      <c r="B252" s="68"/>
      <c r="C252" s="64"/>
      <c r="D252" s="68"/>
      <c r="E252" s="69"/>
      <c r="F252" s="65"/>
      <c r="G252" s="65"/>
      <c r="H252" s="65"/>
      <c r="I252" s="65"/>
      <c r="J252" s="65"/>
      <c r="K252" s="67"/>
      <c r="L252" s="67"/>
      <c r="M252" s="65"/>
      <c r="N252" s="72"/>
      <c r="O252" s="70"/>
      <c r="P252" s="71"/>
      <c r="Q252" s="66"/>
      <c r="R252" s="66"/>
    </row>
    <row r="253" spans="1:18" ht="15.75" customHeight="1">
      <c r="A253" s="65"/>
      <c r="B253" s="68"/>
      <c r="C253" s="64"/>
      <c r="D253" s="68"/>
      <c r="E253" s="69"/>
      <c r="F253" s="65"/>
      <c r="G253" s="65"/>
      <c r="H253" s="65"/>
      <c r="I253" s="65"/>
      <c r="J253" s="65"/>
      <c r="K253" s="67"/>
      <c r="L253" s="67"/>
      <c r="M253" s="65"/>
      <c r="N253" s="72"/>
      <c r="O253" s="70"/>
      <c r="P253" s="71"/>
      <c r="Q253" s="66"/>
      <c r="R253" s="66"/>
    </row>
    <row r="254" spans="1:18" ht="15.75" customHeight="1">
      <c r="A254" s="65"/>
      <c r="B254" s="68"/>
      <c r="C254" s="64"/>
      <c r="D254" s="68"/>
      <c r="E254" s="69"/>
      <c r="F254" s="65"/>
      <c r="G254" s="65"/>
      <c r="H254" s="65"/>
      <c r="I254" s="65"/>
      <c r="J254" s="65"/>
      <c r="K254" s="67"/>
      <c r="L254" s="67"/>
      <c r="M254" s="65"/>
      <c r="N254" s="72"/>
      <c r="O254" s="70"/>
      <c r="P254" s="71"/>
      <c r="Q254" s="66"/>
      <c r="R254" s="66"/>
    </row>
    <row r="255" spans="1:18" ht="15.75" customHeight="1">
      <c r="A255" s="65"/>
      <c r="B255" s="68"/>
      <c r="C255" s="64"/>
      <c r="D255" s="68"/>
      <c r="E255" s="69"/>
      <c r="F255" s="65"/>
      <c r="G255" s="65"/>
      <c r="H255" s="65"/>
      <c r="I255" s="65"/>
      <c r="J255" s="65"/>
      <c r="K255" s="67"/>
      <c r="L255" s="67"/>
      <c r="M255" s="65"/>
      <c r="N255" s="72"/>
      <c r="O255" s="70"/>
      <c r="P255" s="71"/>
      <c r="Q255" s="66"/>
      <c r="R255" s="66"/>
    </row>
    <row r="256" spans="1:18" ht="15.75" customHeight="1">
      <c r="A256" s="65"/>
      <c r="B256" s="68"/>
      <c r="C256" s="64"/>
      <c r="D256" s="68"/>
      <c r="E256" s="69"/>
      <c r="F256" s="65"/>
      <c r="G256" s="65"/>
      <c r="H256" s="65"/>
      <c r="I256" s="65"/>
      <c r="J256" s="65"/>
      <c r="K256" s="67"/>
      <c r="L256" s="67"/>
      <c r="M256" s="65"/>
      <c r="N256" s="72"/>
      <c r="O256" s="70"/>
      <c r="P256" s="71"/>
      <c r="Q256" s="66"/>
      <c r="R256" s="66"/>
    </row>
    <row r="257" spans="1:18" ht="15.75" customHeight="1">
      <c r="A257" s="65"/>
      <c r="B257" s="68"/>
      <c r="C257" s="64"/>
      <c r="D257" s="68"/>
      <c r="E257" s="69"/>
      <c r="F257" s="65"/>
      <c r="G257" s="65"/>
      <c r="H257" s="65"/>
      <c r="I257" s="65"/>
      <c r="J257" s="65"/>
      <c r="K257" s="67"/>
      <c r="L257" s="67"/>
      <c r="M257" s="65"/>
      <c r="N257" s="72"/>
      <c r="O257" s="70"/>
      <c r="P257" s="71"/>
      <c r="Q257" s="66"/>
      <c r="R257" s="66"/>
    </row>
    <row r="258" spans="1:18" ht="15.75" customHeight="1">
      <c r="A258" s="65"/>
      <c r="B258" s="68"/>
      <c r="C258" s="64"/>
      <c r="D258" s="68"/>
      <c r="E258" s="69"/>
      <c r="F258" s="65"/>
      <c r="G258" s="65"/>
      <c r="H258" s="65"/>
      <c r="I258" s="65"/>
      <c r="J258" s="65"/>
      <c r="K258" s="67"/>
      <c r="L258" s="67"/>
      <c r="M258" s="65"/>
      <c r="N258" s="72"/>
      <c r="O258" s="70"/>
      <c r="P258" s="71"/>
      <c r="Q258" s="66"/>
      <c r="R258" s="66"/>
    </row>
    <row r="259" spans="1:18" ht="15.75" customHeight="1">
      <c r="A259" s="65"/>
      <c r="B259" s="68"/>
      <c r="C259" s="64"/>
      <c r="D259" s="68"/>
      <c r="E259" s="69"/>
      <c r="F259" s="65"/>
      <c r="G259" s="65"/>
      <c r="H259" s="65"/>
      <c r="I259" s="65"/>
      <c r="J259" s="65"/>
      <c r="K259" s="67"/>
      <c r="L259" s="67"/>
      <c r="M259" s="65"/>
      <c r="N259" s="72"/>
      <c r="O259" s="70"/>
      <c r="P259" s="71"/>
      <c r="Q259" s="66"/>
      <c r="R259" s="66"/>
    </row>
    <row r="260" spans="1:18" ht="15.75" customHeight="1">
      <c r="A260" s="65"/>
      <c r="B260" s="68"/>
      <c r="C260" s="64"/>
      <c r="D260" s="68"/>
      <c r="E260" s="69"/>
      <c r="F260" s="65"/>
      <c r="G260" s="65"/>
      <c r="H260" s="65"/>
      <c r="I260" s="65"/>
      <c r="J260" s="65"/>
      <c r="K260" s="67"/>
      <c r="L260" s="67"/>
      <c r="M260" s="65"/>
      <c r="N260" s="72"/>
      <c r="O260" s="70"/>
      <c r="P260" s="71"/>
      <c r="Q260" s="66"/>
      <c r="R260" s="66"/>
    </row>
    <row r="261" spans="1:18" ht="15.75" customHeight="1">
      <c r="A261" s="65"/>
      <c r="B261" s="68"/>
      <c r="C261" s="64"/>
      <c r="D261" s="68"/>
      <c r="E261" s="69"/>
      <c r="F261" s="65"/>
      <c r="G261" s="65"/>
      <c r="H261" s="65"/>
      <c r="I261" s="65"/>
      <c r="J261" s="65"/>
      <c r="K261" s="67"/>
      <c r="L261" s="67"/>
      <c r="M261" s="65"/>
      <c r="N261" s="72"/>
      <c r="O261" s="70"/>
      <c r="P261" s="71"/>
      <c r="Q261" s="66"/>
      <c r="R261" s="66"/>
    </row>
    <row r="262" spans="1:18" ht="15.75" customHeight="1">
      <c r="A262" s="65"/>
      <c r="B262" s="68"/>
      <c r="C262" s="64"/>
      <c r="D262" s="68"/>
      <c r="E262" s="69"/>
      <c r="F262" s="65"/>
      <c r="G262" s="65"/>
      <c r="H262" s="65"/>
      <c r="I262" s="65"/>
      <c r="J262" s="65"/>
      <c r="K262" s="67"/>
      <c r="L262" s="67"/>
      <c r="M262" s="65"/>
      <c r="N262" s="72"/>
      <c r="O262" s="70"/>
      <c r="P262" s="71"/>
      <c r="Q262" s="66"/>
      <c r="R262" s="66"/>
    </row>
    <row r="263" spans="1:18" ht="15.75" customHeight="1">
      <c r="A263" s="65"/>
      <c r="B263" s="68"/>
      <c r="C263" s="64"/>
      <c r="D263" s="68"/>
      <c r="E263" s="69"/>
      <c r="F263" s="65"/>
      <c r="G263" s="65"/>
      <c r="H263" s="65"/>
      <c r="I263" s="65"/>
      <c r="J263" s="65"/>
      <c r="K263" s="67"/>
      <c r="L263" s="67"/>
      <c r="M263" s="65"/>
      <c r="N263" s="72"/>
      <c r="O263" s="70"/>
      <c r="P263" s="71"/>
      <c r="Q263" s="66"/>
      <c r="R263" s="66"/>
    </row>
    <row r="264" spans="1:18" ht="15.75" customHeight="1">
      <c r="A264" s="65"/>
      <c r="B264" s="68"/>
      <c r="C264" s="64"/>
      <c r="D264" s="68"/>
      <c r="E264" s="69"/>
      <c r="F264" s="65"/>
      <c r="G264" s="65"/>
      <c r="H264" s="65"/>
      <c r="I264" s="65"/>
      <c r="J264" s="65"/>
      <c r="K264" s="67"/>
      <c r="L264" s="67"/>
      <c r="M264" s="65"/>
      <c r="N264" s="72"/>
      <c r="O264" s="70"/>
      <c r="P264" s="71"/>
      <c r="Q264" s="66"/>
      <c r="R264" s="66"/>
    </row>
    <row r="265" spans="1:18" ht="15.75" customHeight="1">
      <c r="A265" s="65"/>
      <c r="B265" s="68"/>
      <c r="C265" s="64"/>
      <c r="D265" s="68"/>
      <c r="E265" s="69"/>
      <c r="F265" s="65"/>
      <c r="G265" s="65"/>
      <c r="H265" s="65"/>
      <c r="I265" s="65"/>
      <c r="J265" s="65"/>
      <c r="K265" s="67"/>
      <c r="L265" s="67"/>
      <c r="M265" s="65"/>
      <c r="N265" s="72"/>
      <c r="O265" s="70"/>
      <c r="P265" s="71"/>
      <c r="Q265" s="66"/>
      <c r="R265" s="66"/>
    </row>
    <row r="266" spans="1:18" ht="15.75" customHeight="1">
      <c r="A266" s="65"/>
      <c r="B266" s="68"/>
      <c r="C266" s="64"/>
      <c r="D266" s="68"/>
      <c r="E266" s="69"/>
      <c r="F266" s="65"/>
      <c r="G266" s="65"/>
      <c r="H266" s="65"/>
      <c r="I266" s="65"/>
      <c r="J266" s="65"/>
      <c r="K266" s="67"/>
      <c r="L266" s="67"/>
      <c r="M266" s="65"/>
      <c r="N266" s="72"/>
      <c r="O266" s="70"/>
      <c r="P266" s="71"/>
      <c r="Q266" s="66"/>
      <c r="R266" s="66"/>
    </row>
    <row r="267" spans="1:18" ht="15.75" customHeight="1">
      <c r="A267" s="65"/>
      <c r="B267" s="68"/>
      <c r="C267" s="64"/>
      <c r="D267" s="68"/>
      <c r="E267" s="69"/>
      <c r="F267" s="65"/>
      <c r="G267" s="65"/>
      <c r="H267" s="65"/>
      <c r="I267" s="65"/>
      <c r="J267" s="65"/>
      <c r="K267" s="67"/>
      <c r="L267" s="67"/>
      <c r="M267" s="65"/>
      <c r="N267" s="72"/>
      <c r="O267" s="70"/>
      <c r="P267" s="71"/>
      <c r="Q267" s="66"/>
      <c r="R267" s="66"/>
    </row>
    <row r="268" spans="1:18" ht="15.75" customHeight="1">
      <c r="A268" s="65"/>
      <c r="B268" s="68"/>
      <c r="C268" s="64"/>
      <c r="D268" s="68"/>
      <c r="E268" s="69"/>
      <c r="F268" s="65"/>
      <c r="G268" s="65"/>
      <c r="H268" s="65"/>
      <c r="I268" s="65"/>
      <c r="J268" s="65"/>
      <c r="K268" s="67"/>
      <c r="L268" s="67"/>
      <c r="M268" s="65"/>
      <c r="N268" s="72"/>
      <c r="O268" s="70"/>
      <c r="P268" s="71"/>
      <c r="Q268" s="66"/>
      <c r="R268" s="66"/>
    </row>
    <row r="269" spans="1:18" ht="15.75" customHeight="1">
      <c r="A269" s="65"/>
      <c r="B269" s="68"/>
      <c r="C269" s="64"/>
      <c r="D269" s="68"/>
      <c r="E269" s="69"/>
      <c r="F269" s="65"/>
      <c r="G269" s="65"/>
      <c r="H269" s="65"/>
      <c r="I269" s="65"/>
      <c r="J269" s="65"/>
      <c r="K269" s="67"/>
      <c r="L269" s="67"/>
      <c r="M269" s="65"/>
      <c r="N269" s="72"/>
      <c r="O269" s="70"/>
      <c r="P269" s="71"/>
      <c r="Q269" s="66"/>
      <c r="R269" s="66"/>
    </row>
    <row r="270" spans="1:18" ht="15.75" customHeight="1">
      <c r="A270" s="65"/>
      <c r="B270" s="68"/>
      <c r="C270" s="64"/>
      <c r="D270" s="68"/>
      <c r="E270" s="69"/>
      <c r="F270" s="65"/>
      <c r="G270" s="65"/>
      <c r="H270" s="65"/>
      <c r="I270" s="65"/>
      <c r="J270" s="65"/>
      <c r="K270" s="67"/>
      <c r="L270" s="67"/>
      <c r="M270" s="65"/>
      <c r="N270" s="72"/>
      <c r="O270" s="70"/>
      <c r="P270" s="71"/>
      <c r="Q270" s="66"/>
      <c r="R270" s="66"/>
    </row>
    <row r="271" spans="1:18" ht="15.75" customHeight="1">
      <c r="A271" s="65"/>
      <c r="B271" s="68"/>
      <c r="C271" s="64"/>
      <c r="D271" s="68"/>
      <c r="E271" s="69"/>
      <c r="F271" s="65"/>
      <c r="G271" s="65"/>
      <c r="H271" s="65"/>
      <c r="I271" s="65"/>
      <c r="J271" s="65"/>
      <c r="K271" s="67"/>
      <c r="L271" s="67"/>
      <c r="M271" s="65"/>
      <c r="N271" s="72"/>
      <c r="O271" s="70"/>
      <c r="P271" s="71"/>
      <c r="Q271" s="66"/>
      <c r="R271" s="66"/>
    </row>
    <row r="272" spans="1:18" ht="15.75" customHeight="1">
      <c r="A272" s="65"/>
      <c r="B272" s="68"/>
      <c r="C272" s="64"/>
      <c r="D272" s="68"/>
      <c r="E272" s="69"/>
      <c r="F272" s="65"/>
      <c r="G272" s="65"/>
      <c r="H272" s="65"/>
      <c r="I272" s="65"/>
      <c r="J272" s="65"/>
      <c r="K272" s="67"/>
      <c r="L272" s="67"/>
      <c r="M272" s="65"/>
      <c r="N272" s="72"/>
      <c r="O272" s="70"/>
      <c r="P272" s="71"/>
      <c r="Q272" s="66"/>
      <c r="R272" s="66"/>
    </row>
    <row r="273" spans="1:18" ht="15.75" customHeight="1">
      <c r="A273" s="65"/>
      <c r="B273" s="68"/>
      <c r="C273" s="64"/>
      <c r="D273" s="68"/>
      <c r="E273" s="69"/>
      <c r="F273" s="65"/>
      <c r="G273" s="65"/>
      <c r="H273" s="65"/>
      <c r="I273" s="65"/>
      <c r="J273" s="65"/>
      <c r="K273" s="67"/>
      <c r="L273" s="67"/>
      <c r="M273" s="65"/>
      <c r="N273" s="72"/>
      <c r="O273" s="70"/>
      <c r="P273" s="71"/>
      <c r="Q273" s="66"/>
      <c r="R273" s="66"/>
    </row>
    <row r="274" spans="1:18" ht="15.75" customHeight="1">
      <c r="A274" s="65"/>
      <c r="B274" s="68"/>
      <c r="C274" s="64"/>
      <c r="D274" s="68"/>
      <c r="E274" s="69"/>
      <c r="F274" s="65"/>
      <c r="G274" s="65"/>
      <c r="H274" s="65"/>
      <c r="I274" s="65"/>
      <c r="J274" s="65"/>
      <c r="K274" s="67"/>
      <c r="L274" s="67"/>
      <c r="M274" s="65"/>
      <c r="N274" s="72"/>
      <c r="O274" s="70"/>
      <c r="P274" s="71"/>
      <c r="Q274" s="66"/>
      <c r="R274" s="66"/>
    </row>
    <row r="275" spans="1:18" ht="15.75" customHeight="1">
      <c r="A275" s="65"/>
      <c r="B275" s="68"/>
      <c r="C275" s="64"/>
      <c r="D275" s="68"/>
      <c r="E275" s="69"/>
      <c r="F275" s="65"/>
      <c r="G275" s="65"/>
      <c r="H275" s="65"/>
      <c r="I275" s="65"/>
      <c r="J275" s="65"/>
      <c r="K275" s="67"/>
      <c r="L275" s="67"/>
      <c r="M275" s="65"/>
      <c r="N275" s="72"/>
      <c r="O275" s="70"/>
      <c r="P275" s="71"/>
      <c r="Q275" s="66"/>
      <c r="R275" s="66"/>
    </row>
    <row r="276" spans="1:18" ht="15.75" customHeight="1">
      <c r="A276" s="65"/>
      <c r="B276" s="68"/>
      <c r="C276" s="64"/>
      <c r="D276" s="68"/>
      <c r="E276" s="69"/>
      <c r="F276" s="65"/>
      <c r="G276" s="65"/>
      <c r="H276" s="65"/>
      <c r="I276" s="65"/>
      <c r="J276" s="65"/>
      <c r="K276" s="67"/>
      <c r="L276" s="67"/>
      <c r="M276" s="65"/>
      <c r="N276" s="72"/>
      <c r="O276" s="70"/>
      <c r="P276" s="71"/>
      <c r="Q276" s="66"/>
      <c r="R276" s="66"/>
    </row>
    <row r="277" spans="1:18" ht="15.75" customHeight="1">
      <c r="A277" s="65"/>
      <c r="B277" s="68"/>
      <c r="C277" s="64"/>
      <c r="D277" s="68"/>
      <c r="E277" s="69"/>
      <c r="F277" s="65"/>
      <c r="G277" s="65"/>
      <c r="H277" s="65"/>
      <c r="I277" s="65"/>
      <c r="J277" s="65"/>
      <c r="K277" s="67"/>
      <c r="L277" s="67"/>
      <c r="M277" s="65"/>
      <c r="N277" s="72"/>
      <c r="O277" s="70"/>
      <c r="P277" s="71"/>
      <c r="Q277" s="66"/>
      <c r="R277" s="66"/>
    </row>
    <row r="278" spans="1:18" ht="15.75" customHeight="1">
      <c r="A278" s="65"/>
      <c r="B278" s="68"/>
      <c r="C278" s="64"/>
      <c r="D278" s="68"/>
      <c r="E278" s="69"/>
      <c r="F278" s="65"/>
      <c r="G278" s="65"/>
      <c r="H278" s="65"/>
      <c r="I278" s="65"/>
      <c r="J278" s="65"/>
      <c r="K278" s="67"/>
      <c r="L278" s="67"/>
      <c r="M278" s="65"/>
      <c r="N278" s="72"/>
      <c r="O278" s="70"/>
      <c r="P278" s="71"/>
      <c r="Q278" s="66"/>
      <c r="R278" s="66"/>
    </row>
    <row r="279" spans="1:18" ht="15.75" customHeight="1">
      <c r="A279" s="65"/>
      <c r="B279" s="68"/>
      <c r="C279" s="64"/>
      <c r="D279" s="68"/>
      <c r="E279" s="69"/>
      <c r="F279" s="65"/>
      <c r="G279" s="65"/>
      <c r="H279" s="65"/>
      <c r="I279" s="65"/>
      <c r="J279" s="65"/>
      <c r="K279" s="67"/>
      <c r="L279" s="67"/>
      <c r="M279" s="65"/>
      <c r="N279" s="72"/>
      <c r="O279" s="70"/>
      <c r="P279" s="71"/>
      <c r="Q279" s="66"/>
      <c r="R279" s="66"/>
    </row>
    <row r="280" spans="1:18" ht="15.75" customHeight="1">
      <c r="A280" s="65"/>
      <c r="B280" s="68"/>
      <c r="C280" s="64"/>
      <c r="D280" s="68"/>
      <c r="E280" s="69"/>
      <c r="F280" s="65"/>
      <c r="G280" s="65"/>
      <c r="H280" s="65"/>
      <c r="I280" s="65"/>
      <c r="J280" s="65"/>
      <c r="K280" s="67"/>
      <c r="L280" s="67"/>
      <c r="M280" s="65"/>
      <c r="N280" s="72"/>
      <c r="O280" s="70"/>
      <c r="P280" s="71"/>
      <c r="Q280" s="66"/>
      <c r="R280" s="66"/>
    </row>
    <row r="281" spans="1:18" ht="15.75" customHeight="1">
      <c r="A281" s="65"/>
      <c r="B281" s="68"/>
      <c r="C281" s="64"/>
      <c r="D281" s="68"/>
      <c r="E281" s="69"/>
      <c r="F281" s="65"/>
      <c r="G281" s="65"/>
      <c r="H281" s="65"/>
      <c r="I281" s="65"/>
      <c r="J281" s="65"/>
      <c r="K281" s="67"/>
      <c r="L281" s="67"/>
      <c r="M281" s="65"/>
      <c r="N281" s="72"/>
      <c r="O281" s="70"/>
      <c r="P281" s="71"/>
      <c r="Q281" s="66"/>
      <c r="R281" s="66"/>
    </row>
    <row r="282" spans="1:18" ht="15.75" customHeight="1">
      <c r="A282" s="65"/>
      <c r="B282" s="68"/>
      <c r="C282" s="64"/>
      <c r="D282" s="68"/>
      <c r="E282" s="69"/>
      <c r="F282" s="65"/>
      <c r="G282" s="65"/>
      <c r="H282" s="65"/>
      <c r="I282" s="65"/>
      <c r="J282" s="65"/>
      <c r="K282" s="67"/>
      <c r="L282" s="67"/>
      <c r="M282" s="65"/>
      <c r="N282" s="72"/>
      <c r="O282" s="70"/>
      <c r="P282" s="71"/>
      <c r="Q282" s="66"/>
      <c r="R282" s="66"/>
    </row>
    <row r="283" spans="1:18" ht="15.75" customHeight="1">
      <c r="A283" s="65"/>
      <c r="B283" s="68"/>
      <c r="C283" s="64"/>
      <c r="D283" s="68"/>
      <c r="E283" s="69"/>
      <c r="F283" s="65"/>
      <c r="G283" s="65"/>
      <c r="H283" s="65"/>
      <c r="I283" s="65"/>
      <c r="J283" s="65"/>
      <c r="K283" s="67"/>
      <c r="L283" s="67"/>
      <c r="M283" s="65"/>
      <c r="N283" s="72"/>
      <c r="O283" s="70"/>
      <c r="P283" s="71"/>
      <c r="Q283" s="66"/>
      <c r="R283" s="66"/>
    </row>
    <row r="284" spans="1:18" ht="15.75" customHeight="1">
      <c r="A284" s="65"/>
      <c r="B284" s="68"/>
      <c r="C284" s="64"/>
      <c r="D284" s="68"/>
      <c r="E284" s="69"/>
      <c r="F284" s="65"/>
      <c r="G284" s="65"/>
      <c r="H284" s="65"/>
      <c r="I284" s="65"/>
      <c r="J284" s="65"/>
      <c r="K284" s="67"/>
      <c r="L284" s="67"/>
      <c r="M284" s="65"/>
      <c r="N284" s="72"/>
      <c r="O284" s="70"/>
      <c r="P284" s="71"/>
      <c r="Q284" s="66"/>
      <c r="R284" s="66"/>
    </row>
    <row r="285" spans="1:18" ht="15.75" customHeight="1">
      <c r="A285" s="65"/>
      <c r="B285" s="68"/>
      <c r="C285" s="64"/>
      <c r="D285" s="68"/>
      <c r="E285" s="69"/>
      <c r="F285" s="65"/>
      <c r="G285" s="65"/>
      <c r="H285" s="65"/>
      <c r="I285" s="65"/>
      <c r="J285" s="65"/>
      <c r="K285" s="67"/>
      <c r="L285" s="67"/>
      <c r="M285" s="65"/>
      <c r="N285" s="72"/>
      <c r="O285" s="70"/>
      <c r="P285" s="71"/>
      <c r="Q285" s="66"/>
      <c r="R285" s="66"/>
    </row>
    <row r="286" spans="1:18" ht="15.75" customHeight="1">
      <c r="A286" s="65"/>
      <c r="B286" s="68"/>
      <c r="C286" s="64"/>
      <c r="D286" s="68"/>
      <c r="E286" s="69"/>
      <c r="F286" s="65"/>
      <c r="G286" s="65"/>
      <c r="H286" s="65"/>
      <c r="I286" s="65"/>
      <c r="J286" s="65"/>
      <c r="K286" s="67"/>
      <c r="L286" s="67"/>
      <c r="M286" s="65"/>
      <c r="N286" s="72"/>
      <c r="O286" s="70"/>
      <c r="P286" s="71"/>
      <c r="Q286" s="66"/>
      <c r="R286" s="66"/>
    </row>
    <row r="287" spans="1:18" ht="15.75" customHeight="1">
      <c r="A287" s="65"/>
      <c r="B287" s="68"/>
      <c r="C287" s="64"/>
      <c r="D287" s="68"/>
      <c r="E287" s="69"/>
      <c r="F287" s="65"/>
      <c r="G287" s="65"/>
      <c r="H287" s="65"/>
      <c r="I287" s="65"/>
      <c r="J287" s="65"/>
      <c r="K287" s="67"/>
      <c r="L287" s="67"/>
      <c r="M287" s="65"/>
      <c r="N287" s="72"/>
      <c r="O287" s="70"/>
      <c r="P287" s="71"/>
      <c r="Q287" s="66"/>
      <c r="R287" s="66"/>
    </row>
    <row r="288" spans="1:18" ht="15.75" customHeight="1">
      <c r="A288" s="65"/>
      <c r="B288" s="68"/>
      <c r="C288" s="64"/>
      <c r="D288" s="68"/>
      <c r="E288" s="69"/>
      <c r="F288" s="65"/>
      <c r="G288" s="65"/>
      <c r="H288" s="65"/>
      <c r="I288" s="65"/>
      <c r="J288" s="65"/>
      <c r="K288" s="67"/>
      <c r="L288" s="67"/>
      <c r="M288" s="65"/>
      <c r="N288" s="72"/>
      <c r="O288" s="70"/>
      <c r="P288" s="71"/>
      <c r="Q288" s="66"/>
      <c r="R288" s="66"/>
    </row>
    <row r="289" spans="1:18" ht="15.75" customHeight="1">
      <c r="A289" s="65"/>
      <c r="B289" s="68"/>
      <c r="C289" s="64"/>
      <c r="D289" s="68"/>
      <c r="E289" s="69"/>
      <c r="F289" s="65"/>
      <c r="G289" s="65"/>
      <c r="H289" s="65"/>
      <c r="I289" s="65"/>
      <c r="J289" s="65"/>
      <c r="K289" s="67"/>
      <c r="L289" s="67"/>
      <c r="M289" s="65"/>
      <c r="N289" s="72"/>
      <c r="O289" s="70"/>
      <c r="P289" s="71"/>
      <c r="Q289" s="66"/>
      <c r="R289" s="66"/>
    </row>
    <row r="290" spans="1:18" ht="15.75" customHeight="1">
      <c r="A290" s="65"/>
      <c r="B290" s="68"/>
      <c r="C290" s="64"/>
      <c r="D290" s="68"/>
      <c r="E290" s="69"/>
      <c r="F290" s="65"/>
      <c r="G290" s="65"/>
      <c r="H290" s="65"/>
      <c r="I290" s="65"/>
      <c r="J290" s="65"/>
      <c r="K290" s="67"/>
      <c r="L290" s="67"/>
      <c r="M290" s="65"/>
      <c r="N290" s="72"/>
      <c r="O290" s="70"/>
      <c r="P290" s="71"/>
      <c r="Q290" s="66"/>
      <c r="R290" s="66"/>
    </row>
    <row r="291" spans="1:18" ht="15.75" customHeight="1">
      <c r="A291" s="65"/>
      <c r="B291" s="68"/>
      <c r="C291" s="64"/>
      <c r="D291" s="68"/>
      <c r="E291" s="69"/>
      <c r="F291" s="65"/>
      <c r="G291" s="65"/>
      <c r="H291" s="65"/>
      <c r="I291" s="65"/>
      <c r="J291" s="65"/>
      <c r="K291" s="67"/>
      <c r="L291" s="67"/>
      <c r="M291" s="65"/>
      <c r="N291" s="72"/>
      <c r="O291" s="70"/>
      <c r="P291" s="71"/>
      <c r="Q291" s="66"/>
      <c r="R291" s="66"/>
    </row>
    <row r="292" spans="1:18" ht="15.75" customHeight="1">
      <c r="A292" s="65"/>
      <c r="B292" s="68"/>
      <c r="C292" s="64"/>
      <c r="D292" s="68"/>
      <c r="E292" s="69"/>
      <c r="F292" s="65"/>
      <c r="G292" s="65"/>
      <c r="H292" s="65"/>
      <c r="I292" s="65"/>
      <c r="J292" s="65"/>
      <c r="K292" s="67"/>
      <c r="L292" s="67"/>
      <c r="M292" s="65"/>
      <c r="N292" s="72"/>
      <c r="O292" s="70"/>
      <c r="P292" s="71"/>
      <c r="Q292" s="66"/>
      <c r="R292" s="66"/>
    </row>
    <row r="293" spans="1:18" ht="15.75" customHeight="1">
      <c r="A293" s="65"/>
      <c r="B293" s="68"/>
      <c r="C293" s="64"/>
      <c r="D293" s="68"/>
      <c r="E293" s="69"/>
      <c r="F293" s="65"/>
      <c r="G293" s="65"/>
      <c r="H293" s="65"/>
      <c r="I293" s="65"/>
      <c r="J293" s="65"/>
      <c r="K293" s="67"/>
      <c r="L293" s="67"/>
      <c r="M293" s="65"/>
      <c r="N293" s="72"/>
      <c r="O293" s="70"/>
      <c r="P293" s="71"/>
      <c r="Q293" s="66"/>
      <c r="R293" s="66"/>
    </row>
    <row r="294" spans="1:18" ht="15.75" customHeight="1">
      <c r="A294" s="65"/>
      <c r="B294" s="68"/>
      <c r="C294" s="64"/>
      <c r="D294" s="68"/>
      <c r="E294" s="69"/>
      <c r="F294" s="65"/>
      <c r="G294" s="65"/>
      <c r="H294" s="65"/>
      <c r="I294" s="65"/>
      <c r="J294" s="65"/>
      <c r="K294" s="67"/>
      <c r="L294" s="67"/>
      <c r="M294" s="65"/>
      <c r="N294" s="72"/>
      <c r="O294" s="70"/>
      <c r="P294" s="71"/>
      <c r="Q294" s="66"/>
      <c r="R294" s="66"/>
    </row>
    <row r="295" spans="1:18" ht="15.75" customHeight="1">
      <c r="A295" s="65"/>
      <c r="B295" s="68"/>
      <c r="C295" s="64"/>
      <c r="D295" s="68"/>
      <c r="E295" s="69"/>
      <c r="F295" s="65"/>
      <c r="G295" s="65"/>
      <c r="H295" s="65"/>
      <c r="I295" s="65"/>
      <c r="J295" s="65"/>
      <c r="K295" s="67"/>
      <c r="L295" s="67"/>
      <c r="M295" s="65"/>
      <c r="N295" s="72"/>
      <c r="O295" s="70"/>
      <c r="P295" s="71"/>
      <c r="Q295" s="66"/>
      <c r="R295" s="66"/>
    </row>
    <row r="296" spans="1:18" ht="15.75" customHeight="1">
      <c r="A296" s="65"/>
      <c r="B296" s="68"/>
      <c r="C296" s="64"/>
      <c r="D296" s="68"/>
      <c r="E296" s="69"/>
      <c r="F296" s="65"/>
      <c r="G296" s="65"/>
      <c r="H296" s="65"/>
      <c r="I296" s="65"/>
      <c r="J296" s="65"/>
      <c r="K296" s="67"/>
      <c r="L296" s="67"/>
      <c r="M296" s="65"/>
      <c r="N296" s="72"/>
      <c r="O296" s="70"/>
      <c r="P296" s="71"/>
      <c r="Q296" s="66"/>
      <c r="R296" s="66"/>
    </row>
    <row r="297" spans="1:18" ht="15.75" customHeight="1">
      <c r="A297" s="65"/>
      <c r="B297" s="68"/>
      <c r="C297" s="64"/>
      <c r="D297" s="68"/>
      <c r="E297" s="69"/>
      <c r="F297" s="65"/>
      <c r="G297" s="65"/>
      <c r="H297" s="65"/>
      <c r="I297" s="65"/>
      <c r="J297" s="65"/>
      <c r="K297" s="67"/>
      <c r="L297" s="67"/>
      <c r="M297" s="65"/>
      <c r="N297" s="72"/>
      <c r="O297" s="70"/>
      <c r="P297" s="71"/>
      <c r="Q297" s="66"/>
      <c r="R297" s="66"/>
    </row>
    <row r="298" spans="1:18" ht="15.75" customHeight="1">
      <c r="A298" s="65"/>
      <c r="B298" s="68"/>
      <c r="C298" s="64"/>
      <c r="D298" s="68"/>
      <c r="E298" s="69"/>
      <c r="F298" s="65"/>
      <c r="G298" s="65"/>
      <c r="H298" s="65"/>
      <c r="I298" s="65"/>
      <c r="J298" s="65"/>
      <c r="K298" s="67"/>
      <c r="L298" s="67"/>
      <c r="M298" s="65"/>
      <c r="N298" s="72"/>
      <c r="O298" s="70"/>
      <c r="P298" s="71"/>
      <c r="Q298" s="66"/>
      <c r="R298" s="66"/>
    </row>
    <row r="299" spans="1:18" ht="15.75" customHeight="1">
      <c r="A299" s="65"/>
      <c r="B299" s="68"/>
      <c r="C299" s="64"/>
      <c r="D299" s="68"/>
      <c r="E299" s="69"/>
      <c r="F299" s="65"/>
      <c r="G299" s="65"/>
      <c r="H299" s="65"/>
      <c r="I299" s="65"/>
      <c r="J299" s="65"/>
      <c r="K299" s="67"/>
      <c r="L299" s="67"/>
      <c r="M299" s="65"/>
      <c r="N299" s="72"/>
      <c r="O299" s="70"/>
      <c r="P299" s="71"/>
      <c r="Q299" s="66"/>
      <c r="R299" s="66"/>
    </row>
    <row r="300" spans="1:18" ht="15.75" customHeight="1">
      <c r="A300" s="65"/>
      <c r="B300" s="68"/>
      <c r="C300" s="64"/>
      <c r="D300" s="68"/>
      <c r="E300" s="69"/>
      <c r="F300" s="65"/>
      <c r="G300" s="65"/>
      <c r="H300" s="65"/>
      <c r="I300" s="65"/>
      <c r="J300" s="65"/>
      <c r="K300" s="67"/>
      <c r="L300" s="67"/>
      <c r="M300" s="65"/>
      <c r="N300" s="72"/>
      <c r="O300" s="70"/>
      <c r="P300" s="71"/>
      <c r="Q300" s="66"/>
      <c r="R300" s="66"/>
    </row>
    <row r="301" spans="1:18" ht="15.75" customHeight="1">
      <c r="A301" s="65"/>
      <c r="B301" s="68"/>
      <c r="C301" s="64"/>
      <c r="D301" s="68"/>
      <c r="E301" s="69"/>
      <c r="F301" s="65"/>
      <c r="G301" s="65"/>
      <c r="H301" s="65"/>
      <c r="I301" s="65"/>
      <c r="J301" s="65"/>
      <c r="K301" s="67"/>
      <c r="L301" s="67"/>
      <c r="M301" s="65"/>
      <c r="N301" s="72"/>
      <c r="O301" s="70"/>
      <c r="P301" s="71"/>
      <c r="Q301" s="66"/>
      <c r="R301" s="66"/>
    </row>
    <row r="302" spans="1:18" ht="15.75" customHeight="1">
      <c r="A302" s="65"/>
      <c r="B302" s="68"/>
      <c r="C302" s="64"/>
      <c r="D302" s="68"/>
      <c r="E302" s="69"/>
      <c r="F302" s="65"/>
      <c r="G302" s="65"/>
      <c r="H302" s="65"/>
      <c r="I302" s="65"/>
      <c r="J302" s="65"/>
      <c r="K302" s="67"/>
      <c r="L302" s="67"/>
      <c r="M302" s="65"/>
      <c r="N302" s="72"/>
      <c r="O302" s="70"/>
      <c r="P302" s="71"/>
      <c r="Q302" s="66"/>
      <c r="R302" s="66"/>
    </row>
    <row r="303" spans="1:18" ht="15.75" customHeight="1">
      <c r="A303" s="65"/>
      <c r="B303" s="68"/>
      <c r="C303" s="64"/>
      <c r="D303" s="68"/>
      <c r="E303" s="69"/>
      <c r="F303" s="65"/>
      <c r="G303" s="65"/>
      <c r="H303" s="65"/>
      <c r="I303" s="65"/>
      <c r="J303" s="65"/>
      <c r="K303" s="67"/>
      <c r="L303" s="67"/>
      <c r="M303" s="65"/>
      <c r="N303" s="72"/>
      <c r="O303" s="70"/>
      <c r="P303" s="71"/>
      <c r="Q303" s="66"/>
      <c r="R303" s="66"/>
    </row>
    <row r="304" spans="1:18" ht="15.75" customHeight="1">
      <c r="A304" s="65"/>
      <c r="B304" s="68"/>
      <c r="C304" s="64"/>
      <c r="D304" s="68"/>
      <c r="E304" s="69"/>
      <c r="F304" s="65"/>
      <c r="G304" s="65"/>
      <c r="H304" s="65"/>
      <c r="I304" s="65"/>
      <c r="J304" s="65"/>
      <c r="K304" s="67"/>
      <c r="L304" s="67"/>
      <c r="M304" s="65"/>
      <c r="N304" s="72"/>
      <c r="O304" s="70"/>
      <c r="P304" s="71"/>
      <c r="Q304" s="66"/>
      <c r="R304" s="66"/>
    </row>
    <row r="305" spans="1:18" ht="15.75" customHeight="1">
      <c r="A305" s="65"/>
      <c r="B305" s="68"/>
      <c r="C305" s="64"/>
      <c r="D305" s="68"/>
      <c r="E305" s="69"/>
      <c r="F305" s="65"/>
      <c r="G305" s="65"/>
      <c r="H305" s="65"/>
      <c r="I305" s="65"/>
      <c r="J305" s="65"/>
      <c r="K305" s="67"/>
      <c r="L305" s="67"/>
      <c r="M305" s="65"/>
      <c r="N305" s="72"/>
      <c r="O305" s="70"/>
      <c r="P305" s="71"/>
      <c r="Q305" s="66"/>
      <c r="R305" s="66"/>
    </row>
    <row r="306" spans="1:18" ht="15.75" customHeight="1">
      <c r="A306" s="65"/>
      <c r="B306" s="68"/>
      <c r="C306" s="64"/>
      <c r="D306" s="68"/>
      <c r="E306" s="69"/>
      <c r="F306" s="65"/>
      <c r="G306" s="65"/>
      <c r="H306" s="65"/>
      <c r="I306" s="65"/>
      <c r="J306" s="65"/>
      <c r="K306" s="67"/>
      <c r="L306" s="67"/>
      <c r="M306" s="65"/>
      <c r="N306" s="72"/>
      <c r="O306" s="70"/>
      <c r="P306" s="71"/>
      <c r="Q306" s="66"/>
      <c r="R306" s="66"/>
    </row>
    <row r="307" spans="1:18" ht="15.75" customHeight="1">
      <c r="A307" s="65"/>
      <c r="B307" s="68"/>
      <c r="C307" s="64"/>
      <c r="D307" s="68"/>
      <c r="E307" s="69"/>
      <c r="F307" s="65"/>
      <c r="G307" s="65"/>
      <c r="H307" s="65"/>
      <c r="I307" s="65"/>
      <c r="J307" s="65"/>
      <c r="K307" s="67"/>
      <c r="L307" s="67"/>
      <c r="M307" s="65"/>
      <c r="N307" s="72"/>
      <c r="O307" s="70"/>
      <c r="P307" s="71"/>
      <c r="Q307" s="66"/>
      <c r="R307" s="66"/>
    </row>
    <row r="308" spans="1:18" ht="15.75" customHeight="1">
      <c r="A308" s="65"/>
      <c r="B308" s="68"/>
      <c r="C308" s="64"/>
      <c r="D308" s="68"/>
      <c r="E308" s="69"/>
      <c r="F308" s="65"/>
      <c r="G308" s="65"/>
      <c r="H308" s="65"/>
      <c r="I308" s="65"/>
      <c r="J308" s="65"/>
      <c r="K308" s="67"/>
      <c r="L308" s="67"/>
      <c r="M308" s="65"/>
      <c r="N308" s="72"/>
      <c r="O308" s="70"/>
      <c r="P308" s="71"/>
      <c r="Q308" s="66"/>
      <c r="R308" s="66"/>
    </row>
    <row r="309" spans="1:18" ht="15.75" customHeight="1">
      <c r="A309" s="65"/>
      <c r="B309" s="68"/>
      <c r="C309" s="64"/>
      <c r="D309" s="68"/>
      <c r="E309" s="69"/>
      <c r="F309" s="65"/>
      <c r="G309" s="65"/>
      <c r="H309" s="65"/>
      <c r="I309" s="65"/>
      <c r="J309" s="65"/>
      <c r="K309" s="67"/>
      <c r="L309" s="67"/>
      <c r="M309" s="65"/>
      <c r="N309" s="72"/>
      <c r="O309" s="70"/>
      <c r="P309" s="71"/>
      <c r="Q309" s="66"/>
      <c r="R309" s="66"/>
    </row>
    <row r="310" spans="1:18" ht="15.75" customHeight="1">
      <c r="A310" s="65"/>
      <c r="B310" s="68"/>
      <c r="C310" s="64"/>
      <c r="D310" s="68"/>
      <c r="E310" s="69"/>
      <c r="F310" s="65"/>
      <c r="G310" s="65"/>
      <c r="H310" s="65"/>
      <c r="I310" s="65"/>
      <c r="J310" s="65"/>
      <c r="K310" s="67"/>
      <c r="L310" s="67"/>
      <c r="M310" s="65"/>
      <c r="N310" s="72"/>
      <c r="O310" s="70"/>
      <c r="P310" s="71"/>
      <c r="Q310" s="66"/>
      <c r="R310" s="66"/>
    </row>
    <row r="311" spans="1:18" ht="15.75" customHeight="1">
      <c r="A311" s="65"/>
      <c r="B311" s="68"/>
      <c r="C311" s="64"/>
      <c r="D311" s="68"/>
      <c r="E311" s="69"/>
      <c r="F311" s="65"/>
      <c r="G311" s="65"/>
      <c r="H311" s="65"/>
      <c r="I311" s="65"/>
      <c r="J311" s="65"/>
      <c r="K311" s="67"/>
      <c r="L311" s="67"/>
      <c r="M311" s="65"/>
      <c r="N311" s="72"/>
      <c r="O311" s="70"/>
      <c r="P311" s="71"/>
      <c r="Q311" s="66"/>
      <c r="R311" s="66"/>
    </row>
    <row r="312" spans="1:18" ht="15.75" customHeight="1">
      <c r="A312" s="65"/>
      <c r="B312" s="68"/>
      <c r="C312" s="64"/>
      <c r="D312" s="68"/>
      <c r="E312" s="69"/>
      <c r="F312" s="65"/>
      <c r="G312" s="65"/>
      <c r="H312" s="65"/>
      <c r="I312" s="65"/>
      <c r="J312" s="65"/>
      <c r="K312" s="67"/>
      <c r="L312" s="67"/>
      <c r="M312" s="65"/>
      <c r="N312" s="72"/>
      <c r="O312" s="70"/>
      <c r="P312" s="71"/>
      <c r="Q312" s="66"/>
      <c r="R312" s="66"/>
    </row>
    <row r="313" spans="1:18" ht="15.75" customHeight="1">
      <c r="A313" s="65"/>
      <c r="B313" s="68"/>
      <c r="C313" s="64"/>
      <c r="D313" s="68"/>
      <c r="E313" s="69"/>
      <c r="F313" s="65"/>
      <c r="G313" s="65"/>
      <c r="H313" s="65"/>
      <c r="I313" s="65"/>
      <c r="J313" s="65"/>
      <c r="K313" s="67"/>
      <c r="L313" s="67"/>
      <c r="M313" s="65"/>
      <c r="N313" s="72"/>
      <c r="O313" s="70"/>
      <c r="P313" s="71"/>
      <c r="Q313" s="66"/>
      <c r="R313" s="66"/>
    </row>
    <row r="314" spans="1:18" ht="15.75" customHeight="1">
      <c r="A314" s="65"/>
      <c r="B314" s="68"/>
      <c r="C314" s="64"/>
      <c r="D314" s="68"/>
      <c r="E314" s="69"/>
      <c r="F314" s="65"/>
      <c r="G314" s="65"/>
      <c r="H314" s="65"/>
      <c r="I314" s="65"/>
      <c r="J314" s="65"/>
      <c r="K314" s="67"/>
      <c r="L314" s="67"/>
      <c r="M314" s="65"/>
      <c r="N314" s="72"/>
      <c r="O314" s="70"/>
      <c r="P314" s="71"/>
      <c r="Q314" s="66"/>
      <c r="R314" s="66"/>
    </row>
    <row r="315" spans="1:18" ht="15.75" customHeight="1">
      <c r="A315" s="65"/>
      <c r="B315" s="68"/>
      <c r="C315" s="64"/>
      <c r="D315" s="68"/>
      <c r="E315" s="69"/>
      <c r="F315" s="65"/>
      <c r="G315" s="65"/>
      <c r="H315" s="65"/>
      <c r="I315" s="65"/>
      <c r="J315" s="65"/>
      <c r="K315" s="67"/>
      <c r="L315" s="67"/>
      <c r="M315" s="65"/>
      <c r="N315" s="72"/>
      <c r="O315" s="70"/>
      <c r="P315" s="71"/>
      <c r="Q315" s="66"/>
      <c r="R315" s="66"/>
    </row>
    <row r="316" spans="1:18" ht="15.75" customHeight="1">
      <c r="A316" s="65"/>
      <c r="B316" s="68"/>
      <c r="C316" s="64"/>
      <c r="D316" s="68"/>
      <c r="E316" s="69"/>
      <c r="F316" s="65"/>
      <c r="G316" s="65"/>
      <c r="H316" s="65"/>
      <c r="I316" s="65"/>
      <c r="J316" s="65"/>
      <c r="K316" s="67"/>
      <c r="L316" s="67"/>
      <c r="M316" s="65"/>
      <c r="N316" s="72"/>
      <c r="O316" s="70"/>
      <c r="P316" s="71"/>
      <c r="Q316" s="66"/>
      <c r="R316" s="66"/>
    </row>
    <row r="317" spans="1:18" ht="15.75" customHeight="1">
      <c r="A317" s="65"/>
      <c r="B317" s="68"/>
      <c r="C317" s="64"/>
      <c r="D317" s="68"/>
      <c r="E317" s="69"/>
      <c r="F317" s="65"/>
      <c r="G317" s="65"/>
      <c r="H317" s="65"/>
      <c r="I317" s="65"/>
      <c r="J317" s="65"/>
      <c r="K317" s="67"/>
      <c r="L317" s="67"/>
      <c r="M317" s="65"/>
      <c r="N317" s="72"/>
      <c r="O317" s="70"/>
      <c r="P317" s="71"/>
      <c r="Q317" s="66"/>
      <c r="R317" s="66"/>
    </row>
    <row r="318" spans="1:18" ht="15.75" customHeight="1">
      <c r="A318" s="65"/>
      <c r="B318" s="68"/>
      <c r="C318" s="64"/>
      <c r="D318" s="68"/>
      <c r="E318" s="69"/>
      <c r="F318" s="65"/>
      <c r="G318" s="65"/>
      <c r="H318" s="65"/>
      <c r="I318" s="65"/>
      <c r="J318" s="65"/>
      <c r="K318" s="67"/>
      <c r="L318" s="67"/>
      <c r="M318" s="65"/>
      <c r="N318" s="72"/>
      <c r="O318" s="70"/>
      <c r="P318" s="71"/>
      <c r="Q318" s="66"/>
      <c r="R318" s="66"/>
    </row>
    <row r="319" spans="1:18" ht="15.75" customHeight="1">
      <c r="A319" s="65"/>
      <c r="B319" s="68"/>
      <c r="C319" s="64"/>
      <c r="D319" s="68"/>
      <c r="E319" s="69"/>
      <c r="F319" s="65"/>
      <c r="G319" s="65"/>
      <c r="H319" s="65"/>
      <c r="I319" s="65"/>
      <c r="J319" s="65"/>
      <c r="K319" s="67"/>
      <c r="L319" s="67"/>
      <c r="M319" s="65"/>
      <c r="N319" s="72"/>
      <c r="O319" s="70"/>
      <c r="P319" s="71"/>
      <c r="Q319" s="66"/>
      <c r="R319" s="66"/>
    </row>
    <row r="320" spans="1:18" ht="15.75" customHeight="1">
      <c r="A320" s="65"/>
      <c r="B320" s="68"/>
      <c r="C320" s="64"/>
      <c r="D320" s="68"/>
      <c r="E320" s="69"/>
      <c r="F320" s="65"/>
      <c r="G320" s="65"/>
      <c r="H320" s="65"/>
      <c r="I320" s="65"/>
      <c r="J320" s="65"/>
      <c r="K320" s="67"/>
      <c r="L320" s="67"/>
      <c r="M320" s="65"/>
      <c r="N320" s="72"/>
      <c r="O320" s="70"/>
      <c r="P320" s="71"/>
      <c r="Q320" s="66"/>
      <c r="R320" s="66"/>
    </row>
    <row r="321" spans="1:18" ht="15.75" customHeight="1">
      <c r="A321" s="65"/>
      <c r="B321" s="68"/>
      <c r="C321" s="64"/>
      <c r="D321" s="68"/>
      <c r="E321" s="69"/>
      <c r="F321" s="65"/>
      <c r="G321" s="65"/>
      <c r="H321" s="65"/>
      <c r="I321" s="65"/>
      <c r="J321" s="65"/>
      <c r="K321" s="67"/>
      <c r="L321" s="67"/>
      <c r="M321" s="65"/>
      <c r="N321" s="72"/>
      <c r="O321" s="70"/>
      <c r="P321" s="71"/>
      <c r="Q321" s="66"/>
      <c r="R321" s="66"/>
    </row>
    <row r="322" spans="1:18" ht="15.75" customHeight="1">
      <c r="A322" s="65"/>
      <c r="B322" s="68"/>
      <c r="C322" s="64"/>
      <c r="D322" s="68"/>
      <c r="E322" s="69"/>
      <c r="F322" s="65"/>
      <c r="G322" s="65"/>
      <c r="H322" s="65"/>
      <c r="I322" s="65"/>
      <c r="J322" s="65"/>
      <c r="K322" s="67"/>
      <c r="L322" s="67"/>
      <c r="M322" s="65"/>
      <c r="N322" s="72"/>
      <c r="O322" s="70"/>
      <c r="P322" s="71"/>
      <c r="Q322" s="66"/>
      <c r="R322" s="66"/>
    </row>
    <row r="323" spans="1:18" ht="15.75" customHeight="1">
      <c r="A323" s="65"/>
      <c r="B323" s="68"/>
      <c r="C323" s="64"/>
      <c r="D323" s="68"/>
      <c r="E323" s="69"/>
      <c r="F323" s="65"/>
      <c r="G323" s="65"/>
      <c r="H323" s="65"/>
      <c r="I323" s="65"/>
      <c r="J323" s="65"/>
      <c r="K323" s="67"/>
      <c r="L323" s="67"/>
      <c r="M323" s="65"/>
      <c r="N323" s="72"/>
      <c r="O323" s="70"/>
      <c r="P323" s="71"/>
      <c r="Q323" s="66"/>
      <c r="R323" s="66"/>
    </row>
    <row r="324" spans="1:18" ht="15.75" customHeight="1">
      <c r="A324" s="65"/>
      <c r="B324" s="68"/>
      <c r="C324" s="64"/>
      <c r="D324" s="68"/>
      <c r="E324" s="69"/>
      <c r="F324" s="65"/>
      <c r="G324" s="65"/>
      <c r="H324" s="65"/>
      <c r="I324" s="65"/>
      <c r="J324" s="65"/>
      <c r="K324" s="67"/>
      <c r="L324" s="67"/>
      <c r="M324" s="65"/>
      <c r="N324" s="72"/>
      <c r="O324" s="70"/>
      <c r="P324" s="71"/>
      <c r="Q324" s="66"/>
      <c r="R324" s="66"/>
    </row>
    <row r="325" spans="1:18" ht="15.75" customHeight="1">
      <c r="A325" s="65"/>
      <c r="B325" s="68"/>
      <c r="C325" s="64"/>
      <c r="D325" s="68"/>
      <c r="E325" s="69"/>
      <c r="F325" s="65"/>
      <c r="G325" s="65"/>
      <c r="H325" s="65"/>
      <c r="I325" s="65"/>
      <c r="J325" s="65"/>
      <c r="K325" s="67"/>
      <c r="L325" s="67"/>
      <c r="M325" s="65"/>
      <c r="N325" s="72"/>
      <c r="O325" s="70"/>
      <c r="P325" s="71"/>
      <c r="Q325" s="66"/>
      <c r="R325" s="66"/>
    </row>
    <row r="326" spans="1:18" ht="15.75" customHeight="1">
      <c r="A326" s="65"/>
      <c r="B326" s="68"/>
      <c r="C326" s="64"/>
      <c r="D326" s="68"/>
      <c r="E326" s="69"/>
      <c r="F326" s="65"/>
      <c r="G326" s="65"/>
      <c r="H326" s="65"/>
      <c r="I326" s="65"/>
      <c r="J326" s="65"/>
      <c r="K326" s="67"/>
      <c r="L326" s="67"/>
      <c r="M326" s="65"/>
      <c r="N326" s="72"/>
      <c r="O326" s="70"/>
      <c r="P326" s="71"/>
      <c r="Q326" s="66"/>
      <c r="R326" s="66"/>
    </row>
    <row r="327" spans="1:18" ht="15.75" customHeight="1">
      <c r="A327" s="65"/>
      <c r="B327" s="68"/>
      <c r="C327" s="64"/>
      <c r="D327" s="68"/>
      <c r="E327" s="69"/>
      <c r="F327" s="65"/>
      <c r="G327" s="65"/>
      <c r="H327" s="65"/>
      <c r="I327" s="65"/>
      <c r="J327" s="65"/>
      <c r="K327" s="67"/>
      <c r="L327" s="67"/>
      <c r="M327" s="65"/>
      <c r="N327" s="72"/>
      <c r="O327" s="70"/>
      <c r="P327" s="71"/>
      <c r="Q327" s="66"/>
      <c r="R327" s="66"/>
    </row>
    <row r="328" spans="1:18" ht="15.75" customHeight="1">
      <c r="A328" s="65"/>
      <c r="B328" s="68"/>
      <c r="C328" s="64"/>
      <c r="D328" s="68"/>
      <c r="E328" s="69"/>
      <c r="F328" s="65"/>
      <c r="G328" s="65"/>
      <c r="H328" s="65"/>
      <c r="I328" s="65"/>
      <c r="J328" s="65"/>
      <c r="K328" s="67"/>
      <c r="L328" s="67"/>
      <c r="M328" s="65"/>
      <c r="N328" s="72"/>
      <c r="O328" s="70"/>
      <c r="P328" s="71"/>
      <c r="Q328" s="66"/>
      <c r="R328" s="66"/>
    </row>
    <row r="329" spans="1:18" ht="15.75" customHeight="1">
      <c r="A329" s="65"/>
      <c r="B329" s="68"/>
      <c r="C329" s="64"/>
      <c r="D329" s="68"/>
      <c r="E329" s="69"/>
      <c r="F329" s="65"/>
      <c r="G329" s="65"/>
      <c r="H329" s="65"/>
      <c r="I329" s="65"/>
      <c r="J329" s="65"/>
      <c r="K329" s="67"/>
      <c r="L329" s="67"/>
      <c r="M329" s="65"/>
      <c r="N329" s="72"/>
      <c r="O329" s="70"/>
      <c r="P329" s="71"/>
      <c r="Q329" s="66"/>
      <c r="R329" s="66"/>
    </row>
    <row r="330" spans="1:18" ht="15.75" customHeight="1">
      <c r="A330" s="65"/>
      <c r="B330" s="68"/>
      <c r="C330" s="64"/>
      <c r="D330" s="68"/>
      <c r="E330" s="69"/>
      <c r="F330" s="65"/>
      <c r="G330" s="65"/>
      <c r="H330" s="65"/>
      <c r="I330" s="65"/>
      <c r="J330" s="65"/>
      <c r="K330" s="67"/>
      <c r="L330" s="67"/>
      <c r="M330" s="65"/>
      <c r="N330" s="72"/>
      <c r="O330" s="70"/>
      <c r="P330" s="71"/>
      <c r="Q330" s="66"/>
      <c r="R330" s="66"/>
    </row>
    <row r="331" spans="1:18" ht="15.75" customHeight="1">
      <c r="A331" s="65"/>
      <c r="B331" s="68"/>
      <c r="C331" s="64"/>
      <c r="D331" s="68"/>
      <c r="E331" s="69"/>
      <c r="F331" s="65"/>
      <c r="G331" s="65"/>
      <c r="H331" s="65"/>
      <c r="I331" s="65"/>
      <c r="J331" s="65"/>
      <c r="K331" s="67"/>
      <c r="L331" s="67"/>
      <c r="M331" s="65"/>
      <c r="N331" s="72"/>
      <c r="O331" s="70"/>
      <c r="P331" s="71"/>
      <c r="Q331" s="66"/>
      <c r="R331" s="66"/>
    </row>
    <row r="332" spans="1:18" ht="15.75" customHeight="1">
      <c r="A332" s="65"/>
      <c r="B332" s="68"/>
      <c r="C332" s="64"/>
      <c r="D332" s="68"/>
      <c r="E332" s="69"/>
      <c r="F332" s="65"/>
      <c r="G332" s="65"/>
      <c r="H332" s="65"/>
      <c r="I332" s="65"/>
      <c r="J332" s="65"/>
      <c r="K332" s="67"/>
      <c r="L332" s="67"/>
      <c r="M332" s="65"/>
      <c r="N332" s="72"/>
      <c r="O332" s="70"/>
      <c r="P332" s="71"/>
      <c r="Q332" s="66"/>
      <c r="R332" s="66"/>
    </row>
    <row r="333" spans="1:18" ht="15.75" customHeight="1">
      <c r="A333" s="65"/>
      <c r="B333" s="68"/>
      <c r="C333" s="64"/>
      <c r="D333" s="68"/>
      <c r="E333" s="69"/>
      <c r="F333" s="65"/>
      <c r="G333" s="65"/>
      <c r="H333" s="65"/>
      <c r="I333" s="65"/>
      <c r="J333" s="65"/>
      <c r="K333" s="67"/>
      <c r="L333" s="67"/>
      <c r="M333" s="65"/>
      <c r="N333" s="72"/>
      <c r="O333" s="70"/>
      <c r="P333" s="71"/>
      <c r="Q333" s="66"/>
      <c r="R333" s="66"/>
    </row>
    <row r="334" spans="1:18" ht="15.75" customHeight="1">
      <c r="A334" s="65"/>
      <c r="B334" s="68"/>
      <c r="C334" s="64"/>
      <c r="D334" s="68"/>
      <c r="E334" s="69"/>
      <c r="F334" s="65"/>
      <c r="G334" s="65"/>
      <c r="H334" s="65"/>
      <c r="I334" s="65"/>
      <c r="J334" s="65"/>
      <c r="K334" s="67"/>
      <c r="L334" s="67"/>
      <c r="M334" s="65"/>
      <c r="N334" s="72"/>
      <c r="O334" s="70"/>
      <c r="P334" s="71"/>
      <c r="Q334" s="66"/>
      <c r="R334" s="66"/>
    </row>
    <row r="335" spans="1:18" ht="15.75" customHeight="1">
      <c r="A335" s="65"/>
      <c r="B335" s="68"/>
      <c r="C335" s="64"/>
      <c r="D335" s="68"/>
      <c r="E335" s="69"/>
      <c r="F335" s="65"/>
      <c r="G335" s="65"/>
      <c r="H335" s="65"/>
      <c r="I335" s="65"/>
      <c r="J335" s="65"/>
      <c r="K335" s="67"/>
      <c r="L335" s="67"/>
      <c r="M335" s="65"/>
      <c r="N335" s="72"/>
      <c r="O335" s="70"/>
      <c r="P335" s="71"/>
      <c r="Q335" s="66"/>
      <c r="R335" s="66"/>
    </row>
    <row r="336" spans="1:18" ht="15.75" customHeight="1">
      <c r="A336" s="65"/>
      <c r="B336" s="68"/>
      <c r="C336" s="64"/>
      <c r="D336" s="68"/>
      <c r="E336" s="69"/>
      <c r="F336" s="65"/>
      <c r="G336" s="65"/>
      <c r="H336" s="65"/>
      <c r="I336" s="65"/>
      <c r="J336" s="65"/>
      <c r="K336" s="67"/>
      <c r="L336" s="67"/>
      <c r="M336" s="65"/>
      <c r="N336" s="72"/>
      <c r="O336" s="70"/>
      <c r="P336" s="71"/>
      <c r="Q336" s="66"/>
      <c r="R336" s="66"/>
    </row>
    <row r="337" spans="1:18" ht="15.75" customHeight="1">
      <c r="A337" s="65"/>
      <c r="B337" s="68"/>
      <c r="C337" s="64"/>
      <c r="D337" s="68"/>
      <c r="E337" s="69"/>
      <c r="F337" s="65"/>
      <c r="G337" s="65"/>
      <c r="H337" s="65"/>
      <c r="I337" s="65"/>
      <c r="J337" s="65"/>
      <c r="K337" s="67"/>
      <c r="L337" s="67"/>
      <c r="M337" s="65"/>
      <c r="N337" s="72"/>
      <c r="O337" s="70"/>
      <c r="P337" s="71"/>
      <c r="Q337" s="66"/>
      <c r="R337" s="66"/>
    </row>
    <row r="338" spans="1:18" ht="15.75" customHeight="1">
      <c r="A338" s="65"/>
      <c r="B338" s="68"/>
      <c r="C338" s="64"/>
      <c r="D338" s="68"/>
      <c r="E338" s="69"/>
      <c r="F338" s="65"/>
      <c r="G338" s="65"/>
      <c r="H338" s="65"/>
      <c r="I338" s="65"/>
      <c r="J338" s="65"/>
      <c r="K338" s="67"/>
      <c r="L338" s="67"/>
      <c r="M338" s="65"/>
      <c r="N338" s="72"/>
      <c r="O338" s="70"/>
      <c r="P338" s="71"/>
      <c r="Q338" s="66"/>
      <c r="R338" s="66"/>
    </row>
    <row r="339" spans="1:18" ht="15.75" customHeight="1">
      <c r="A339" s="65"/>
      <c r="B339" s="68"/>
      <c r="C339" s="64"/>
      <c r="D339" s="68"/>
      <c r="E339" s="69"/>
      <c r="F339" s="65"/>
      <c r="G339" s="65"/>
      <c r="H339" s="65"/>
      <c r="I339" s="65"/>
      <c r="J339" s="65"/>
      <c r="K339" s="67"/>
      <c r="L339" s="67"/>
      <c r="M339" s="65"/>
      <c r="N339" s="72"/>
      <c r="O339" s="70"/>
      <c r="P339" s="71"/>
      <c r="Q339" s="66"/>
      <c r="R339" s="66"/>
    </row>
    <row r="340" spans="1:18" ht="15.75" customHeight="1">
      <c r="A340" s="65"/>
      <c r="B340" s="68"/>
      <c r="C340" s="64"/>
      <c r="D340" s="68"/>
      <c r="E340" s="69"/>
      <c r="F340" s="65"/>
      <c r="G340" s="65"/>
      <c r="H340" s="65"/>
      <c r="I340" s="65"/>
      <c r="J340" s="65"/>
      <c r="K340" s="67"/>
      <c r="L340" s="67"/>
      <c r="M340" s="65"/>
      <c r="N340" s="72"/>
      <c r="O340" s="70"/>
      <c r="P340" s="71"/>
      <c r="Q340" s="66"/>
      <c r="R340" s="66"/>
    </row>
    <row r="341" spans="1:18" ht="15.75" customHeight="1">
      <c r="A341" s="65"/>
      <c r="B341" s="68"/>
      <c r="C341" s="64"/>
      <c r="D341" s="68"/>
      <c r="E341" s="69"/>
      <c r="F341" s="65"/>
      <c r="G341" s="65"/>
      <c r="H341" s="65"/>
      <c r="I341" s="65"/>
      <c r="J341" s="65"/>
      <c r="K341" s="67"/>
      <c r="L341" s="67"/>
      <c r="M341" s="65"/>
      <c r="N341" s="72"/>
      <c r="O341" s="70"/>
      <c r="P341" s="71"/>
      <c r="Q341" s="66"/>
      <c r="R341" s="66"/>
    </row>
    <row r="342" spans="1:18" ht="15.75" customHeight="1">
      <c r="A342" s="65"/>
      <c r="B342" s="68"/>
      <c r="C342" s="64"/>
      <c r="D342" s="68"/>
      <c r="E342" s="69"/>
      <c r="F342" s="65"/>
      <c r="G342" s="65"/>
      <c r="H342" s="65"/>
      <c r="I342" s="65"/>
      <c r="J342" s="65"/>
      <c r="K342" s="67"/>
      <c r="L342" s="67"/>
      <c r="M342" s="65"/>
      <c r="N342" s="72"/>
      <c r="O342" s="70"/>
      <c r="P342" s="71"/>
      <c r="Q342" s="66"/>
      <c r="R342" s="66"/>
    </row>
    <row r="343" spans="1:18" ht="15.75" customHeight="1">
      <c r="A343" s="65"/>
      <c r="B343" s="68"/>
      <c r="C343" s="64"/>
      <c r="D343" s="68"/>
      <c r="E343" s="69"/>
      <c r="F343" s="65"/>
      <c r="G343" s="65"/>
      <c r="H343" s="65"/>
      <c r="I343" s="65"/>
      <c r="J343" s="65"/>
      <c r="K343" s="67"/>
      <c r="L343" s="67"/>
      <c r="M343" s="65"/>
      <c r="N343" s="72"/>
      <c r="O343" s="70"/>
      <c r="P343" s="71"/>
      <c r="Q343" s="66"/>
      <c r="R343" s="66"/>
    </row>
    <row r="344" spans="1:18" ht="15.75" customHeight="1">
      <c r="A344" s="65"/>
      <c r="B344" s="68"/>
      <c r="C344" s="64"/>
      <c r="D344" s="68"/>
      <c r="E344" s="69"/>
      <c r="F344" s="65"/>
      <c r="G344" s="65"/>
      <c r="H344" s="65"/>
      <c r="I344" s="65"/>
      <c r="J344" s="65"/>
      <c r="K344" s="67"/>
      <c r="L344" s="67"/>
      <c r="M344" s="65"/>
      <c r="N344" s="72"/>
      <c r="O344" s="70"/>
      <c r="P344" s="71"/>
      <c r="Q344" s="66"/>
      <c r="R344" s="66"/>
    </row>
    <row r="345" spans="1:18" ht="15.75" customHeight="1">
      <c r="A345" s="65"/>
      <c r="B345" s="68"/>
      <c r="C345" s="64"/>
      <c r="D345" s="68"/>
      <c r="E345" s="69"/>
      <c r="F345" s="65"/>
      <c r="G345" s="65"/>
      <c r="H345" s="65"/>
      <c r="I345" s="65"/>
      <c r="J345" s="65"/>
      <c r="K345" s="67"/>
      <c r="L345" s="67"/>
      <c r="M345" s="65"/>
      <c r="N345" s="72"/>
      <c r="O345" s="70"/>
      <c r="P345" s="71"/>
      <c r="Q345" s="66"/>
      <c r="R345" s="66"/>
    </row>
    <row r="346" spans="1:18" ht="15.75" customHeight="1">
      <c r="A346" s="65"/>
      <c r="B346" s="68"/>
      <c r="C346" s="64"/>
      <c r="D346" s="68"/>
      <c r="E346" s="69"/>
      <c r="F346" s="65"/>
      <c r="G346" s="65"/>
      <c r="H346" s="65"/>
      <c r="I346" s="65"/>
      <c r="J346" s="65"/>
      <c r="K346" s="67"/>
      <c r="L346" s="67"/>
      <c r="M346" s="65"/>
      <c r="N346" s="72"/>
      <c r="O346" s="70"/>
      <c r="P346" s="71"/>
      <c r="Q346" s="66"/>
      <c r="R346" s="66"/>
    </row>
    <row r="347" spans="1:18" ht="15.75" customHeight="1">
      <c r="A347" s="65"/>
      <c r="B347" s="68"/>
      <c r="C347" s="64"/>
      <c r="D347" s="68"/>
      <c r="E347" s="69"/>
      <c r="F347" s="65"/>
      <c r="G347" s="65"/>
      <c r="H347" s="65"/>
      <c r="I347" s="65"/>
      <c r="J347" s="65"/>
      <c r="K347" s="67"/>
      <c r="L347" s="67"/>
      <c r="M347" s="65"/>
      <c r="N347" s="72"/>
      <c r="O347" s="70"/>
      <c r="P347" s="71"/>
      <c r="Q347" s="66"/>
      <c r="R347" s="66"/>
    </row>
    <row r="348" spans="1:18" ht="15.75" customHeight="1">
      <c r="A348" s="65"/>
      <c r="B348" s="68"/>
      <c r="C348" s="64"/>
      <c r="D348" s="68"/>
      <c r="E348" s="69"/>
      <c r="F348" s="65"/>
      <c r="G348" s="65"/>
      <c r="H348" s="65"/>
      <c r="I348" s="65"/>
      <c r="J348" s="65"/>
      <c r="K348" s="67"/>
      <c r="L348" s="67"/>
      <c r="M348" s="65"/>
      <c r="N348" s="72"/>
      <c r="O348" s="70"/>
      <c r="P348" s="71"/>
      <c r="Q348" s="66"/>
      <c r="R348" s="66"/>
    </row>
    <row r="349" spans="1:18" ht="15.75" customHeight="1">
      <c r="A349" s="65"/>
      <c r="B349" s="68"/>
      <c r="C349" s="64"/>
      <c r="D349" s="68"/>
      <c r="E349" s="69"/>
      <c r="F349" s="65"/>
      <c r="G349" s="65"/>
      <c r="H349" s="65"/>
      <c r="I349" s="65"/>
      <c r="J349" s="65"/>
      <c r="K349" s="67"/>
      <c r="L349" s="67"/>
      <c r="M349" s="65"/>
      <c r="N349" s="72"/>
      <c r="O349" s="70"/>
      <c r="P349" s="71"/>
      <c r="Q349" s="66"/>
      <c r="R349" s="66"/>
    </row>
    <row r="350" spans="1:18" ht="15.75" customHeight="1">
      <c r="A350" s="65"/>
      <c r="B350" s="68"/>
      <c r="C350" s="64"/>
      <c r="D350" s="68"/>
      <c r="E350" s="69"/>
      <c r="F350" s="65"/>
      <c r="G350" s="65"/>
      <c r="H350" s="65"/>
      <c r="I350" s="65"/>
      <c r="J350" s="65"/>
      <c r="K350" s="67"/>
      <c r="L350" s="67"/>
      <c r="M350" s="65"/>
      <c r="N350" s="72"/>
      <c r="O350" s="70"/>
      <c r="P350" s="71"/>
      <c r="Q350" s="66"/>
      <c r="R350" s="66"/>
    </row>
    <row r="351" spans="1:18" ht="15.75" customHeight="1">
      <c r="A351" s="65"/>
      <c r="B351" s="68"/>
      <c r="C351" s="64"/>
      <c r="D351" s="68"/>
      <c r="E351" s="69"/>
      <c r="F351" s="65"/>
      <c r="G351" s="65"/>
      <c r="H351" s="65"/>
      <c r="I351" s="65"/>
      <c r="J351" s="65"/>
      <c r="K351" s="67"/>
      <c r="L351" s="67"/>
      <c r="M351" s="65"/>
      <c r="N351" s="72"/>
      <c r="O351" s="70"/>
      <c r="P351" s="71"/>
      <c r="Q351" s="66"/>
      <c r="R351" s="66"/>
    </row>
    <row r="352" spans="1:18" ht="15.75" customHeight="1">
      <c r="A352" s="65"/>
      <c r="B352" s="68"/>
      <c r="C352" s="64"/>
      <c r="D352" s="68"/>
      <c r="E352" s="69"/>
      <c r="F352" s="65"/>
      <c r="G352" s="65"/>
      <c r="H352" s="65"/>
      <c r="I352" s="65"/>
      <c r="J352" s="65"/>
      <c r="K352" s="67"/>
      <c r="L352" s="67"/>
      <c r="M352" s="65"/>
      <c r="N352" s="72"/>
      <c r="O352" s="70"/>
      <c r="P352" s="71"/>
      <c r="Q352" s="66"/>
      <c r="R352" s="66"/>
    </row>
    <row r="353" spans="1:18" ht="15.75" customHeight="1">
      <c r="A353" s="65"/>
      <c r="B353" s="68"/>
      <c r="C353" s="64"/>
      <c r="D353" s="68"/>
      <c r="E353" s="69"/>
      <c r="F353" s="65"/>
      <c r="G353" s="65"/>
      <c r="H353" s="65"/>
      <c r="I353" s="65"/>
      <c r="J353" s="65"/>
      <c r="K353" s="67"/>
      <c r="L353" s="67"/>
      <c r="M353" s="65"/>
      <c r="N353" s="72"/>
      <c r="O353" s="70"/>
      <c r="P353" s="71"/>
      <c r="Q353" s="66"/>
      <c r="R353" s="66"/>
    </row>
    <row r="354" spans="1:18" ht="15.75" customHeight="1">
      <c r="A354" s="65"/>
      <c r="B354" s="68"/>
      <c r="C354" s="64"/>
      <c r="D354" s="68"/>
      <c r="E354" s="69"/>
      <c r="F354" s="65"/>
      <c r="G354" s="65"/>
      <c r="H354" s="65"/>
      <c r="I354" s="65"/>
      <c r="J354" s="65"/>
      <c r="K354" s="67"/>
      <c r="L354" s="67"/>
      <c r="M354" s="65"/>
      <c r="N354" s="72"/>
      <c r="O354" s="70"/>
      <c r="P354" s="71"/>
      <c r="Q354" s="66"/>
      <c r="R354" s="66"/>
    </row>
    <row r="355" spans="1:18" ht="15.75" customHeight="1">
      <c r="A355" s="65"/>
      <c r="B355" s="68"/>
      <c r="C355" s="64"/>
      <c r="D355" s="68"/>
      <c r="E355" s="69"/>
      <c r="F355" s="65"/>
      <c r="G355" s="65"/>
      <c r="H355" s="65"/>
      <c r="I355" s="65"/>
      <c r="J355" s="65"/>
      <c r="K355" s="67"/>
      <c r="L355" s="67"/>
      <c r="M355" s="65"/>
      <c r="N355" s="72"/>
      <c r="O355" s="70"/>
      <c r="P355" s="71"/>
      <c r="Q355" s="66"/>
      <c r="R355" s="66"/>
    </row>
    <row r="356" spans="1:18" ht="15.75" customHeight="1">
      <c r="A356" s="65"/>
      <c r="B356" s="68"/>
      <c r="C356" s="64"/>
      <c r="D356" s="68"/>
      <c r="E356" s="69"/>
      <c r="F356" s="65"/>
      <c r="G356" s="65"/>
      <c r="H356" s="65"/>
      <c r="I356" s="65"/>
      <c r="J356" s="65"/>
      <c r="K356" s="67"/>
      <c r="L356" s="67"/>
      <c r="M356" s="65"/>
      <c r="N356" s="72"/>
      <c r="O356" s="70"/>
      <c r="P356" s="71"/>
      <c r="Q356" s="66"/>
      <c r="R356" s="66"/>
    </row>
    <row r="357" spans="1:18" ht="15.75" customHeight="1">
      <c r="A357" s="65"/>
      <c r="B357" s="68"/>
      <c r="C357" s="64"/>
      <c r="D357" s="68"/>
      <c r="E357" s="69"/>
      <c r="F357" s="65"/>
      <c r="G357" s="65"/>
      <c r="H357" s="65"/>
      <c r="I357" s="65"/>
      <c r="J357" s="65"/>
      <c r="K357" s="67"/>
      <c r="L357" s="67"/>
      <c r="M357" s="65"/>
      <c r="N357" s="72"/>
      <c r="O357" s="70"/>
      <c r="P357" s="71"/>
      <c r="Q357" s="66"/>
      <c r="R357" s="66"/>
    </row>
    <row r="358" spans="1:18" ht="15.75" customHeight="1">
      <c r="A358" s="65"/>
      <c r="B358" s="68"/>
      <c r="C358" s="64"/>
      <c r="D358" s="68"/>
      <c r="E358" s="69"/>
      <c r="F358" s="65"/>
      <c r="G358" s="65"/>
      <c r="H358" s="65"/>
      <c r="I358" s="65"/>
      <c r="J358" s="65"/>
      <c r="K358" s="67"/>
      <c r="L358" s="67"/>
      <c r="M358" s="65"/>
      <c r="N358" s="72"/>
      <c r="O358" s="70"/>
      <c r="P358" s="71"/>
      <c r="Q358" s="66"/>
      <c r="R358" s="66"/>
    </row>
    <row r="359" spans="1:18" ht="15.75" customHeight="1">
      <c r="A359" s="65"/>
      <c r="B359" s="68"/>
      <c r="C359" s="64"/>
      <c r="D359" s="68"/>
      <c r="E359" s="69"/>
      <c r="F359" s="65"/>
      <c r="G359" s="65"/>
      <c r="H359" s="65"/>
      <c r="I359" s="65"/>
      <c r="J359" s="65"/>
      <c r="K359" s="67"/>
      <c r="L359" s="67"/>
      <c r="M359" s="65"/>
      <c r="N359" s="72"/>
      <c r="O359" s="70"/>
      <c r="P359" s="71"/>
      <c r="Q359" s="66"/>
      <c r="R359" s="66"/>
    </row>
    <row r="360" spans="1:18" ht="15.75" customHeight="1">
      <c r="A360" s="65"/>
      <c r="B360" s="68"/>
      <c r="C360" s="64"/>
      <c r="D360" s="68"/>
      <c r="E360" s="69"/>
      <c r="F360" s="65"/>
      <c r="G360" s="65"/>
      <c r="H360" s="65"/>
      <c r="I360" s="65"/>
      <c r="J360" s="65"/>
      <c r="K360" s="67"/>
      <c r="L360" s="67"/>
      <c r="M360" s="65"/>
      <c r="N360" s="72"/>
      <c r="O360" s="70"/>
      <c r="P360" s="71"/>
      <c r="Q360" s="66"/>
      <c r="R360" s="66"/>
    </row>
    <row r="361" spans="1:18" ht="15.75" customHeight="1">
      <c r="A361" s="65"/>
      <c r="B361" s="68"/>
      <c r="C361" s="64"/>
      <c r="D361" s="68"/>
      <c r="E361" s="69"/>
      <c r="F361" s="65"/>
      <c r="G361" s="65"/>
      <c r="H361" s="65"/>
      <c r="I361" s="65"/>
      <c r="J361" s="65"/>
      <c r="K361" s="67"/>
      <c r="L361" s="67"/>
      <c r="M361" s="65"/>
      <c r="N361" s="72"/>
      <c r="O361" s="70"/>
      <c r="P361" s="71"/>
      <c r="Q361" s="66"/>
      <c r="R361" s="66"/>
    </row>
    <row r="362" spans="1:18" ht="15.75" customHeight="1">
      <c r="A362" s="65"/>
      <c r="B362" s="68"/>
      <c r="C362" s="64"/>
      <c r="D362" s="68"/>
      <c r="E362" s="69"/>
      <c r="F362" s="65"/>
      <c r="G362" s="65"/>
      <c r="H362" s="65"/>
      <c r="I362" s="65"/>
      <c r="J362" s="65"/>
      <c r="K362" s="67"/>
      <c r="L362" s="67"/>
      <c r="M362" s="65"/>
      <c r="N362" s="72"/>
      <c r="O362" s="70"/>
      <c r="P362" s="71"/>
      <c r="Q362" s="66"/>
      <c r="R362" s="66"/>
    </row>
    <row r="363" spans="1:18" ht="15.75" customHeight="1">
      <c r="A363" s="65"/>
      <c r="B363" s="68"/>
      <c r="C363" s="64"/>
      <c r="D363" s="68"/>
      <c r="E363" s="69"/>
      <c r="F363" s="65"/>
      <c r="G363" s="65"/>
      <c r="H363" s="65"/>
      <c r="I363" s="65"/>
      <c r="J363" s="65"/>
      <c r="K363" s="67"/>
      <c r="L363" s="67"/>
      <c r="M363" s="65"/>
      <c r="N363" s="72"/>
      <c r="O363" s="70"/>
      <c r="P363" s="71"/>
      <c r="Q363" s="66"/>
      <c r="R363" s="66"/>
    </row>
    <row r="364" spans="1:18" ht="15.75" customHeight="1">
      <c r="A364" s="65"/>
      <c r="B364" s="68"/>
      <c r="C364" s="64"/>
      <c r="D364" s="68"/>
      <c r="E364" s="69"/>
      <c r="F364" s="65"/>
      <c r="G364" s="65"/>
      <c r="H364" s="65"/>
      <c r="I364" s="65"/>
      <c r="J364" s="65"/>
      <c r="K364" s="67"/>
      <c r="L364" s="67"/>
      <c r="M364" s="65"/>
      <c r="N364" s="72"/>
      <c r="O364" s="70"/>
      <c r="P364" s="71"/>
      <c r="Q364" s="66"/>
      <c r="R364" s="66"/>
    </row>
    <row r="365" spans="1:18" ht="15.75" customHeight="1">
      <c r="A365" s="65"/>
      <c r="B365" s="68"/>
      <c r="C365" s="64"/>
      <c r="D365" s="68"/>
      <c r="E365" s="69"/>
      <c r="F365" s="65"/>
      <c r="G365" s="65"/>
      <c r="H365" s="65"/>
      <c r="I365" s="65"/>
      <c r="J365" s="65"/>
      <c r="K365" s="67"/>
      <c r="L365" s="67"/>
      <c r="M365" s="65"/>
      <c r="N365" s="72"/>
      <c r="O365" s="70"/>
      <c r="P365" s="71"/>
      <c r="Q365" s="66"/>
      <c r="R365" s="66"/>
    </row>
    <row r="366" spans="1:18" ht="15.75" customHeight="1">
      <c r="A366" s="65"/>
      <c r="B366" s="68"/>
      <c r="C366" s="64"/>
      <c r="D366" s="68"/>
      <c r="E366" s="69"/>
      <c r="F366" s="65"/>
      <c r="G366" s="65"/>
      <c r="H366" s="65"/>
      <c r="I366" s="65"/>
      <c r="J366" s="65"/>
      <c r="K366" s="67"/>
      <c r="L366" s="67"/>
      <c r="M366" s="65"/>
      <c r="N366" s="72"/>
      <c r="O366" s="70"/>
      <c r="P366" s="71"/>
      <c r="Q366" s="66"/>
      <c r="R366" s="66"/>
    </row>
    <row r="367" spans="1:18" ht="15.75" customHeight="1">
      <c r="A367" s="65"/>
      <c r="B367" s="68"/>
      <c r="C367" s="64"/>
      <c r="D367" s="68"/>
      <c r="E367" s="69"/>
      <c r="F367" s="65"/>
      <c r="G367" s="65"/>
      <c r="H367" s="65"/>
      <c r="I367" s="65"/>
      <c r="J367" s="65"/>
      <c r="K367" s="67"/>
      <c r="L367" s="67"/>
      <c r="M367" s="65"/>
      <c r="N367" s="72"/>
      <c r="O367" s="70"/>
      <c r="P367" s="71"/>
      <c r="Q367" s="66"/>
      <c r="R367" s="66"/>
    </row>
    <row r="368" spans="1:18" ht="15.75" customHeight="1">
      <c r="A368" s="65"/>
      <c r="B368" s="68"/>
      <c r="C368" s="64"/>
      <c r="D368" s="68"/>
      <c r="E368" s="69"/>
      <c r="F368" s="65"/>
      <c r="G368" s="65"/>
      <c r="H368" s="65"/>
      <c r="I368" s="65"/>
      <c r="J368" s="65"/>
      <c r="K368" s="67"/>
      <c r="L368" s="67"/>
      <c r="M368" s="65"/>
      <c r="N368" s="72"/>
      <c r="O368" s="70"/>
      <c r="P368" s="71"/>
      <c r="Q368" s="66"/>
      <c r="R368" s="66"/>
    </row>
    <row r="369" spans="1:18" ht="15.75" customHeight="1">
      <c r="A369" s="65"/>
      <c r="B369" s="68"/>
      <c r="C369" s="64"/>
      <c r="D369" s="68"/>
      <c r="E369" s="69"/>
      <c r="F369" s="65"/>
      <c r="G369" s="65"/>
      <c r="H369" s="65"/>
      <c r="I369" s="65"/>
      <c r="J369" s="65"/>
      <c r="K369" s="67"/>
      <c r="L369" s="67"/>
      <c r="M369" s="65"/>
      <c r="N369" s="72"/>
      <c r="O369" s="70"/>
      <c r="P369" s="71"/>
      <c r="Q369" s="66"/>
      <c r="R369" s="66"/>
    </row>
    <row r="370" spans="1:18" ht="15.75" customHeight="1">
      <c r="A370" s="65"/>
      <c r="B370" s="68"/>
      <c r="C370" s="64"/>
      <c r="D370" s="68"/>
      <c r="E370" s="69"/>
      <c r="F370" s="65"/>
      <c r="G370" s="65"/>
      <c r="H370" s="65"/>
      <c r="I370" s="65"/>
      <c r="J370" s="65"/>
      <c r="K370" s="67"/>
      <c r="L370" s="67"/>
      <c r="M370" s="65"/>
      <c r="N370" s="72"/>
      <c r="O370" s="70"/>
      <c r="P370" s="71"/>
      <c r="Q370" s="66"/>
      <c r="R370" s="66"/>
    </row>
    <row r="371" spans="1:18" ht="15.75" customHeight="1">
      <c r="A371" s="65"/>
      <c r="B371" s="68"/>
      <c r="C371" s="64"/>
      <c r="D371" s="68"/>
      <c r="E371" s="69"/>
      <c r="F371" s="65"/>
      <c r="G371" s="65"/>
      <c r="H371" s="65"/>
      <c r="I371" s="65"/>
      <c r="J371" s="65"/>
      <c r="K371" s="67"/>
      <c r="L371" s="67"/>
      <c r="M371" s="65"/>
      <c r="N371" s="72"/>
      <c r="O371" s="70"/>
      <c r="P371" s="71"/>
      <c r="Q371" s="66"/>
      <c r="R371" s="66"/>
    </row>
    <row r="372" spans="1:18" ht="15.75" customHeight="1">
      <c r="A372" s="65"/>
      <c r="B372" s="68"/>
      <c r="C372" s="64"/>
      <c r="D372" s="68"/>
      <c r="E372" s="69"/>
      <c r="F372" s="65"/>
      <c r="G372" s="65"/>
      <c r="H372" s="65"/>
      <c r="I372" s="65"/>
      <c r="J372" s="65"/>
      <c r="K372" s="67"/>
      <c r="L372" s="67"/>
      <c r="M372" s="65"/>
      <c r="N372" s="72"/>
      <c r="O372" s="70"/>
      <c r="P372" s="71"/>
      <c r="Q372" s="66"/>
      <c r="R372" s="66"/>
    </row>
    <row r="373" spans="1:18" ht="15.75" customHeight="1">
      <c r="A373" s="65"/>
      <c r="B373" s="68"/>
      <c r="C373" s="64"/>
      <c r="D373" s="68"/>
      <c r="E373" s="69"/>
      <c r="F373" s="65"/>
      <c r="G373" s="65"/>
      <c r="H373" s="65"/>
      <c r="I373" s="65"/>
      <c r="J373" s="65"/>
      <c r="K373" s="67"/>
      <c r="L373" s="67"/>
      <c r="M373" s="65"/>
      <c r="N373" s="72"/>
      <c r="O373" s="70"/>
      <c r="P373" s="71"/>
      <c r="Q373" s="66"/>
      <c r="R373" s="66"/>
    </row>
    <row r="374" spans="1:18" ht="15.75" customHeight="1">
      <c r="A374" s="65"/>
      <c r="B374" s="68"/>
      <c r="C374" s="64"/>
      <c r="D374" s="68"/>
      <c r="E374" s="69"/>
      <c r="F374" s="65"/>
      <c r="G374" s="65"/>
      <c r="H374" s="65"/>
      <c r="I374" s="65"/>
      <c r="J374" s="65"/>
      <c r="K374" s="67"/>
      <c r="L374" s="67"/>
      <c r="M374" s="65"/>
      <c r="N374" s="72"/>
      <c r="O374" s="70"/>
      <c r="P374" s="71"/>
      <c r="Q374" s="66"/>
      <c r="R374" s="66"/>
    </row>
    <row r="375" spans="1:18" ht="15.75" customHeight="1">
      <c r="A375" s="65"/>
      <c r="B375" s="68"/>
      <c r="C375" s="64"/>
      <c r="D375" s="68"/>
      <c r="E375" s="69"/>
      <c r="F375" s="65"/>
      <c r="G375" s="65"/>
      <c r="H375" s="65"/>
      <c r="I375" s="65"/>
      <c r="J375" s="65"/>
      <c r="K375" s="67"/>
      <c r="L375" s="67"/>
      <c r="M375" s="65"/>
      <c r="N375" s="72"/>
      <c r="O375" s="70"/>
      <c r="P375" s="71"/>
      <c r="Q375" s="66"/>
      <c r="R375" s="66"/>
    </row>
    <row r="376" spans="1:18" ht="15.75" customHeight="1">
      <c r="A376" s="65"/>
      <c r="B376" s="68"/>
      <c r="C376" s="64"/>
      <c r="D376" s="68"/>
      <c r="E376" s="69"/>
      <c r="F376" s="65"/>
      <c r="G376" s="65"/>
      <c r="H376" s="65"/>
      <c r="I376" s="65"/>
      <c r="J376" s="65"/>
      <c r="K376" s="67"/>
      <c r="L376" s="67"/>
      <c r="M376" s="65"/>
      <c r="N376" s="72"/>
      <c r="O376" s="70"/>
      <c r="P376" s="71"/>
      <c r="Q376" s="66"/>
      <c r="R376" s="66"/>
    </row>
    <row r="377" spans="1:18" ht="15.75" customHeight="1">
      <c r="A377" s="65"/>
      <c r="B377" s="68"/>
      <c r="C377" s="64"/>
      <c r="D377" s="68"/>
      <c r="E377" s="69"/>
      <c r="F377" s="65"/>
      <c r="G377" s="65"/>
      <c r="H377" s="65"/>
      <c r="I377" s="65"/>
      <c r="J377" s="65"/>
      <c r="K377" s="67"/>
      <c r="L377" s="67"/>
      <c r="M377" s="65"/>
      <c r="N377" s="72"/>
      <c r="O377" s="70"/>
      <c r="P377" s="71"/>
      <c r="Q377" s="66"/>
      <c r="R377" s="66"/>
    </row>
    <row r="378" spans="1:18" ht="15.75" customHeight="1">
      <c r="A378" s="65"/>
      <c r="B378" s="68"/>
      <c r="C378" s="64"/>
      <c r="D378" s="68"/>
      <c r="E378" s="69"/>
      <c r="F378" s="65"/>
      <c r="G378" s="65"/>
      <c r="H378" s="65"/>
      <c r="I378" s="65"/>
      <c r="J378" s="65"/>
      <c r="K378" s="67"/>
      <c r="L378" s="67"/>
      <c r="M378" s="65"/>
      <c r="N378" s="72"/>
      <c r="O378" s="70"/>
      <c r="P378" s="71"/>
      <c r="Q378" s="66"/>
      <c r="R378" s="66"/>
    </row>
    <row r="379" spans="1:18" ht="15.75" customHeight="1">
      <c r="A379" s="65"/>
      <c r="B379" s="68"/>
      <c r="C379" s="64"/>
      <c r="D379" s="68"/>
      <c r="E379" s="69"/>
      <c r="F379" s="65"/>
      <c r="G379" s="65"/>
      <c r="H379" s="65"/>
      <c r="I379" s="65"/>
      <c r="J379" s="65"/>
      <c r="K379" s="67"/>
      <c r="L379" s="67"/>
      <c r="M379" s="65"/>
      <c r="N379" s="72"/>
      <c r="O379" s="70"/>
      <c r="P379" s="71"/>
      <c r="Q379" s="66"/>
      <c r="R379" s="66"/>
    </row>
    <row r="380" spans="1:18" ht="15.75" customHeight="1">
      <c r="A380" s="65"/>
      <c r="B380" s="68"/>
      <c r="C380" s="64"/>
      <c r="D380" s="68"/>
      <c r="E380" s="69"/>
      <c r="F380" s="65"/>
      <c r="G380" s="65"/>
      <c r="H380" s="65"/>
      <c r="I380" s="65"/>
      <c r="J380" s="65"/>
      <c r="K380" s="67"/>
      <c r="L380" s="67"/>
      <c r="M380" s="65"/>
      <c r="N380" s="72"/>
      <c r="O380" s="70"/>
      <c r="P380" s="71"/>
      <c r="Q380" s="66"/>
      <c r="R380" s="66"/>
    </row>
    <row r="381" spans="1:18" ht="15.75" customHeight="1">
      <c r="A381" s="65"/>
      <c r="B381" s="68"/>
      <c r="C381" s="64"/>
      <c r="D381" s="68"/>
      <c r="E381" s="69"/>
      <c r="F381" s="65"/>
      <c r="G381" s="65"/>
      <c r="H381" s="65"/>
      <c r="I381" s="65"/>
      <c r="J381" s="65"/>
      <c r="K381" s="67"/>
      <c r="L381" s="67"/>
      <c r="M381" s="65"/>
      <c r="N381" s="72"/>
      <c r="O381" s="70"/>
      <c r="P381" s="71"/>
      <c r="Q381" s="66"/>
      <c r="R381" s="66"/>
    </row>
    <row r="382" spans="1:18" ht="15.75" customHeight="1">
      <c r="A382" s="65"/>
      <c r="B382" s="68"/>
      <c r="C382" s="64"/>
      <c r="D382" s="68"/>
      <c r="E382" s="69"/>
      <c r="F382" s="65"/>
      <c r="G382" s="65"/>
      <c r="H382" s="65"/>
      <c r="I382" s="65"/>
      <c r="J382" s="65"/>
      <c r="K382" s="67"/>
      <c r="L382" s="67"/>
      <c r="M382" s="65"/>
      <c r="N382" s="72"/>
      <c r="O382" s="70"/>
      <c r="P382" s="71"/>
      <c r="Q382" s="66"/>
      <c r="R382" s="66"/>
    </row>
    <row r="383" spans="1:18" ht="15.75" customHeight="1">
      <c r="A383" s="65"/>
      <c r="B383" s="68"/>
      <c r="C383" s="64"/>
      <c r="D383" s="68"/>
      <c r="E383" s="69"/>
      <c r="F383" s="65"/>
      <c r="G383" s="65"/>
      <c r="H383" s="65"/>
      <c r="I383" s="65"/>
      <c r="J383" s="65"/>
      <c r="K383" s="67"/>
      <c r="L383" s="67"/>
      <c r="M383" s="65"/>
      <c r="N383" s="72"/>
      <c r="O383" s="70"/>
      <c r="P383" s="71"/>
      <c r="Q383" s="66"/>
      <c r="R383" s="66"/>
    </row>
    <row r="384" spans="1:18" ht="15.75" customHeight="1">
      <c r="A384" s="65"/>
      <c r="B384" s="68"/>
      <c r="C384" s="64"/>
      <c r="D384" s="68"/>
      <c r="E384" s="69"/>
      <c r="F384" s="65"/>
      <c r="G384" s="65"/>
      <c r="H384" s="65"/>
      <c r="I384" s="65"/>
      <c r="J384" s="65"/>
      <c r="K384" s="67"/>
      <c r="L384" s="67"/>
      <c r="M384" s="65"/>
      <c r="N384" s="72"/>
      <c r="O384" s="70"/>
      <c r="P384" s="71"/>
      <c r="Q384" s="66"/>
      <c r="R384" s="66"/>
    </row>
    <row r="385" spans="1:18" ht="15.75" customHeight="1">
      <c r="A385" s="65"/>
      <c r="B385" s="68"/>
      <c r="C385" s="64"/>
      <c r="D385" s="68"/>
      <c r="E385" s="69"/>
      <c r="F385" s="65"/>
      <c r="G385" s="65"/>
      <c r="H385" s="65"/>
      <c r="I385" s="65"/>
      <c r="J385" s="65"/>
      <c r="K385" s="67"/>
      <c r="L385" s="67"/>
      <c r="M385" s="65"/>
      <c r="N385" s="72"/>
      <c r="O385" s="70"/>
      <c r="P385" s="71"/>
      <c r="Q385" s="66"/>
      <c r="R385" s="66"/>
    </row>
    <row r="386" spans="1:18" ht="15.75" customHeight="1">
      <c r="A386" s="65"/>
      <c r="B386" s="68"/>
      <c r="C386" s="64"/>
      <c r="D386" s="68"/>
      <c r="E386" s="69"/>
      <c r="F386" s="65"/>
      <c r="G386" s="65"/>
      <c r="H386" s="65"/>
      <c r="I386" s="65"/>
      <c r="J386" s="65"/>
      <c r="K386" s="67"/>
      <c r="L386" s="67"/>
      <c r="M386" s="65"/>
      <c r="N386" s="72"/>
      <c r="O386" s="70"/>
      <c r="P386" s="71"/>
      <c r="Q386" s="66"/>
      <c r="R386" s="66"/>
    </row>
    <row r="387" spans="1:18" ht="15.75" customHeight="1">
      <c r="A387" s="65"/>
      <c r="B387" s="68"/>
      <c r="C387" s="64"/>
      <c r="D387" s="68"/>
      <c r="E387" s="69"/>
      <c r="F387" s="65"/>
      <c r="G387" s="65"/>
      <c r="H387" s="65"/>
      <c r="I387" s="65"/>
      <c r="J387" s="65"/>
      <c r="K387" s="67"/>
      <c r="L387" s="67"/>
      <c r="M387" s="65"/>
      <c r="N387" s="72"/>
      <c r="O387" s="70"/>
      <c r="P387" s="71"/>
      <c r="Q387" s="66"/>
      <c r="R387" s="66"/>
    </row>
    <row r="388" spans="1:18" ht="15.75" customHeight="1">
      <c r="A388" s="65"/>
      <c r="B388" s="68"/>
      <c r="C388" s="64"/>
      <c r="D388" s="68"/>
      <c r="E388" s="69"/>
      <c r="F388" s="65"/>
      <c r="G388" s="65"/>
      <c r="H388" s="65"/>
      <c r="I388" s="65"/>
      <c r="J388" s="65"/>
      <c r="K388" s="67"/>
      <c r="L388" s="67"/>
      <c r="M388" s="65"/>
      <c r="N388" s="72"/>
      <c r="O388" s="70"/>
      <c r="P388" s="71"/>
      <c r="Q388" s="66"/>
      <c r="R388" s="66"/>
    </row>
    <row r="389" spans="1:18" ht="15.75" customHeight="1">
      <c r="A389" s="65"/>
      <c r="B389" s="68"/>
      <c r="C389" s="64"/>
      <c r="D389" s="68"/>
      <c r="E389" s="69"/>
      <c r="F389" s="65"/>
      <c r="G389" s="65"/>
      <c r="H389" s="65"/>
      <c r="I389" s="65"/>
      <c r="J389" s="65"/>
      <c r="K389" s="67"/>
      <c r="L389" s="67"/>
      <c r="M389" s="65"/>
      <c r="N389" s="72"/>
      <c r="O389" s="70"/>
      <c r="P389" s="71"/>
      <c r="Q389" s="66"/>
      <c r="R389" s="66"/>
    </row>
    <row r="390" spans="1:18" ht="15.75" customHeight="1">
      <c r="A390" s="65"/>
      <c r="B390" s="68"/>
      <c r="C390" s="64"/>
      <c r="D390" s="68"/>
      <c r="E390" s="69"/>
      <c r="F390" s="65"/>
      <c r="G390" s="65"/>
      <c r="H390" s="65"/>
      <c r="I390" s="65"/>
      <c r="J390" s="65"/>
      <c r="K390" s="67"/>
      <c r="L390" s="67"/>
      <c r="M390" s="65"/>
      <c r="N390" s="72"/>
      <c r="O390" s="70"/>
      <c r="P390" s="71"/>
      <c r="Q390" s="66"/>
      <c r="R390" s="66"/>
    </row>
    <row r="391" spans="1:18" ht="15.75" customHeight="1">
      <c r="A391" s="65"/>
      <c r="B391" s="68"/>
      <c r="C391" s="64"/>
      <c r="D391" s="68"/>
      <c r="E391" s="69"/>
      <c r="F391" s="65"/>
      <c r="G391" s="65"/>
      <c r="H391" s="65"/>
      <c r="I391" s="65"/>
      <c r="J391" s="65"/>
      <c r="K391" s="67"/>
      <c r="L391" s="67"/>
      <c r="M391" s="65"/>
      <c r="N391" s="72"/>
      <c r="O391" s="70"/>
      <c r="P391" s="71"/>
      <c r="Q391" s="66"/>
      <c r="R391" s="66"/>
    </row>
    <row r="392" spans="1:18" ht="15.75" customHeight="1">
      <c r="A392" s="65"/>
      <c r="B392" s="68"/>
      <c r="C392" s="64"/>
      <c r="D392" s="68"/>
      <c r="E392" s="69"/>
      <c r="F392" s="65"/>
      <c r="G392" s="65"/>
      <c r="H392" s="65"/>
      <c r="I392" s="65"/>
      <c r="J392" s="65"/>
      <c r="K392" s="67"/>
      <c r="L392" s="67"/>
      <c r="M392" s="65"/>
      <c r="N392" s="72"/>
      <c r="O392" s="70"/>
      <c r="P392" s="71"/>
      <c r="Q392" s="66"/>
      <c r="R392" s="66"/>
    </row>
    <row r="393" spans="1:18" ht="15.75" customHeight="1">
      <c r="A393" s="65"/>
      <c r="B393" s="68"/>
      <c r="C393" s="64"/>
      <c r="D393" s="68"/>
      <c r="E393" s="69"/>
      <c r="F393" s="65"/>
      <c r="G393" s="65"/>
      <c r="H393" s="65"/>
      <c r="I393" s="65"/>
      <c r="J393" s="65"/>
      <c r="K393" s="67"/>
      <c r="L393" s="67"/>
      <c r="M393" s="65"/>
      <c r="N393" s="72"/>
      <c r="O393" s="70"/>
      <c r="P393" s="71"/>
      <c r="Q393" s="66"/>
      <c r="R393" s="66"/>
    </row>
    <row r="394" spans="1:18" ht="15.75" customHeight="1">
      <c r="A394" s="65"/>
      <c r="B394" s="68"/>
      <c r="C394" s="64"/>
      <c r="D394" s="68"/>
      <c r="E394" s="69"/>
      <c r="F394" s="65"/>
      <c r="G394" s="65"/>
      <c r="H394" s="65"/>
      <c r="I394" s="65"/>
      <c r="J394" s="65"/>
      <c r="K394" s="67"/>
      <c r="L394" s="67"/>
      <c r="M394" s="65"/>
      <c r="N394" s="72"/>
      <c r="O394" s="70"/>
      <c r="P394" s="71"/>
      <c r="Q394" s="66"/>
      <c r="R394" s="66"/>
    </row>
    <row r="395" spans="1:18" ht="15.75" customHeight="1">
      <c r="A395" s="65"/>
      <c r="B395" s="68"/>
      <c r="C395" s="64"/>
      <c r="D395" s="68"/>
      <c r="E395" s="69"/>
      <c r="F395" s="65"/>
      <c r="G395" s="65"/>
      <c r="H395" s="65"/>
      <c r="I395" s="65"/>
      <c r="J395" s="65"/>
      <c r="K395" s="67"/>
      <c r="L395" s="67"/>
      <c r="M395" s="65"/>
      <c r="N395" s="72"/>
      <c r="O395" s="70"/>
      <c r="P395" s="71"/>
      <c r="Q395" s="66"/>
      <c r="R395" s="66"/>
    </row>
    <row r="396" spans="1:18" ht="15.75" customHeight="1">
      <c r="A396" s="65"/>
      <c r="B396" s="68"/>
      <c r="C396" s="64"/>
      <c r="D396" s="68"/>
      <c r="E396" s="69"/>
      <c r="F396" s="65"/>
      <c r="G396" s="65"/>
      <c r="H396" s="65"/>
      <c r="I396" s="65"/>
      <c r="J396" s="65"/>
      <c r="K396" s="67"/>
      <c r="L396" s="67"/>
      <c r="M396" s="65"/>
      <c r="N396" s="72"/>
      <c r="O396" s="70"/>
      <c r="P396" s="71"/>
      <c r="Q396" s="66"/>
      <c r="R396" s="66"/>
    </row>
    <row r="397" spans="1:18" ht="15.75" customHeight="1">
      <c r="A397" s="65"/>
      <c r="B397" s="68"/>
      <c r="C397" s="64"/>
      <c r="D397" s="68"/>
      <c r="E397" s="69"/>
      <c r="F397" s="65"/>
      <c r="G397" s="65"/>
      <c r="H397" s="65"/>
      <c r="I397" s="65"/>
      <c r="J397" s="65"/>
      <c r="K397" s="67"/>
      <c r="L397" s="67"/>
      <c r="M397" s="65"/>
      <c r="N397" s="72"/>
      <c r="O397" s="70"/>
      <c r="P397" s="71"/>
      <c r="Q397" s="66"/>
      <c r="R397" s="66"/>
    </row>
    <row r="398" spans="1:18" ht="15.75" customHeight="1">
      <c r="A398" s="65"/>
      <c r="B398" s="68"/>
      <c r="C398" s="64"/>
      <c r="D398" s="68"/>
      <c r="E398" s="69"/>
      <c r="F398" s="65"/>
      <c r="G398" s="65"/>
      <c r="H398" s="65"/>
      <c r="I398" s="65"/>
      <c r="J398" s="65"/>
      <c r="K398" s="67"/>
      <c r="L398" s="67"/>
      <c r="M398" s="65"/>
      <c r="N398" s="72"/>
      <c r="O398" s="70"/>
      <c r="P398" s="71"/>
      <c r="Q398" s="66"/>
      <c r="R398" s="66"/>
    </row>
    <row r="399" spans="1:18" ht="15.75" customHeight="1">
      <c r="A399" s="65"/>
      <c r="B399" s="68"/>
      <c r="C399" s="64"/>
      <c r="D399" s="68"/>
      <c r="E399" s="69"/>
      <c r="F399" s="65"/>
      <c r="G399" s="65"/>
      <c r="H399" s="65"/>
      <c r="I399" s="65"/>
      <c r="J399" s="65"/>
      <c r="K399" s="67"/>
      <c r="L399" s="67"/>
      <c r="M399" s="65"/>
      <c r="N399" s="72"/>
      <c r="O399" s="70"/>
      <c r="P399" s="71"/>
      <c r="Q399" s="66"/>
      <c r="R399" s="66"/>
    </row>
    <row r="400" spans="1:18" ht="15.75" customHeight="1">
      <c r="A400" s="65"/>
      <c r="B400" s="68"/>
      <c r="C400" s="64"/>
      <c r="D400" s="68"/>
      <c r="E400" s="69"/>
      <c r="F400" s="65"/>
      <c r="G400" s="65"/>
      <c r="H400" s="65"/>
      <c r="I400" s="65"/>
      <c r="J400" s="65"/>
      <c r="K400" s="67"/>
      <c r="L400" s="67"/>
      <c r="M400" s="65"/>
      <c r="N400" s="72"/>
      <c r="O400" s="70"/>
      <c r="P400" s="71"/>
      <c r="Q400" s="66"/>
      <c r="R400" s="66"/>
    </row>
    <row r="401" spans="1:18" ht="15.75" customHeight="1">
      <c r="A401" s="65"/>
      <c r="B401" s="68"/>
      <c r="C401" s="64"/>
      <c r="D401" s="68"/>
      <c r="E401" s="69"/>
      <c r="F401" s="65"/>
      <c r="G401" s="65"/>
      <c r="H401" s="65"/>
      <c r="I401" s="65"/>
      <c r="J401" s="65"/>
      <c r="K401" s="67"/>
      <c r="L401" s="67"/>
      <c r="M401" s="65"/>
      <c r="N401" s="72"/>
      <c r="O401" s="70"/>
      <c r="P401" s="71"/>
      <c r="Q401" s="66"/>
      <c r="R401" s="66"/>
    </row>
    <row r="402" spans="1:18" ht="15.75" customHeight="1">
      <c r="A402" s="65"/>
      <c r="B402" s="68"/>
      <c r="C402" s="64"/>
      <c r="D402" s="68"/>
      <c r="E402" s="69"/>
      <c r="F402" s="65"/>
      <c r="G402" s="65"/>
      <c r="H402" s="65"/>
      <c r="I402" s="65"/>
      <c r="J402" s="65"/>
      <c r="K402" s="67"/>
      <c r="L402" s="67"/>
      <c r="M402" s="65"/>
      <c r="N402" s="72"/>
      <c r="O402" s="70"/>
      <c r="P402" s="71"/>
      <c r="Q402" s="66"/>
      <c r="R402" s="66"/>
    </row>
    <row r="403" spans="1:18" ht="15.75" customHeight="1">
      <c r="A403" s="65"/>
      <c r="B403" s="68"/>
      <c r="C403" s="64"/>
      <c r="D403" s="68"/>
      <c r="E403" s="69"/>
      <c r="F403" s="65"/>
      <c r="G403" s="65"/>
      <c r="H403" s="65"/>
      <c r="I403" s="65"/>
      <c r="J403" s="65"/>
      <c r="K403" s="67"/>
      <c r="L403" s="67"/>
      <c r="M403" s="65"/>
      <c r="N403" s="72"/>
      <c r="O403" s="70"/>
      <c r="P403" s="71"/>
      <c r="Q403" s="66"/>
      <c r="R403" s="66"/>
    </row>
    <row r="404" spans="1:18" ht="15.75" customHeight="1">
      <c r="A404" s="65"/>
      <c r="B404" s="68"/>
      <c r="C404" s="64"/>
      <c r="D404" s="68"/>
      <c r="E404" s="69"/>
      <c r="F404" s="65"/>
      <c r="G404" s="65"/>
      <c r="H404" s="65"/>
      <c r="I404" s="65"/>
      <c r="J404" s="65"/>
      <c r="K404" s="67"/>
      <c r="L404" s="67"/>
      <c r="M404" s="65"/>
      <c r="N404" s="72"/>
      <c r="O404" s="70"/>
      <c r="P404" s="71"/>
      <c r="Q404" s="66"/>
      <c r="R404" s="66"/>
    </row>
    <row r="405" spans="1:18" ht="15.75" customHeight="1">
      <c r="A405" s="65"/>
      <c r="B405" s="68"/>
      <c r="C405" s="64"/>
      <c r="D405" s="68"/>
      <c r="E405" s="69"/>
      <c r="F405" s="65"/>
      <c r="G405" s="65"/>
      <c r="H405" s="65"/>
      <c r="I405" s="65"/>
      <c r="J405" s="65"/>
      <c r="K405" s="67"/>
      <c r="L405" s="67"/>
      <c r="M405" s="65"/>
      <c r="N405" s="72"/>
      <c r="O405" s="70"/>
      <c r="P405" s="71"/>
      <c r="Q405" s="66"/>
      <c r="R405" s="66"/>
    </row>
    <row r="406" spans="1:18" ht="15.75" customHeight="1">
      <c r="E406" s="73"/>
      <c r="M406" s="74"/>
      <c r="N406" s="75"/>
      <c r="O406" s="76"/>
      <c r="Q406" s="77"/>
      <c r="R406" s="77"/>
    </row>
    <row r="407" spans="1:18" ht="15.75" customHeight="1">
      <c r="E407" s="73"/>
      <c r="M407" s="74"/>
      <c r="N407" s="75"/>
      <c r="O407" s="76"/>
      <c r="Q407" s="77"/>
      <c r="R407" s="77"/>
    </row>
    <row r="408" spans="1:18" ht="15.75" customHeight="1">
      <c r="E408" s="73"/>
      <c r="M408" s="74"/>
      <c r="N408" s="75"/>
      <c r="O408" s="76"/>
      <c r="Q408" s="77"/>
      <c r="R408" s="77"/>
    </row>
    <row r="409" spans="1:18" ht="15.75" customHeight="1">
      <c r="E409" s="73"/>
      <c r="M409" s="74"/>
      <c r="N409" s="75"/>
      <c r="O409" s="76"/>
      <c r="Q409" s="77"/>
      <c r="R409" s="77"/>
    </row>
    <row r="410" spans="1:18" ht="15.75" customHeight="1">
      <c r="E410" s="73"/>
      <c r="M410" s="74"/>
      <c r="N410" s="75"/>
      <c r="O410" s="76"/>
      <c r="Q410" s="77"/>
      <c r="R410" s="77"/>
    </row>
    <row r="411" spans="1:18" ht="15.75" customHeight="1">
      <c r="E411" s="73"/>
      <c r="M411" s="74"/>
      <c r="N411" s="75"/>
      <c r="O411" s="76"/>
      <c r="Q411" s="77"/>
      <c r="R411" s="77"/>
    </row>
    <row r="412" spans="1:18" ht="15.75" customHeight="1">
      <c r="E412" s="73"/>
      <c r="M412" s="74"/>
      <c r="N412" s="75"/>
      <c r="O412" s="76"/>
      <c r="Q412" s="77"/>
      <c r="R412" s="77"/>
    </row>
    <row r="413" spans="1:18" ht="15.75" customHeight="1">
      <c r="E413" s="73"/>
      <c r="M413" s="74"/>
      <c r="N413" s="75"/>
      <c r="O413" s="76"/>
      <c r="Q413" s="77"/>
      <c r="R413" s="77"/>
    </row>
    <row r="414" spans="1:18" ht="15.75" customHeight="1">
      <c r="E414" s="73"/>
      <c r="M414" s="74"/>
      <c r="N414" s="75"/>
      <c r="O414" s="76"/>
      <c r="Q414" s="77"/>
      <c r="R414" s="77"/>
    </row>
    <row r="415" spans="1:18" ht="15.75" customHeight="1">
      <c r="E415" s="73"/>
      <c r="M415" s="74"/>
      <c r="N415" s="75"/>
      <c r="O415" s="76"/>
      <c r="Q415" s="77"/>
      <c r="R415" s="77"/>
    </row>
    <row r="416" spans="1:18" ht="15.75" customHeight="1">
      <c r="E416" s="73"/>
      <c r="M416" s="74"/>
      <c r="N416" s="75"/>
      <c r="O416" s="76"/>
      <c r="Q416" s="77"/>
      <c r="R416" s="77"/>
    </row>
    <row r="417" spans="5:18" ht="15.75" customHeight="1">
      <c r="E417" s="73"/>
      <c r="M417" s="74"/>
      <c r="N417" s="75"/>
      <c r="O417" s="76"/>
      <c r="Q417" s="77"/>
      <c r="R417" s="77"/>
    </row>
    <row r="418" spans="5:18" ht="15.75" customHeight="1">
      <c r="E418" s="73"/>
      <c r="M418" s="74"/>
      <c r="N418" s="75"/>
      <c r="O418" s="76"/>
      <c r="Q418" s="77"/>
      <c r="R418" s="77"/>
    </row>
    <row r="419" spans="5:18" ht="15.75" customHeight="1">
      <c r="E419" s="73"/>
      <c r="M419" s="74"/>
      <c r="N419" s="75"/>
      <c r="O419" s="76"/>
      <c r="Q419" s="77"/>
      <c r="R419" s="77"/>
    </row>
    <row r="420" spans="5:18" ht="15.75" customHeight="1">
      <c r="E420" s="73"/>
      <c r="M420" s="74"/>
      <c r="N420" s="75"/>
      <c r="O420" s="76"/>
      <c r="Q420" s="77"/>
      <c r="R420" s="77"/>
    </row>
    <row r="421" spans="5:18" ht="15.75" customHeight="1">
      <c r="E421" s="73"/>
      <c r="M421" s="74"/>
      <c r="N421" s="75"/>
      <c r="O421" s="76"/>
      <c r="Q421" s="77"/>
      <c r="R421" s="77"/>
    </row>
    <row r="422" spans="5:18" ht="15.75" customHeight="1">
      <c r="E422" s="73"/>
      <c r="M422" s="74"/>
      <c r="N422" s="75"/>
      <c r="O422" s="76"/>
      <c r="Q422" s="77"/>
      <c r="R422" s="77"/>
    </row>
    <row r="423" spans="5:18" ht="15.75" customHeight="1">
      <c r="E423" s="73"/>
      <c r="M423" s="74"/>
      <c r="N423" s="75"/>
      <c r="O423" s="76"/>
      <c r="Q423" s="77"/>
      <c r="R423" s="77"/>
    </row>
    <row r="424" spans="5:18" ht="15.75" customHeight="1">
      <c r="E424" s="73"/>
      <c r="M424" s="74"/>
      <c r="N424" s="75"/>
      <c r="O424" s="76"/>
      <c r="Q424" s="77"/>
      <c r="R424" s="77"/>
    </row>
    <row r="425" spans="5:18" ht="15.75" customHeight="1">
      <c r="E425" s="73"/>
      <c r="M425" s="74"/>
      <c r="N425" s="75"/>
      <c r="O425" s="76"/>
      <c r="Q425" s="77"/>
      <c r="R425" s="77"/>
    </row>
    <row r="426" spans="5:18" ht="15.75" customHeight="1">
      <c r="E426" s="73"/>
      <c r="M426" s="74"/>
      <c r="N426" s="75"/>
      <c r="O426" s="76"/>
      <c r="Q426" s="77"/>
      <c r="R426" s="77"/>
    </row>
    <row r="427" spans="5:18" ht="15.75" customHeight="1">
      <c r="E427" s="73"/>
      <c r="M427" s="74"/>
      <c r="N427" s="75"/>
      <c r="O427" s="76"/>
      <c r="Q427" s="77"/>
      <c r="R427" s="77"/>
    </row>
    <row r="428" spans="5:18" ht="15.75" customHeight="1">
      <c r="E428" s="73"/>
      <c r="M428" s="74"/>
      <c r="N428" s="75"/>
      <c r="O428" s="76"/>
      <c r="Q428" s="77"/>
      <c r="R428" s="77"/>
    </row>
    <row r="429" spans="5:18" ht="15.75" customHeight="1">
      <c r="E429" s="73"/>
      <c r="M429" s="74"/>
      <c r="N429" s="75"/>
      <c r="O429" s="76"/>
      <c r="Q429" s="77"/>
      <c r="R429" s="77"/>
    </row>
    <row r="430" spans="5:18" ht="15.75" customHeight="1">
      <c r="E430" s="73"/>
      <c r="M430" s="74"/>
      <c r="N430" s="75"/>
      <c r="O430" s="76"/>
      <c r="Q430" s="77"/>
      <c r="R430" s="77"/>
    </row>
    <row r="431" spans="5:18" ht="15.75" customHeight="1">
      <c r="E431" s="73"/>
      <c r="M431" s="74"/>
      <c r="N431" s="75"/>
      <c r="O431" s="76"/>
      <c r="Q431" s="77"/>
      <c r="R431" s="77"/>
    </row>
    <row r="432" spans="5:18" ht="15.75" customHeight="1">
      <c r="E432" s="73"/>
      <c r="M432" s="74"/>
      <c r="N432" s="75"/>
      <c r="O432" s="76"/>
      <c r="Q432" s="77"/>
      <c r="R432" s="77"/>
    </row>
    <row r="433" spans="5:18" ht="15.75" customHeight="1">
      <c r="E433" s="73"/>
      <c r="M433" s="74"/>
      <c r="N433" s="75"/>
      <c r="O433" s="76"/>
      <c r="Q433" s="77"/>
      <c r="R433" s="77"/>
    </row>
    <row r="434" spans="5:18" ht="15.75" customHeight="1">
      <c r="E434" s="73"/>
      <c r="M434" s="74"/>
      <c r="N434" s="75"/>
      <c r="O434" s="76"/>
      <c r="Q434" s="77"/>
      <c r="R434" s="77"/>
    </row>
    <row r="435" spans="5:18" ht="15.75" customHeight="1">
      <c r="E435" s="73"/>
      <c r="M435" s="74"/>
      <c r="N435" s="75"/>
      <c r="O435" s="76"/>
      <c r="Q435" s="77"/>
      <c r="R435" s="77"/>
    </row>
    <row r="436" spans="5:18" ht="15.75" customHeight="1">
      <c r="E436" s="73"/>
      <c r="M436" s="74"/>
      <c r="N436" s="75"/>
      <c r="O436" s="76"/>
      <c r="Q436" s="77"/>
      <c r="R436" s="77"/>
    </row>
    <row r="437" spans="5:18" ht="15.75" customHeight="1">
      <c r="E437" s="73"/>
      <c r="M437" s="74"/>
      <c r="N437" s="75"/>
      <c r="O437" s="76"/>
      <c r="Q437" s="77"/>
      <c r="R437" s="77"/>
    </row>
    <row r="438" spans="5:18" ht="15.75" customHeight="1">
      <c r="E438" s="73"/>
      <c r="M438" s="74"/>
      <c r="N438" s="75"/>
      <c r="O438" s="76"/>
      <c r="Q438" s="77"/>
      <c r="R438" s="77"/>
    </row>
    <row r="439" spans="5:18" ht="15.75" customHeight="1">
      <c r="E439" s="73"/>
      <c r="M439" s="74"/>
      <c r="N439" s="75"/>
      <c r="O439" s="76"/>
      <c r="Q439" s="77"/>
      <c r="R439" s="77"/>
    </row>
    <row r="440" spans="5:18" ht="15.75" customHeight="1">
      <c r="E440" s="73"/>
      <c r="M440" s="74"/>
      <c r="N440" s="75"/>
      <c r="O440" s="76"/>
      <c r="Q440" s="77"/>
      <c r="R440" s="77"/>
    </row>
    <row r="441" spans="5:18" ht="15.75" customHeight="1">
      <c r="E441" s="73"/>
      <c r="M441" s="74"/>
      <c r="N441" s="75"/>
      <c r="O441" s="76"/>
      <c r="Q441" s="77"/>
      <c r="R441" s="77"/>
    </row>
    <row r="442" spans="5:18" ht="15.75" customHeight="1">
      <c r="E442" s="73"/>
      <c r="M442" s="74"/>
      <c r="N442" s="75"/>
      <c r="O442" s="76"/>
      <c r="Q442" s="77"/>
      <c r="R442" s="77"/>
    </row>
    <row r="443" spans="5:18" ht="15.75" customHeight="1">
      <c r="E443" s="73"/>
      <c r="M443" s="74"/>
      <c r="N443" s="75"/>
      <c r="O443" s="76"/>
      <c r="Q443" s="77"/>
      <c r="R443" s="77"/>
    </row>
    <row r="444" spans="5:18" ht="15.75" customHeight="1">
      <c r="E444" s="73"/>
      <c r="M444" s="74"/>
      <c r="N444" s="75"/>
      <c r="O444" s="76"/>
      <c r="Q444" s="77"/>
      <c r="R444" s="77"/>
    </row>
    <row r="445" spans="5:18" ht="15.75" customHeight="1">
      <c r="E445" s="73"/>
      <c r="M445" s="74"/>
      <c r="N445" s="75"/>
      <c r="O445" s="76"/>
      <c r="Q445" s="77"/>
      <c r="R445" s="77"/>
    </row>
    <row r="446" spans="5:18" ht="15.75" customHeight="1">
      <c r="E446" s="73"/>
      <c r="M446" s="74"/>
      <c r="N446" s="75"/>
      <c r="O446" s="76"/>
      <c r="Q446" s="77"/>
      <c r="R446" s="77"/>
    </row>
    <row r="447" spans="5:18" ht="15.75" customHeight="1">
      <c r="E447" s="73"/>
      <c r="M447" s="74"/>
      <c r="N447" s="75"/>
      <c r="O447" s="76"/>
      <c r="Q447" s="77"/>
      <c r="R447" s="77"/>
    </row>
    <row r="448" spans="5:18" ht="15.75" customHeight="1">
      <c r="E448" s="73"/>
      <c r="M448" s="74"/>
      <c r="N448" s="75"/>
      <c r="O448" s="76"/>
      <c r="Q448" s="77"/>
      <c r="R448" s="77"/>
    </row>
    <row r="449" spans="5:18" ht="15.75" customHeight="1">
      <c r="E449" s="73"/>
      <c r="M449" s="74"/>
      <c r="N449" s="75"/>
      <c r="O449" s="76"/>
      <c r="Q449" s="77"/>
      <c r="R449" s="77"/>
    </row>
    <row r="450" spans="5:18" ht="15.75" customHeight="1">
      <c r="E450" s="73"/>
      <c r="M450" s="74"/>
      <c r="N450" s="75"/>
      <c r="O450" s="76"/>
      <c r="Q450" s="77"/>
      <c r="R450" s="77"/>
    </row>
    <row r="451" spans="5:18" ht="15.75" customHeight="1">
      <c r="E451" s="73"/>
      <c r="M451" s="74"/>
      <c r="N451" s="75"/>
      <c r="O451" s="76"/>
      <c r="Q451" s="77"/>
      <c r="R451" s="77"/>
    </row>
    <row r="452" spans="5:18" ht="15.75" customHeight="1">
      <c r="E452" s="73"/>
      <c r="M452" s="74"/>
      <c r="N452" s="75"/>
      <c r="O452" s="76"/>
      <c r="Q452" s="77"/>
      <c r="R452" s="77"/>
    </row>
    <row r="453" spans="5:18" ht="15.75" customHeight="1">
      <c r="E453" s="73"/>
      <c r="M453" s="74"/>
      <c r="N453" s="75"/>
      <c r="O453" s="76"/>
      <c r="Q453" s="77"/>
      <c r="R453" s="77"/>
    </row>
    <row r="454" spans="5:18" ht="15.75" customHeight="1">
      <c r="E454" s="73"/>
      <c r="M454" s="74"/>
      <c r="N454" s="75"/>
      <c r="O454" s="76"/>
      <c r="Q454" s="77"/>
      <c r="R454" s="77"/>
    </row>
    <row r="455" spans="5:18" ht="15.75" customHeight="1">
      <c r="E455" s="73"/>
      <c r="M455" s="74"/>
      <c r="N455" s="75"/>
      <c r="O455" s="76"/>
      <c r="Q455" s="77"/>
      <c r="R455" s="77"/>
    </row>
    <row r="456" spans="5:18" ht="15.75" customHeight="1">
      <c r="E456" s="73"/>
      <c r="M456" s="74"/>
      <c r="N456" s="75"/>
      <c r="O456" s="76"/>
      <c r="Q456" s="77"/>
      <c r="R456" s="77"/>
    </row>
    <row r="457" spans="5:18" ht="15.75" customHeight="1">
      <c r="E457" s="73"/>
      <c r="M457" s="74"/>
      <c r="N457" s="75"/>
      <c r="O457" s="76"/>
      <c r="Q457" s="77"/>
      <c r="R457" s="77"/>
    </row>
    <row r="458" spans="5:18" ht="15.75" customHeight="1">
      <c r="E458" s="73"/>
      <c r="M458" s="74"/>
      <c r="N458" s="75"/>
      <c r="O458" s="76"/>
      <c r="Q458" s="77"/>
      <c r="R458" s="77"/>
    </row>
    <row r="459" spans="5:18" ht="15.75" customHeight="1">
      <c r="E459" s="73"/>
      <c r="M459" s="74"/>
      <c r="N459" s="75"/>
      <c r="O459" s="76"/>
      <c r="Q459" s="77"/>
      <c r="R459" s="77"/>
    </row>
    <row r="460" spans="5:18" ht="15.75" customHeight="1">
      <c r="E460" s="73"/>
      <c r="M460" s="74"/>
      <c r="N460" s="75"/>
      <c r="O460" s="76"/>
      <c r="Q460" s="77"/>
      <c r="R460" s="77"/>
    </row>
    <row r="461" spans="5:18" ht="15.75" customHeight="1">
      <c r="E461" s="73"/>
      <c r="M461" s="74"/>
      <c r="N461" s="75"/>
      <c r="O461" s="76"/>
      <c r="Q461" s="77"/>
      <c r="R461" s="77"/>
    </row>
    <row r="462" spans="5:18" ht="15.75" customHeight="1">
      <c r="E462" s="73"/>
      <c r="M462" s="74"/>
      <c r="N462" s="75"/>
      <c r="O462" s="76"/>
      <c r="Q462" s="77"/>
      <c r="R462" s="77"/>
    </row>
    <row r="463" spans="5:18" ht="15.75" customHeight="1">
      <c r="E463" s="73"/>
      <c r="M463" s="74"/>
      <c r="N463" s="75"/>
      <c r="O463" s="76"/>
      <c r="Q463" s="77"/>
      <c r="R463" s="77"/>
    </row>
    <row r="464" spans="5:18" ht="15.75" customHeight="1">
      <c r="E464" s="73"/>
      <c r="M464" s="74"/>
      <c r="N464" s="75"/>
      <c r="O464" s="76"/>
      <c r="Q464" s="77"/>
      <c r="R464" s="77"/>
    </row>
    <row r="465" spans="5:18" ht="15.75" customHeight="1">
      <c r="E465" s="73"/>
      <c r="M465" s="74"/>
      <c r="N465" s="75"/>
      <c r="O465" s="76"/>
      <c r="Q465" s="77"/>
      <c r="R465" s="77"/>
    </row>
    <row r="466" spans="5:18" ht="15.75" customHeight="1">
      <c r="E466" s="73"/>
      <c r="M466" s="74"/>
      <c r="N466" s="75"/>
      <c r="O466" s="76"/>
      <c r="Q466" s="77"/>
      <c r="R466" s="77"/>
    </row>
    <row r="467" spans="5:18" ht="15.75" customHeight="1">
      <c r="E467" s="73"/>
      <c r="M467" s="74"/>
      <c r="N467" s="75"/>
      <c r="O467" s="76"/>
      <c r="Q467" s="77"/>
      <c r="R467" s="77"/>
    </row>
    <row r="468" spans="5:18" ht="15.75" customHeight="1">
      <c r="E468" s="73"/>
      <c r="M468" s="74"/>
      <c r="N468" s="75"/>
      <c r="O468" s="76"/>
      <c r="Q468" s="77"/>
      <c r="R468" s="77"/>
    </row>
    <row r="469" spans="5:18" ht="15.75" customHeight="1">
      <c r="E469" s="73"/>
      <c r="M469" s="74"/>
      <c r="N469" s="75"/>
      <c r="O469" s="76"/>
      <c r="Q469" s="77"/>
      <c r="R469" s="77"/>
    </row>
    <row r="470" spans="5:18" ht="15.75" customHeight="1">
      <c r="E470" s="73"/>
      <c r="M470" s="74"/>
      <c r="N470" s="75"/>
      <c r="O470" s="76"/>
      <c r="Q470" s="77"/>
      <c r="R470" s="77"/>
    </row>
    <row r="471" spans="5:18" ht="15.75" customHeight="1">
      <c r="E471" s="73"/>
      <c r="M471" s="74"/>
      <c r="N471" s="75"/>
      <c r="O471" s="76"/>
      <c r="Q471" s="77"/>
      <c r="R471" s="77"/>
    </row>
    <row r="472" spans="5:18" ht="15.75" customHeight="1">
      <c r="E472" s="73"/>
      <c r="M472" s="74"/>
      <c r="N472" s="75"/>
      <c r="O472" s="76"/>
      <c r="Q472" s="77"/>
      <c r="R472" s="77"/>
    </row>
    <row r="473" spans="5:18" ht="15.75" customHeight="1">
      <c r="E473" s="73"/>
      <c r="M473" s="74"/>
      <c r="N473" s="75"/>
      <c r="O473" s="76"/>
      <c r="Q473" s="77"/>
      <c r="R473" s="77"/>
    </row>
    <row r="474" spans="5:18" ht="15.75" customHeight="1">
      <c r="E474" s="73"/>
      <c r="M474" s="74"/>
      <c r="N474" s="75"/>
      <c r="O474" s="76"/>
      <c r="Q474" s="77"/>
      <c r="R474" s="77"/>
    </row>
    <row r="475" spans="5:18" ht="15.75" customHeight="1">
      <c r="E475" s="73"/>
      <c r="M475" s="74"/>
      <c r="N475" s="75"/>
      <c r="O475" s="76"/>
      <c r="Q475" s="77"/>
      <c r="R475" s="77"/>
    </row>
    <row r="476" spans="5:18" ht="15.75" customHeight="1">
      <c r="E476" s="73"/>
      <c r="M476" s="74"/>
      <c r="N476" s="75"/>
      <c r="O476" s="76"/>
      <c r="Q476" s="77"/>
      <c r="R476" s="77"/>
    </row>
    <row r="477" spans="5:18" ht="15.75" customHeight="1">
      <c r="E477" s="73"/>
      <c r="M477" s="74"/>
      <c r="N477" s="75"/>
      <c r="O477" s="76"/>
      <c r="Q477" s="77"/>
      <c r="R477" s="77"/>
    </row>
    <row r="478" spans="5:18" ht="15.75" customHeight="1">
      <c r="E478" s="73"/>
      <c r="M478" s="74"/>
      <c r="N478" s="75"/>
      <c r="O478" s="76"/>
      <c r="Q478" s="77"/>
      <c r="R478" s="77"/>
    </row>
    <row r="479" spans="5:18" ht="15.75" customHeight="1">
      <c r="E479" s="73"/>
      <c r="M479" s="74"/>
      <c r="N479" s="75"/>
      <c r="O479" s="76"/>
      <c r="Q479" s="77"/>
      <c r="R479" s="77"/>
    </row>
    <row r="480" spans="5:18" ht="15.75" customHeight="1">
      <c r="E480" s="73"/>
      <c r="M480" s="74"/>
      <c r="N480" s="75"/>
      <c r="O480" s="76"/>
      <c r="Q480" s="77"/>
      <c r="R480" s="77"/>
    </row>
    <row r="481" spans="5:18" ht="15.75" customHeight="1">
      <c r="E481" s="73"/>
      <c r="M481" s="74"/>
      <c r="N481" s="75"/>
      <c r="O481" s="76"/>
      <c r="Q481" s="77"/>
      <c r="R481" s="77"/>
    </row>
    <row r="482" spans="5:18" ht="15.75" customHeight="1">
      <c r="E482" s="73"/>
      <c r="M482" s="74"/>
      <c r="N482" s="75"/>
      <c r="O482" s="76"/>
      <c r="Q482" s="77"/>
      <c r="R482" s="77"/>
    </row>
    <row r="483" spans="5:18" ht="15.75" customHeight="1">
      <c r="E483" s="73"/>
      <c r="M483" s="74"/>
      <c r="N483" s="75"/>
      <c r="O483" s="76"/>
      <c r="Q483" s="77"/>
      <c r="R483" s="77"/>
    </row>
    <row r="484" spans="5:18" ht="15.75" customHeight="1">
      <c r="E484" s="73"/>
      <c r="M484" s="74"/>
      <c r="N484" s="75"/>
      <c r="O484" s="76"/>
      <c r="Q484" s="77"/>
      <c r="R484" s="77"/>
    </row>
    <row r="485" spans="5:18" ht="15.75" customHeight="1">
      <c r="E485" s="73"/>
      <c r="M485" s="74"/>
      <c r="N485" s="75"/>
      <c r="O485" s="76"/>
      <c r="Q485" s="77"/>
      <c r="R485" s="77"/>
    </row>
    <row r="486" spans="5:18" ht="15.75" customHeight="1">
      <c r="E486" s="73"/>
      <c r="M486" s="74"/>
      <c r="N486" s="75"/>
      <c r="O486" s="76"/>
      <c r="Q486" s="77"/>
      <c r="R486" s="77"/>
    </row>
    <row r="487" spans="5:18" ht="15.75" customHeight="1">
      <c r="E487" s="73"/>
      <c r="M487" s="74"/>
      <c r="N487" s="75"/>
      <c r="O487" s="76"/>
      <c r="Q487" s="77"/>
      <c r="R487" s="77"/>
    </row>
    <row r="488" spans="5:18" ht="15.75" customHeight="1">
      <c r="E488" s="73"/>
      <c r="M488" s="74"/>
      <c r="N488" s="75"/>
      <c r="O488" s="76"/>
      <c r="Q488" s="77"/>
      <c r="R488" s="77"/>
    </row>
    <row r="489" spans="5:18" ht="15.75" customHeight="1">
      <c r="E489" s="73"/>
      <c r="M489" s="74"/>
      <c r="N489" s="75"/>
      <c r="O489" s="76"/>
      <c r="Q489" s="77"/>
      <c r="R489" s="77"/>
    </row>
    <row r="490" spans="5:18" ht="15.75" customHeight="1">
      <c r="E490" s="73"/>
      <c r="M490" s="74"/>
      <c r="N490" s="75"/>
      <c r="O490" s="76"/>
      <c r="Q490" s="77"/>
      <c r="R490" s="77"/>
    </row>
    <row r="491" spans="5:18" ht="15.75" customHeight="1">
      <c r="E491" s="73"/>
      <c r="M491" s="74"/>
      <c r="N491" s="75"/>
      <c r="O491" s="76"/>
      <c r="Q491" s="77"/>
      <c r="R491" s="77"/>
    </row>
    <row r="492" spans="5:18" ht="15.75" customHeight="1">
      <c r="E492" s="73"/>
      <c r="M492" s="74"/>
      <c r="N492" s="75"/>
      <c r="O492" s="76"/>
      <c r="Q492" s="77"/>
      <c r="R492" s="77"/>
    </row>
    <row r="493" spans="5:18" ht="15.75" customHeight="1">
      <c r="E493" s="73"/>
      <c r="M493" s="74"/>
      <c r="N493" s="75"/>
      <c r="O493" s="76"/>
      <c r="Q493" s="77"/>
      <c r="R493" s="77"/>
    </row>
    <row r="494" spans="5:18" ht="15.75" customHeight="1">
      <c r="E494" s="73"/>
      <c r="M494" s="74"/>
      <c r="N494" s="75"/>
      <c r="O494" s="76"/>
      <c r="Q494" s="77"/>
      <c r="R494" s="77"/>
    </row>
    <row r="495" spans="5:18" ht="15.75" customHeight="1">
      <c r="E495" s="73"/>
      <c r="M495" s="74"/>
      <c r="N495" s="75"/>
      <c r="O495" s="76"/>
      <c r="Q495" s="77"/>
      <c r="R495" s="77"/>
    </row>
    <row r="496" spans="5:18" ht="15.75" customHeight="1">
      <c r="E496" s="73"/>
      <c r="M496" s="74"/>
      <c r="N496" s="75"/>
      <c r="O496" s="76"/>
      <c r="Q496" s="77"/>
      <c r="R496" s="77"/>
    </row>
    <row r="497" spans="5:18" ht="15.75" customHeight="1">
      <c r="E497" s="73"/>
      <c r="M497" s="74"/>
      <c r="N497" s="75"/>
      <c r="O497" s="76"/>
      <c r="Q497" s="77"/>
      <c r="R497" s="77"/>
    </row>
    <row r="498" spans="5:18" ht="15.75" customHeight="1">
      <c r="E498" s="73"/>
      <c r="M498" s="74"/>
      <c r="N498" s="75"/>
      <c r="O498" s="76"/>
      <c r="Q498" s="77"/>
      <c r="R498" s="77"/>
    </row>
    <row r="499" spans="5:18" ht="15.75" customHeight="1">
      <c r="E499" s="73"/>
      <c r="M499" s="74"/>
      <c r="N499" s="75"/>
      <c r="O499" s="76"/>
      <c r="Q499" s="77"/>
      <c r="R499" s="77"/>
    </row>
    <row r="500" spans="5:18" ht="15.75" customHeight="1">
      <c r="E500" s="73"/>
      <c r="M500" s="74"/>
      <c r="N500" s="75"/>
      <c r="O500" s="76"/>
      <c r="Q500" s="77"/>
      <c r="R500" s="77"/>
    </row>
    <row r="501" spans="5:18" ht="15.75" customHeight="1">
      <c r="E501" s="73"/>
      <c r="M501" s="74"/>
      <c r="N501" s="75"/>
      <c r="O501" s="76"/>
      <c r="Q501" s="77"/>
      <c r="R501" s="77"/>
    </row>
    <row r="502" spans="5:18" ht="15.75" customHeight="1">
      <c r="E502" s="73"/>
      <c r="M502" s="74"/>
      <c r="N502" s="75"/>
      <c r="O502" s="76"/>
      <c r="Q502" s="77"/>
      <c r="R502" s="77"/>
    </row>
    <row r="503" spans="5:18" ht="15.75" customHeight="1">
      <c r="E503" s="73"/>
      <c r="M503" s="74"/>
      <c r="N503" s="75"/>
      <c r="O503" s="76"/>
      <c r="Q503" s="77"/>
      <c r="R503" s="77"/>
    </row>
    <row r="504" spans="5:18" ht="15.75" customHeight="1">
      <c r="E504" s="73"/>
      <c r="M504" s="74"/>
      <c r="N504" s="75"/>
      <c r="O504" s="76"/>
      <c r="Q504" s="77"/>
      <c r="R504" s="77"/>
    </row>
    <row r="505" spans="5:18" ht="15.75" customHeight="1">
      <c r="E505" s="73"/>
      <c r="M505" s="74"/>
      <c r="N505" s="75"/>
      <c r="O505" s="76"/>
      <c r="Q505" s="77"/>
      <c r="R505" s="77"/>
    </row>
    <row r="506" spans="5:18" ht="15.75" customHeight="1">
      <c r="E506" s="73"/>
      <c r="M506" s="74"/>
      <c r="N506" s="75"/>
      <c r="O506" s="76"/>
      <c r="Q506" s="77"/>
      <c r="R506" s="77"/>
    </row>
    <row r="507" spans="5:18" ht="15.75" customHeight="1">
      <c r="E507" s="73"/>
      <c r="M507" s="74"/>
      <c r="N507" s="75"/>
      <c r="O507" s="76"/>
      <c r="Q507" s="77"/>
      <c r="R507" s="77"/>
    </row>
    <row r="508" spans="5:18" ht="15.75" customHeight="1">
      <c r="E508" s="73"/>
      <c r="M508" s="74"/>
      <c r="N508" s="75"/>
      <c r="O508" s="76"/>
      <c r="Q508" s="77"/>
      <c r="R508" s="77"/>
    </row>
    <row r="509" spans="5:18" ht="15.75" customHeight="1">
      <c r="E509" s="73"/>
      <c r="M509" s="74"/>
      <c r="N509" s="75"/>
      <c r="O509" s="76"/>
      <c r="Q509" s="77"/>
      <c r="R509" s="77"/>
    </row>
    <row r="510" spans="5:18" ht="15.75" customHeight="1">
      <c r="E510" s="73"/>
      <c r="M510" s="74"/>
      <c r="N510" s="75"/>
      <c r="O510" s="76"/>
      <c r="Q510" s="77"/>
      <c r="R510" s="77"/>
    </row>
    <row r="511" spans="5:18" ht="15.75" customHeight="1">
      <c r="E511" s="73"/>
      <c r="M511" s="74"/>
      <c r="N511" s="75"/>
      <c r="O511" s="76"/>
      <c r="Q511" s="77"/>
      <c r="R511" s="77"/>
    </row>
    <row r="512" spans="5:18" ht="15.75" customHeight="1">
      <c r="E512" s="73"/>
      <c r="M512" s="74"/>
      <c r="N512" s="75"/>
      <c r="O512" s="76"/>
      <c r="Q512" s="77"/>
      <c r="R512" s="77"/>
    </row>
    <row r="513" spans="5:18" ht="15.75" customHeight="1">
      <c r="E513" s="73"/>
      <c r="M513" s="74"/>
      <c r="N513" s="75"/>
      <c r="O513" s="76"/>
      <c r="Q513" s="77"/>
      <c r="R513" s="77"/>
    </row>
    <row r="514" spans="5:18" ht="15.75" customHeight="1">
      <c r="E514" s="73"/>
      <c r="M514" s="74"/>
      <c r="N514" s="75"/>
      <c r="O514" s="76"/>
      <c r="Q514" s="77"/>
      <c r="R514" s="77"/>
    </row>
    <row r="515" spans="5:18" ht="15.75" customHeight="1">
      <c r="E515" s="73"/>
      <c r="M515" s="74"/>
      <c r="N515" s="75"/>
      <c r="O515" s="76"/>
      <c r="Q515" s="77"/>
      <c r="R515" s="77"/>
    </row>
    <row r="516" spans="5:18" ht="15.75" customHeight="1">
      <c r="E516" s="73"/>
      <c r="M516" s="74"/>
      <c r="N516" s="75"/>
      <c r="O516" s="76"/>
      <c r="Q516" s="77"/>
      <c r="R516" s="77"/>
    </row>
    <row r="517" spans="5:18" ht="15.75" customHeight="1">
      <c r="E517" s="73"/>
      <c r="M517" s="74"/>
      <c r="N517" s="75"/>
      <c r="O517" s="76"/>
      <c r="Q517" s="77"/>
      <c r="R517" s="77"/>
    </row>
    <row r="518" spans="5:18" ht="15.75" customHeight="1">
      <c r="E518" s="73"/>
      <c r="M518" s="74"/>
      <c r="N518" s="75"/>
      <c r="O518" s="76"/>
      <c r="Q518" s="77"/>
      <c r="R518" s="77"/>
    </row>
    <row r="519" spans="5:18" ht="15.75" customHeight="1">
      <c r="E519" s="73"/>
      <c r="M519" s="74"/>
      <c r="N519" s="75"/>
      <c r="O519" s="76"/>
      <c r="Q519" s="77"/>
      <c r="R519" s="77"/>
    </row>
    <row r="520" spans="5:18" ht="15.75" customHeight="1">
      <c r="E520" s="73"/>
      <c r="M520" s="74"/>
      <c r="N520" s="75"/>
      <c r="O520" s="76"/>
      <c r="Q520" s="77"/>
      <c r="R520" s="77"/>
    </row>
    <row r="521" spans="5:18" ht="15.75" customHeight="1">
      <c r="E521" s="73"/>
      <c r="M521" s="74"/>
      <c r="N521" s="75"/>
      <c r="O521" s="76"/>
      <c r="Q521" s="77"/>
      <c r="R521" s="77"/>
    </row>
    <row r="522" spans="5:18" ht="15.75" customHeight="1">
      <c r="E522" s="73"/>
      <c r="M522" s="74"/>
      <c r="N522" s="75"/>
      <c r="O522" s="76"/>
      <c r="Q522" s="77"/>
      <c r="R522" s="77"/>
    </row>
    <row r="523" spans="5:18" ht="15.75" customHeight="1">
      <c r="E523" s="73"/>
      <c r="M523" s="74"/>
      <c r="N523" s="75"/>
      <c r="O523" s="76"/>
      <c r="Q523" s="77"/>
      <c r="R523" s="77"/>
    </row>
    <row r="524" spans="5:18" ht="15.75" customHeight="1">
      <c r="E524" s="73"/>
      <c r="M524" s="74"/>
      <c r="N524" s="75"/>
      <c r="O524" s="76"/>
      <c r="Q524" s="77"/>
      <c r="R524" s="77"/>
    </row>
    <row r="525" spans="5:18" ht="15.75" customHeight="1">
      <c r="E525" s="73"/>
      <c r="M525" s="74"/>
      <c r="N525" s="75"/>
      <c r="O525" s="76"/>
      <c r="Q525" s="77"/>
      <c r="R525" s="77"/>
    </row>
    <row r="526" spans="5:18" ht="15.75" customHeight="1">
      <c r="E526" s="73"/>
      <c r="M526" s="74"/>
      <c r="N526" s="75"/>
      <c r="O526" s="76"/>
      <c r="Q526" s="77"/>
      <c r="R526" s="77"/>
    </row>
    <row r="527" spans="5:18" ht="15.75" customHeight="1">
      <c r="E527" s="73"/>
      <c r="M527" s="74"/>
      <c r="N527" s="75"/>
      <c r="O527" s="76"/>
      <c r="Q527" s="77"/>
      <c r="R527" s="77"/>
    </row>
    <row r="528" spans="5:18" ht="15.75" customHeight="1">
      <c r="E528" s="73"/>
      <c r="M528" s="74"/>
      <c r="N528" s="75"/>
      <c r="O528" s="76"/>
      <c r="Q528" s="77"/>
      <c r="R528" s="77"/>
    </row>
    <row r="529" spans="5:18" ht="15.75" customHeight="1">
      <c r="E529" s="73"/>
      <c r="M529" s="74"/>
      <c r="N529" s="75"/>
      <c r="O529" s="76"/>
      <c r="Q529" s="77"/>
      <c r="R529" s="77"/>
    </row>
    <row r="530" spans="5:18" ht="15.75" customHeight="1">
      <c r="E530" s="73"/>
      <c r="M530" s="74"/>
      <c r="N530" s="75"/>
      <c r="O530" s="76"/>
      <c r="Q530" s="77"/>
      <c r="R530" s="77"/>
    </row>
    <row r="531" spans="5:18" ht="15.75" customHeight="1">
      <c r="E531" s="73"/>
      <c r="M531" s="74"/>
      <c r="N531" s="75"/>
      <c r="O531" s="76"/>
      <c r="Q531" s="77"/>
      <c r="R531" s="77"/>
    </row>
    <row r="532" spans="5:18" ht="15.75" customHeight="1">
      <c r="E532" s="73"/>
      <c r="M532" s="74"/>
      <c r="N532" s="75"/>
      <c r="O532" s="76"/>
      <c r="Q532" s="77"/>
      <c r="R532" s="77"/>
    </row>
    <row r="533" spans="5:18" ht="15.75" customHeight="1">
      <c r="E533" s="73"/>
      <c r="M533" s="74"/>
      <c r="N533" s="75"/>
      <c r="O533" s="76"/>
      <c r="Q533" s="77"/>
      <c r="R533" s="77"/>
    </row>
    <row r="534" spans="5:18" ht="15.75" customHeight="1">
      <c r="E534" s="73"/>
      <c r="M534" s="74"/>
      <c r="N534" s="75"/>
      <c r="O534" s="76"/>
      <c r="Q534" s="77"/>
      <c r="R534" s="77"/>
    </row>
    <row r="535" spans="5:18" ht="15.75" customHeight="1">
      <c r="E535" s="73"/>
      <c r="M535" s="74"/>
      <c r="N535" s="75"/>
      <c r="O535" s="76"/>
      <c r="Q535" s="77"/>
      <c r="R535" s="77"/>
    </row>
    <row r="536" spans="5:18" ht="15.75" customHeight="1">
      <c r="E536" s="73"/>
      <c r="M536" s="74"/>
      <c r="N536" s="75"/>
      <c r="O536" s="76"/>
      <c r="Q536" s="77"/>
      <c r="R536" s="77"/>
    </row>
    <row r="537" spans="5:18" ht="15.75" customHeight="1">
      <c r="E537" s="73"/>
      <c r="M537" s="74"/>
      <c r="N537" s="75"/>
      <c r="O537" s="76"/>
      <c r="Q537" s="77"/>
      <c r="R537" s="77"/>
    </row>
    <row r="538" spans="5:18" ht="15.75" customHeight="1">
      <c r="E538" s="73"/>
      <c r="M538" s="74"/>
      <c r="N538" s="75"/>
      <c r="O538" s="76"/>
      <c r="Q538" s="77"/>
      <c r="R538" s="77"/>
    </row>
    <row r="539" spans="5:18" ht="15.75" customHeight="1">
      <c r="E539" s="73"/>
      <c r="M539" s="74"/>
      <c r="N539" s="75"/>
      <c r="O539" s="76"/>
      <c r="Q539" s="77"/>
      <c r="R539" s="77"/>
    </row>
    <row r="540" spans="5:18" ht="15.75" customHeight="1">
      <c r="E540" s="73"/>
      <c r="M540" s="74"/>
      <c r="N540" s="75"/>
      <c r="O540" s="76"/>
      <c r="Q540" s="77"/>
      <c r="R540" s="77"/>
    </row>
    <row r="541" spans="5:18" ht="15.75" customHeight="1">
      <c r="E541" s="73"/>
      <c r="M541" s="74"/>
      <c r="N541" s="75"/>
      <c r="O541" s="76"/>
      <c r="Q541" s="77"/>
      <c r="R541" s="77"/>
    </row>
    <row r="542" spans="5:18" ht="15.75" customHeight="1">
      <c r="E542" s="73"/>
      <c r="M542" s="74"/>
      <c r="N542" s="75"/>
      <c r="O542" s="76"/>
      <c r="Q542" s="77"/>
      <c r="R542" s="77"/>
    </row>
    <row r="543" spans="5:18" ht="15.75" customHeight="1">
      <c r="E543" s="73"/>
      <c r="M543" s="74"/>
      <c r="N543" s="75"/>
      <c r="O543" s="76"/>
      <c r="Q543" s="77"/>
      <c r="R543" s="77"/>
    </row>
    <row r="544" spans="5:18" ht="15.75" customHeight="1">
      <c r="E544" s="73"/>
      <c r="M544" s="74"/>
      <c r="N544" s="75"/>
      <c r="O544" s="76"/>
      <c r="Q544" s="77"/>
      <c r="R544" s="77"/>
    </row>
    <row r="545" spans="5:18" ht="15.75" customHeight="1">
      <c r="E545" s="73"/>
      <c r="M545" s="74"/>
      <c r="N545" s="75"/>
      <c r="O545" s="76"/>
      <c r="Q545" s="77"/>
      <c r="R545" s="77"/>
    </row>
    <row r="546" spans="5:18" ht="15.75" customHeight="1">
      <c r="E546" s="73"/>
      <c r="M546" s="74"/>
      <c r="N546" s="75"/>
      <c r="O546" s="76"/>
      <c r="Q546" s="77"/>
      <c r="R546" s="77"/>
    </row>
    <row r="547" spans="5:18" ht="15.75" customHeight="1">
      <c r="E547" s="73"/>
      <c r="M547" s="74"/>
      <c r="N547" s="75"/>
      <c r="O547" s="76"/>
      <c r="Q547" s="77"/>
      <c r="R547" s="77"/>
    </row>
    <row r="548" spans="5:18" ht="15.75" customHeight="1">
      <c r="E548" s="73"/>
      <c r="M548" s="74"/>
      <c r="N548" s="75"/>
      <c r="O548" s="76"/>
      <c r="Q548" s="77"/>
      <c r="R548" s="77"/>
    </row>
    <row r="549" spans="5:18" ht="15.75" customHeight="1">
      <c r="E549" s="73"/>
      <c r="M549" s="74"/>
      <c r="N549" s="75"/>
      <c r="O549" s="76"/>
      <c r="Q549" s="77"/>
      <c r="R549" s="77"/>
    </row>
    <row r="550" spans="5:18" ht="15.75" customHeight="1">
      <c r="E550" s="73"/>
      <c r="M550" s="74"/>
      <c r="N550" s="75"/>
      <c r="O550" s="76"/>
      <c r="Q550" s="77"/>
      <c r="R550" s="77"/>
    </row>
    <row r="551" spans="5:18" ht="15.75" customHeight="1">
      <c r="E551" s="73"/>
      <c r="M551" s="74"/>
      <c r="N551" s="75"/>
      <c r="O551" s="76"/>
      <c r="Q551" s="77"/>
      <c r="R551" s="77"/>
    </row>
    <row r="552" spans="5:18" ht="15.75" customHeight="1">
      <c r="E552" s="73"/>
      <c r="M552" s="74"/>
      <c r="N552" s="75"/>
      <c r="O552" s="76"/>
      <c r="Q552" s="77"/>
      <c r="R552" s="77"/>
    </row>
    <row r="553" spans="5:18" ht="15.75" customHeight="1">
      <c r="E553" s="73"/>
      <c r="M553" s="74"/>
      <c r="N553" s="75"/>
      <c r="O553" s="76"/>
      <c r="Q553" s="77"/>
      <c r="R553" s="77"/>
    </row>
    <row r="554" spans="5:18" ht="15.75" customHeight="1">
      <c r="E554" s="73"/>
      <c r="M554" s="74"/>
      <c r="N554" s="75"/>
      <c r="O554" s="76"/>
      <c r="Q554" s="77"/>
      <c r="R554" s="77"/>
    </row>
    <row r="555" spans="5:18" ht="15.75" customHeight="1">
      <c r="E555" s="73"/>
      <c r="M555" s="74"/>
      <c r="N555" s="75"/>
      <c r="O555" s="76"/>
      <c r="Q555" s="77"/>
      <c r="R555" s="77"/>
    </row>
    <row r="556" spans="5:18" ht="15.75" customHeight="1">
      <c r="E556" s="73"/>
      <c r="M556" s="74"/>
      <c r="N556" s="75"/>
      <c r="O556" s="76"/>
      <c r="Q556" s="77"/>
      <c r="R556" s="77"/>
    </row>
    <row r="557" spans="5:18" ht="15.75" customHeight="1">
      <c r="E557" s="73"/>
      <c r="M557" s="74"/>
      <c r="N557" s="75"/>
      <c r="O557" s="76"/>
      <c r="Q557" s="77"/>
      <c r="R557" s="77"/>
    </row>
    <row r="558" spans="5:18" ht="15.75" customHeight="1">
      <c r="E558" s="73"/>
      <c r="M558" s="74"/>
      <c r="N558" s="75"/>
      <c r="O558" s="76"/>
      <c r="Q558" s="77"/>
      <c r="R558" s="77"/>
    </row>
    <row r="559" spans="5:18" ht="15.75" customHeight="1">
      <c r="E559" s="73"/>
      <c r="M559" s="74"/>
      <c r="N559" s="75"/>
      <c r="O559" s="76"/>
      <c r="Q559" s="77"/>
      <c r="R559" s="77"/>
    </row>
    <row r="560" spans="5:18" ht="15.75" customHeight="1">
      <c r="E560" s="73"/>
      <c r="M560" s="74"/>
      <c r="N560" s="75"/>
      <c r="O560" s="76"/>
      <c r="Q560" s="77"/>
      <c r="R560" s="77"/>
    </row>
    <row r="561" spans="5:18" ht="15.75" customHeight="1">
      <c r="E561" s="73"/>
      <c r="M561" s="74"/>
      <c r="N561" s="75"/>
      <c r="O561" s="76"/>
      <c r="Q561" s="77"/>
      <c r="R561" s="77"/>
    </row>
    <row r="562" spans="5:18" ht="15.75" customHeight="1">
      <c r="E562" s="73"/>
      <c r="M562" s="74"/>
      <c r="N562" s="75"/>
      <c r="O562" s="76"/>
      <c r="Q562" s="77"/>
      <c r="R562" s="77"/>
    </row>
    <row r="563" spans="5:18" ht="15.75" customHeight="1">
      <c r="E563" s="73"/>
      <c r="M563" s="74"/>
      <c r="N563" s="75"/>
      <c r="O563" s="76"/>
      <c r="Q563" s="77"/>
      <c r="R563" s="77"/>
    </row>
    <row r="564" spans="5:18" ht="15.75" customHeight="1">
      <c r="E564" s="73"/>
      <c r="M564" s="74"/>
      <c r="N564" s="75"/>
      <c r="O564" s="76"/>
      <c r="Q564" s="77"/>
      <c r="R564" s="77"/>
    </row>
    <row r="565" spans="5:18" ht="15.75" customHeight="1">
      <c r="E565" s="73"/>
      <c r="M565" s="74"/>
      <c r="N565" s="75"/>
      <c r="O565" s="76"/>
      <c r="Q565" s="77"/>
      <c r="R565" s="77"/>
    </row>
    <row r="566" spans="5:18" ht="15.75" customHeight="1">
      <c r="E566" s="73"/>
      <c r="M566" s="74"/>
      <c r="N566" s="75"/>
      <c r="O566" s="76"/>
      <c r="Q566" s="77"/>
      <c r="R566" s="77"/>
    </row>
    <row r="567" spans="5:18" ht="15.75" customHeight="1">
      <c r="E567" s="73"/>
      <c r="M567" s="74"/>
      <c r="N567" s="75"/>
      <c r="O567" s="76"/>
      <c r="Q567" s="77"/>
      <c r="R567" s="77"/>
    </row>
    <row r="568" spans="5:18" ht="15.75" customHeight="1">
      <c r="E568" s="73"/>
      <c r="M568" s="74"/>
      <c r="N568" s="75"/>
      <c r="O568" s="76"/>
      <c r="Q568" s="77"/>
      <c r="R568" s="77"/>
    </row>
    <row r="569" spans="5:18" ht="15.75" customHeight="1">
      <c r="E569" s="73"/>
      <c r="M569" s="74"/>
      <c r="N569" s="75"/>
      <c r="O569" s="76"/>
      <c r="Q569" s="77"/>
      <c r="R569" s="77"/>
    </row>
    <row r="570" spans="5:18" ht="15.75" customHeight="1">
      <c r="E570" s="73"/>
      <c r="M570" s="74"/>
      <c r="N570" s="75"/>
      <c r="O570" s="76"/>
      <c r="Q570" s="77"/>
      <c r="R570" s="77"/>
    </row>
    <row r="571" spans="5:18" ht="15.75" customHeight="1">
      <c r="E571" s="73"/>
      <c r="M571" s="74"/>
      <c r="N571" s="75"/>
      <c r="O571" s="76"/>
      <c r="Q571" s="77"/>
      <c r="R571" s="77"/>
    </row>
    <row r="572" spans="5:18" ht="15.75" customHeight="1">
      <c r="E572" s="73"/>
      <c r="M572" s="74"/>
      <c r="N572" s="75"/>
      <c r="O572" s="76"/>
      <c r="Q572" s="77"/>
      <c r="R572" s="77"/>
    </row>
    <row r="573" spans="5:18" ht="15.75" customHeight="1">
      <c r="E573" s="73"/>
      <c r="M573" s="74"/>
      <c r="N573" s="75"/>
      <c r="O573" s="76"/>
      <c r="Q573" s="77"/>
      <c r="R573" s="77"/>
    </row>
    <row r="574" spans="5:18" ht="15.75" customHeight="1">
      <c r="E574" s="73"/>
      <c r="M574" s="74"/>
      <c r="N574" s="75"/>
      <c r="O574" s="76"/>
      <c r="Q574" s="77"/>
      <c r="R574" s="77"/>
    </row>
    <row r="575" spans="5:18" ht="15.75" customHeight="1">
      <c r="E575" s="73"/>
      <c r="M575" s="74"/>
      <c r="N575" s="75"/>
      <c r="O575" s="76"/>
      <c r="Q575" s="77"/>
      <c r="R575" s="77"/>
    </row>
    <row r="576" spans="5:18" ht="15.75" customHeight="1">
      <c r="E576" s="73"/>
      <c r="M576" s="74"/>
      <c r="N576" s="75"/>
      <c r="O576" s="76"/>
      <c r="Q576" s="77"/>
      <c r="R576" s="77"/>
    </row>
    <row r="577" spans="5:18" ht="15.75" customHeight="1">
      <c r="E577" s="73"/>
      <c r="M577" s="74"/>
      <c r="N577" s="75"/>
      <c r="O577" s="76"/>
      <c r="Q577" s="77"/>
      <c r="R577" s="77"/>
    </row>
    <row r="578" spans="5:18" ht="15.75" customHeight="1">
      <c r="E578" s="73"/>
      <c r="M578" s="74"/>
      <c r="N578" s="75"/>
      <c r="O578" s="76"/>
      <c r="Q578" s="77"/>
      <c r="R578" s="77"/>
    </row>
    <row r="579" spans="5:18" ht="15.75" customHeight="1">
      <c r="E579" s="73"/>
      <c r="M579" s="74"/>
      <c r="N579" s="75"/>
      <c r="O579" s="76"/>
      <c r="Q579" s="77"/>
      <c r="R579" s="77"/>
    </row>
    <row r="580" spans="5:18" ht="15.75" customHeight="1">
      <c r="E580" s="73"/>
      <c r="M580" s="74"/>
      <c r="N580" s="75"/>
      <c r="O580" s="76"/>
      <c r="Q580" s="77"/>
      <c r="R580" s="77"/>
    </row>
    <row r="581" spans="5:18" ht="15.75" customHeight="1">
      <c r="E581" s="73"/>
      <c r="M581" s="74"/>
      <c r="N581" s="75"/>
      <c r="O581" s="76"/>
      <c r="Q581" s="77"/>
      <c r="R581" s="77"/>
    </row>
    <row r="582" spans="5:18" ht="15.75" customHeight="1">
      <c r="E582" s="73"/>
      <c r="M582" s="74"/>
      <c r="N582" s="75"/>
      <c r="O582" s="76"/>
      <c r="Q582" s="77"/>
      <c r="R582" s="77"/>
    </row>
    <row r="583" spans="5:18" ht="15.75" customHeight="1">
      <c r="E583" s="73"/>
      <c r="M583" s="74"/>
      <c r="N583" s="75"/>
      <c r="O583" s="76"/>
      <c r="Q583" s="77"/>
      <c r="R583" s="77"/>
    </row>
    <row r="584" spans="5:18" ht="15.75" customHeight="1">
      <c r="E584" s="73"/>
      <c r="M584" s="74"/>
      <c r="N584" s="75"/>
      <c r="O584" s="76"/>
      <c r="Q584" s="77"/>
      <c r="R584" s="77"/>
    </row>
    <row r="585" spans="5:18" ht="15.75" customHeight="1">
      <c r="E585" s="73"/>
      <c r="M585" s="74"/>
      <c r="N585" s="75"/>
      <c r="O585" s="76"/>
      <c r="Q585" s="77"/>
      <c r="R585" s="77"/>
    </row>
    <row r="586" spans="5:18" ht="15.75" customHeight="1">
      <c r="E586" s="73"/>
      <c r="M586" s="74"/>
      <c r="N586" s="75"/>
      <c r="O586" s="76"/>
      <c r="Q586" s="77"/>
      <c r="R586" s="77"/>
    </row>
    <row r="587" spans="5:18" ht="15.75" customHeight="1">
      <c r="E587" s="73"/>
      <c r="M587" s="74"/>
      <c r="N587" s="75"/>
      <c r="O587" s="76"/>
      <c r="Q587" s="77"/>
      <c r="R587" s="77"/>
    </row>
    <row r="588" spans="5:18" ht="15.75" customHeight="1">
      <c r="E588" s="73"/>
      <c r="M588" s="74"/>
      <c r="N588" s="75"/>
      <c r="O588" s="76"/>
      <c r="Q588" s="77"/>
      <c r="R588" s="77"/>
    </row>
    <row r="589" spans="5:18" ht="15.75" customHeight="1">
      <c r="E589" s="73"/>
      <c r="M589" s="74"/>
      <c r="N589" s="75"/>
      <c r="O589" s="76"/>
      <c r="Q589" s="77"/>
      <c r="R589" s="77"/>
    </row>
    <row r="590" spans="5:18" ht="15.75" customHeight="1">
      <c r="E590" s="73"/>
      <c r="M590" s="74"/>
      <c r="N590" s="75"/>
      <c r="O590" s="76"/>
      <c r="Q590" s="77"/>
      <c r="R590" s="77"/>
    </row>
    <row r="591" spans="5:18" ht="15.75" customHeight="1">
      <c r="E591" s="73"/>
      <c r="M591" s="74"/>
      <c r="N591" s="75"/>
      <c r="O591" s="76"/>
      <c r="Q591" s="77"/>
      <c r="R591" s="77"/>
    </row>
    <row r="592" spans="5:18" ht="15.75" customHeight="1">
      <c r="E592" s="73"/>
      <c r="M592" s="74"/>
      <c r="N592" s="75"/>
      <c r="O592" s="76"/>
      <c r="Q592" s="77"/>
      <c r="R592" s="77"/>
    </row>
    <row r="593" spans="5:18" ht="15.75" customHeight="1">
      <c r="E593" s="73"/>
      <c r="M593" s="74"/>
      <c r="N593" s="75"/>
      <c r="O593" s="76"/>
      <c r="Q593" s="77"/>
      <c r="R593" s="77"/>
    </row>
    <row r="594" spans="5:18" ht="15.75" customHeight="1">
      <c r="E594" s="73"/>
      <c r="M594" s="74"/>
      <c r="N594" s="75"/>
      <c r="O594" s="76"/>
      <c r="Q594" s="77"/>
      <c r="R594" s="77"/>
    </row>
    <row r="595" spans="5:18" ht="15.75" customHeight="1">
      <c r="E595" s="73"/>
      <c r="M595" s="74"/>
      <c r="N595" s="75"/>
      <c r="O595" s="76"/>
      <c r="Q595" s="77"/>
      <c r="R595" s="77"/>
    </row>
    <row r="596" spans="5:18" ht="15.75" customHeight="1">
      <c r="E596" s="73"/>
      <c r="M596" s="74"/>
      <c r="N596" s="75"/>
      <c r="O596" s="76"/>
      <c r="Q596" s="77"/>
      <c r="R596" s="77"/>
    </row>
    <row r="597" spans="5:18" ht="15.75" customHeight="1">
      <c r="E597" s="73"/>
      <c r="M597" s="74"/>
      <c r="N597" s="75"/>
      <c r="O597" s="76"/>
      <c r="Q597" s="77"/>
      <c r="R597" s="77"/>
    </row>
    <row r="598" spans="5:18" ht="15.75" customHeight="1">
      <c r="E598" s="73"/>
      <c r="M598" s="74"/>
      <c r="N598" s="75"/>
      <c r="O598" s="76"/>
      <c r="Q598" s="77"/>
      <c r="R598" s="77"/>
    </row>
    <row r="599" spans="5:18" ht="15.75" customHeight="1">
      <c r="E599" s="73"/>
      <c r="M599" s="74"/>
      <c r="N599" s="75"/>
      <c r="O599" s="76"/>
      <c r="Q599" s="77"/>
      <c r="R599" s="77"/>
    </row>
    <row r="600" spans="5:18" ht="15.75" customHeight="1">
      <c r="E600" s="73"/>
      <c r="M600" s="74"/>
      <c r="N600" s="75"/>
      <c r="O600" s="76"/>
      <c r="Q600" s="77"/>
      <c r="R600" s="77"/>
    </row>
    <row r="601" spans="5:18" ht="15.75" customHeight="1">
      <c r="E601" s="73"/>
      <c r="M601" s="74"/>
      <c r="N601" s="75"/>
      <c r="O601" s="76"/>
      <c r="Q601" s="77"/>
      <c r="R601" s="77"/>
    </row>
    <row r="602" spans="5:18" ht="15.75" customHeight="1">
      <c r="E602" s="73"/>
      <c r="M602" s="74"/>
      <c r="N602" s="75"/>
      <c r="O602" s="76"/>
      <c r="Q602" s="77"/>
      <c r="R602" s="77"/>
    </row>
    <row r="603" spans="5:18" ht="15.75" customHeight="1">
      <c r="E603" s="73"/>
      <c r="M603" s="74"/>
      <c r="N603" s="75"/>
      <c r="O603" s="76"/>
      <c r="Q603" s="77"/>
      <c r="R603" s="77"/>
    </row>
    <row r="604" spans="5:18" ht="15.75" customHeight="1">
      <c r="E604" s="73"/>
      <c r="M604" s="74"/>
      <c r="N604" s="75"/>
      <c r="O604" s="76"/>
      <c r="Q604" s="77"/>
      <c r="R604" s="77"/>
    </row>
    <row r="605" spans="5:18" ht="15.75" customHeight="1">
      <c r="E605" s="73"/>
      <c r="M605" s="74"/>
      <c r="N605" s="75"/>
      <c r="O605" s="76"/>
      <c r="Q605" s="77"/>
      <c r="R605" s="77"/>
    </row>
    <row r="606" spans="5:18" ht="15.75" customHeight="1">
      <c r="E606" s="73"/>
      <c r="M606" s="74"/>
      <c r="N606" s="75"/>
      <c r="O606" s="76"/>
      <c r="Q606" s="77"/>
      <c r="R606" s="77"/>
    </row>
    <row r="607" spans="5:18" ht="15.75" customHeight="1">
      <c r="E607" s="73"/>
      <c r="M607" s="74"/>
      <c r="N607" s="75"/>
      <c r="O607" s="76"/>
      <c r="Q607" s="77"/>
      <c r="R607" s="77"/>
    </row>
    <row r="608" spans="5:18" ht="15.75" customHeight="1">
      <c r="E608" s="73"/>
      <c r="M608" s="74"/>
      <c r="N608" s="75"/>
      <c r="O608" s="76"/>
      <c r="Q608" s="77"/>
      <c r="R608" s="77"/>
    </row>
    <row r="609" spans="5:18" ht="15.75" customHeight="1">
      <c r="E609" s="73"/>
      <c r="M609" s="74"/>
      <c r="N609" s="75"/>
      <c r="O609" s="76"/>
      <c r="Q609" s="77"/>
      <c r="R609" s="77"/>
    </row>
    <row r="610" spans="5:18" ht="15.75" customHeight="1">
      <c r="E610" s="73"/>
      <c r="M610" s="74"/>
      <c r="N610" s="75"/>
      <c r="O610" s="76"/>
      <c r="Q610" s="77"/>
      <c r="R610" s="77"/>
    </row>
    <row r="611" spans="5:18" ht="15.75" customHeight="1">
      <c r="E611" s="73"/>
      <c r="M611" s="74"/>
      <c r="N611" s="75"/>
      <c r="O611" s="76"/>
      <c r="Q611" s="77"/>
      <c r="R611" s="77"/>
    </row>
    <row r="612" spans="5:18" ht="15" customHeight="1">
      <c r="E612" s="73"/>
      <c r="M612" s="74"/>
      <c r="N612" s="75"/>
      <c r="O612" s="76"/>
      <c r="Q612" s="77"/>
      <c r="R612" s="77"/>
    </row>
    <row r="613" spans="5:18" ht="15" customHeight="1">
      <c r="E613" s="73"/>
      <c r="M613" s="74"/>
      <c r="N613" s="75"/>
      <c r="O613" s="76"/>
      <c r="Q613" s="77"/>
      <c r="R613" s="77"/>
    </row>
    <row r="614" spans="5:18" ht="15" customHeight="1">
      <c r="E614" s="73"/>
      <c r="M614" s="74"/>
      <c r="N614" s="75"/>
      <c r="O614" s="76"/>
      <c r="Q614" s="77"/>
      <c r="R614" s="77"/>
    </row>
    <row r="615" spans="5:18" ht="15" customHeight="1">
      <c r="E615" s="73"/>
      <c r="M615" s="74"/>
      <c r="N615" s="75"/>
      <c r="O615" s="76"/>
      <c r="Q615" s="77"/>
      <c r="R615" s="77"/>
    </row>
    <row r="616" spans="5:18" ht="15" customHeight="1">
      <c r="E616" s="73"/>
      <c r="M616" s="74"/>
      <c r="N616" s="75"/>
      <c r="O616" s="76"/>
      <c r="Q616" s="77"/>
      <c r="R616" s="77"/>
    </row>
    <row r="617" spans="5:18" ht="15" customHeight="1">
      <c r="E617" s="73"/>
      <c r="M617" s="74"/>
      <c r="N617" s="75"/>
      <c r="O617" s="76"/>
      <c r="Q617" s="77"/>
      <c r="R617" s="77"/>
    </row>
    <row r="618" spans="5:18" ht="15" customHeight="1">
      <c r="E618" s="73"/>
      <c r="M618" s="74"/>
      <c r="N618" s="75"/>
      <c r="O618" s="76"/>
      <c r="Q618" s="77"/>
      <c r="R618" s="77"/>
    </row>
    <row r="619" spans="5:18" ht="15" customHeight="1">
      <c r="E619" s="73"/>
      <c r="M619" s="74"/>
      <c r="N619" s="75"/>
      <c r="O619" s="76"/>
      <c r="Q619" s="77"/>
      <c r="R619" s="77"/>
    </row>
    <row r="620" spans="5:18" ht="15" customHeight="1">
      <c r="E620" s="73"/>
      <c r="M620" s="74"/>
      <c r="N620" s="75"/>
      <c r="O620" s="76"/>
      <c r="Q620" s="77"/>
      <c r="R620" s="77"/>
    </row>
    <row r="621" spans="5:18" ht="15" customHeight="1">
      <c r="E621" s="73"/>
      <c r="M621" s="74"/>
      <c r="N621" s="75"/>
      <c r="O621" s="76"/>
      <c r="Q621" s="77"/>
      <c r="R621" s="77"/>
    </row>
    <row r="622" spans="5:18" ht="15" customHeight="1">
      <c r="E622" s="73"/>
      <c r="M622" s="74"/>
      <c r="N622" s="75"/>
      <c r="O622" s="76"/>
      <c r="Q622" s="77"/>
      <c r="R622" s="77"/>
    </row>
    <row r="623" spans="5:18" ht="15" customHeight="1">
      <c r="E623" s="73"/>
      <c r="M623" s="74"/>
      <c r="N623" s="75"/>
      <c r="O623" s="76"/>
      <c r="Q623" s="77"/>
      <c r="R623" s="77"/>
    </row>
    <row r="624" spans="5:18" ht="15" customHeight="1">
      <c r="E624" s="73"/>
      <c r="M624" s="74"/>
      <c r="N624" s="75"/>
      <c r="O624" s="76"/>
      <c r="Q624" s="77"/>
      <c r="R624" s="77"/>
    </row>
    <row r="625" spans="5:18" ht="15" customHeight="1">
      <c r="E625" s="73"/>
      <c r="M625" s="74"/>
      <c r="N625" s="75"/>
      <c r="O625" s="76"/>
      <c r="Q625" s="77"/>
      <c r="R625" s="77"/>
    </row>
    <row r="626" spans="5:18" ht="15" customHeight="1">
      <c r="E626" s="73"/>
      <c r="M626" s="74"/>
      <c r="N626" s="75"/>
      <c r="O626" s="76"/>
      <c r="Q626" s="77"/>
      <c r="R626" s="77"/>
    </row>
    <row r="627" spans="5:18" ht="15" customHeight="1">
      <c r="E627" s="73"/>
      <c r="M627" s="74"/>
      <c r="N627" s="75"/>
      <c r="O627" s="76"/>
      <c r="Q627" s="77"/>
      <c r="R627" s="77"/>
    </row>
    <row r="628" spans="5:18" ht="15" customHeight="1">
      <c r="E628" s="73"/>
      <c r="M628" s="74"/>
      <c r="N628" s="75"/>
      <c r="O628" s="76"/>
      <c r="Q628" s="77"/>
      <c r="R628" s="77"/>
    </row>
    <row r="629" spans="5:18" ht="15" customHeight="1">
      <c r="E629" s="73"/>
      <c r="M629" s="74"/>
      <c r="N629" s="75"/>
      <c r="O629" s="76"/>
      <c r="Q629" s="77"/>
      <c r="R629" s="77"/>
    </row>
    <row r="630" spans="5:18" ht="15" customHeight="1">
      <c r="E630" s="73"/>
      <c r="M630" s="74"/>
      <c r="N630" s="75"/>
      <c r="O630" s="76"/>
      <c r="Q630" s="77"/>
      <c r="R630" s="77"/>
    </row>
    <row r="631" spans="5:18" ht="15" customHeight="1">
      <c r="E631" s="73"/>
      <c r="M631" s="74"/>
      <c r="N631" s="75"/>
      <c r="O631" s="76"/>
      <c r="Q631" s="77"/>
      <c r="R631" s="77"/>
    </row>
    <row r="632" spans="5:18" ht="15" customHeight="1">
      <c r="E632" s="73"/>
      <c r="M632" s="74"/>
      <c r="N632" s="75"/>
      <c r="O632" s="76"/>
      <c r="Q632" s="77"/>
      <c r="R632" s="77"/>
    </row>
    <row r="633" spans="5:18" ht="15" customHeight="1">
      <c r="E633" s="73"/>
      <c r="M633" s="74"/>
      <c r="N633" s="75"/>
      <c r="O633" s="76"/>
      <c r="Q633" s="77"/>
      <c r="R633" s="77"/>
    </row>
    <row r="634" spans="5:18" ht="15" customHeight="1">
      <c r="E634" s="73"/>
      <c r="M634" s="74"/>
      <c r="N634" s="75"/>
      <c r="O634" s="76"/>
      <c r="Q634" s="77"/>
      <c r="R634" s="77"/>
    </row>
    <row r="635" spans="5:18" ht="15" customHeight="1">
      <c r="E635" s="73"/>
      <c r="M635" s="74"/>
      <c r="N635" s="75"/>
      <c r="O635" s="76"/>
      <c r="Q635" s="77"/>
      <c r="R635" s="77"/>
    </row>
    <row r="636" spans="5:18" ht="15" customHeight="1">
      <c r="E636" s="73"/>
      <c r="M636" s="74"/>
      <c r="N636" s="75"/>
      <c r="O636" s="76"/>
      <c r="Q636" s="77"/>
      <c r="R636" s="77"/>
    </row>
    <row r="637" spans="5:18" ht="15" customHeight="1">
      <c r="E637" s="73"/>
      <c r="M637" s="74"/>
      <c r="N637" s="75"/>
      <c r="O637" s="76"/>
      <c r="Q637" s="77"/>
      <c r="R637" s="77"/>
    </row>
    <row r="638" spans="5:18" ht="15" customHeight="1">
      <c r="E638" s="73"/>
      <c r="M638" s="74"/>
      <c r="N638" s="75"/>
      <c r="O638" s="76"/>
      <c r="Q638" s="77"/>
      <c r="R638" s="77"/>
    </row>
    <row r="639" spans="5:18" ht="15" customHeight="1">
      <c r="E639" s="73"/>
      <c r="M639" s="74"/>
      <c r="N639" s="75"/>
      <c r="O639" s="76"/>
      <c r="Q639" s="77"/>
      <c r="R639" s="77"/>
    </row>
    <row r="640" spans="5:18" ht="15" customHeight="1">
      <c r="E640" s="73"/>
      <c r="M640" s="74"/>
      <c r="N640" s="75"/>
      <c r="O640" s="76"/>
      <c r="Q640" s="77"/>
      <c r="R640" s="77"/>
    </row>
    <row r="641" spans="5:18" ht="15" customHeight="1">
      <c r="E641" s="73"/>
      <c r="M641" s="74"/>
      <c r="N641" s="75"/>
      <c r="O641" s="76"/>
      <c r="Q641" s="77"/>
      <c r="R641" s="77"/>
    </row>
    <row r="642" spans="5:18" ht="15" customHeight="1">
      <c r="E642" s="73"/>
      <c r="M642" s="74"/>
      <c r="N642" s="75"/>
      <c r="O642" s="76"/>
      <c r="Q642" s="77"/>
      <c r="R642" s="77"/>
    </row>
    <row r="643" spans="5:18" ht="15" customHeight="1">
      <c r="E643" s="73"/>
      <c r="M643" s="74"/>
      <c r="N643" s="75"/>
      <c r="O643" s="76"/>
      <c r="Q643" s="77"/>
      <c r="R643" s="77"/>
    </row>
    <row r="644" spans="5:18" ht="15" customHeight="1">
      <c r="E644" s="73"/>
      <c r="M644" s="74"/>
      <c r="N644" s="75"/>
      <c r="O644" s="76"/>
      <c r="Q644" s="77"/>
      <c r="R644" s="77"/>
    </row>
    <row r="645" spans="5:18" ht="15" customHeight="1">
      <c r="E645" s="73"/>
      <c r="M645" s="74"/>
      <c r="N645" s="75"/>
      <c r="O645" s="76"/>
      <c r="Q645" s="77"/>
      <c r="R645" s="77"/>
    </row>
    <row r="646" spans="5:18" ht="15" customHeight="1">
      <c r="E646" s="73"/>
      <c r="M646" s="74"/>
      <c r="N646" s="75"/>
      <c r="O646" s="76"/>
      <c r="Q646" s="77"/>
      <c r="R646" s="77"/>
    </row>
    <row r="647" spans="5:18" ht="15" customHeight="1">
      <c r="E647" s="73"/>
      <c r="M647" s="74"/>
      <c r="N647" s="75"/>
      <c r="O647" s="76"/>
      <c r="Q647" s="77"/>
      <c r="R647" s="77"/>
    </row>
    <row r="648" spans="5:18" ht="15" customHeight="1">
      <c r="E648" s="73"/>
      <c r="M648" s="74"/>
      <c r="N648" s="75"/>
      <c r="O648" s="76"/>
      <c r="Q648" s="77"/>
      <c r="R648" s="77"/>
    </row>
    <row r="649" spans="5:18" ht="15" customHeight="1">
      <c r="E649" s="73"/>
      <c r="M649" s="74"/>
      <c r="N649" s="75"/>
      <c r="O649" s="76"/>
      <c r="Q649" s="77"/>
      <c r="R649" s="77"/>
    </row>
    <row r="650" spans="5:18" ht="15" customHeight="1">
      <c r="E650" s="73"/>
      <c r="M650" s="74"/>
      <c r="N650" s="75"/>
      <c r="O650" s="76"/>
      <c r="Q650" s="77"/>
      <c r="R650" s="77"/>
    </row>
    <row r="651" spans="5:18" ht="15" customHeight="1">
      <c r="E651" s="73"/>
      <c r="M651" s="74"/>
      <c r="N651" s="75"/>
      <c r="O651" s="76"/>
      <c r="Q651" s="77"/>
      <c r="R651" s="77"/>
    </row>
    <row r="652" spans="5:18" ht="15" customHeight="1">
      <c r="E652" s="73"/>
      <c r="M652" s="74"/>
      <c r="N652" s="75"/>
      <c r="O652" s="76"/>
      <c r="Q652" s="77"/>
      <c r="R652" s="77"/>
    </row>
    <row r="653" spans="5:18" ht="15" customHeight="1">
      <c r="E653" s="73"/>
      <c r="M653" s="74"/>
      <c r="N653" s="75"/>
      <c r="O653" s="76"/>
      <c r="Q653" s="77"/>
      <c r="R653" s="77"/>
    </row>
    <row r="654" spans="5:18" ht="15" customHeight="1">
      <c r="E654" s="73"/>
      <c r="M654" s="74"/>
      <c r="N654" s="75"/>
      <c r="O654" s="76"/>
      <c r="Q654" s="77"/>
      <c r="R654" s="77"/>
    </row>
    <row r="655" spans="5:18" ht="15" customHeight="1">
      <c r="E655" s="73"/>
      <c r="M655" s="74"/>
      <c r="N655" s="75"/>
      <c r="O655" s="76"/>
      <c r="Q655" s="77"/>
      <c r="R655" s="77"/>
    </row>
    <row r="656" spans="5:18" ht="15" customHeight="1">
      <c r="E656" s="73"/>
      <c r="M656" s="74"/>
      <c r="N656" s="75"/>
      <c r="O656" s="76"/>
      <c r="Q656" s="77"/>
      <c r="R656" s="77"/>
    </row>
    <row r="657" spans="5:18" ht="15" customHeight="1">
      <c r="E657" s="73"/>
      <c r="M657" s="74"/>
      <c r="N657" s="75"/>
      <c r="O657" s="76"/>
      <c r="Q657" s="77"/>
      <c r="R657" s="77"/>
    </row>
    <row r="658" spans="5:18" ht="15" customHeight="1">
      <c r="E658" s="73"/>
      <c r="M658" s="74"/>
      <c r="N658" s="75"/>
      <c r="O658" s="76"/>
      <c r="Q658" s="77"/>
      <c r="R658" s="77"/>
    </row>
    <row r="659" spans="5:18" ht="15" customHeight="1">
      <c r="E659" s="73"/>
      <c r="M659" s="74"/>
      <c r="N659" s="75"/>
      <c r="O659" s="76"/>
      <c r="Q659" s="77"/>
      <c r="R659" s="77"/>
    </row>
    <row r="660" spans="5:18" ht="15" customHeight="1">
      <c r="E660" s="73"/>
      <c r="M660" s="74"/>
      <c r="N660" s="75"/>
      <c r="O660" s="76"/>
      <c r="Q660" s="77"/>
      <c r="R660" s="77"/>
    </row>
    <row r="661" spans="5:18" ht="15" customHeight="1">
      <c r="E661" s="73"/>
      <c r="M661" s="74"/>
      <c r="N661" s="75"/>
      <c r="O661" s="76"/>
      <c r="Q661" s="77"/>
      <c r="R661" s="77"/>
    </row>
    <row r="662" spans="5:18" ht="15" customHeight="1">
      <c r="E662" s="73"/>
      <c r="M662" s="74"/>
      <c r="N662" s="75"/>
      <c r="O662" s="76"/>
      <c r="Q662" s="77"/>
      <c r="R662" s="77"/>
    </row>
    <row r="663" spans="5:18" ht="15" customHeight="1">
      <c r="E663" s="73"/>
      <c r="M663" s="74"/>
      <c r="N663" s="75"/>
      <c r="O663" s="76"/>
      <c r="Q663" s="77"/>
      <c r="R663" s="77"/>
    </row>
    <row r="664" spans="5:18" ht="15" customHeight="1">
      <c r="E664" s="73"/>
      <c r="M664" s="74"/>
      <c r="N664" s="75"/>
      <c r="O664" s="76"/>
      <c r="Q664" s="77"/>
      <c r="R664" s="77"/>
    </row>
    <row r="665" spans="5:18" ht="15" customHeight="1">
      <c r="E665" s="73"/>
      <c r="M665" s="74"/>
      <c r="N665" s="75"/>
      <c r="O665" s="76"/>
      <c r="Q665" s="77"/>
      <c r="R665" s="77"/>
    </row>
    <row r="666" spans="5:18" ht="15" customHeight="1">
      <c r="E666" s="73"/>
      <c r="M666" s="74"/>
      <c r="N666" s="75"/>
      <c r="O666" s="76"/>
      <c r="Q666" s="77"/>
      <c r="R666" s="77"/>
    </row>
    <row r="667" spans="5:18" ht="15" customHeight="1">
      <c r="E667" s="73"/>
      <c r="M667" s="74"/>
      <c r="N667" s="75"/>
      <c r="O667" s="76"/>
      <c r="Q667" s="77"/>
      <c r="R667" s="77"/>
    </row>
    <row r="668" spans="5:18" ht="15" customHeight="1">
      <c r="E668" s="73"/>
      <c r="M668" s="74"/>
      <c r="N668" s="75"/>
      <c r="O668" s="76"/>
      <c r="Q668" s="77"/>
      <c r="R668" s="77"/>
    </row>
    <row r="669" spans="5:18" ht="15" customHeight="1">
      <c r="E669" s="73"/>
      <c r="M669" s="74"/>
      <c r="N669" s="75"/>
      <c r="O669" s="76"/>
      <c r="Q669" s="77"/>
      <c r="R669" s="77"/>
    </row>
    <row r="670" spans="5:18" ht="15" customHeight="1">
      <c r="E670" s="73"/>
      <c r="M670" s="74"/>
      <c r="N670" s="75"/>
      <c r="O670" s="76"/>
      <c r="Q670" s="77"/>
      <c r="R670" s="77"/>
    </row>
    <row r="671" spans="5:18" ht="15" customHeight="1">
      <c r="E671" s="73"/>
      <c r="M671" s="74"/>
      <c r="N671" s="75"/>
      <c r="O671" s="76"/>
      <c r="Q671" s="77"/>
      <c r="R671" s="77"/>
    </row>
    <row r="672" spans="5:18" ht="15" customHeight="1">
      <c r="E672" s="73"/>
      <c r="M672" s="74"/>
      <c r="N672" s="75"/>
      <c r="O672" s="76"/>
      <c r="Q672" s="77"/>
      <c r="R672" s="77"/>
    </row>
    <row r="673" spans="5:18" ht="15" customHeight="1">
      <c r="E673" s="73"/>
      <c r="M673" s="74"/>
      <c r="N673" s="75"/>
      <c r="O673" s="76"/>
      <c r="Q673" s="77"/>
      <c r="R673" s="77"/>
    </row>
    <row r="674" spans="5:18" ht="15" customHeight="1">
      <c r="E674" s="73"/>
      <c r="M674" s="74"/>
      <c r="N674" s="75"/>
      <c r="O674" s="76"/>
      <c r="Q674" s="77"/>
      <c r="R674" s="77"/>
    </row>
    <row r="675" spans="5:18" ht="15" customHeight="1">
      <c r="E675" s="73"/>
      <c r="M675" s="74"/>
      <c r="N675" s="75"/>
      <c r="O675" s="76"/>
      <c r="Q675" s="77"/>
      <c r="R675" s="77"/>
    </row>
    <row r="676" spans="5:18" ht="15" customHeight="1">
      <c r="E676" s="73"/>
      <c r="M676" s="74"/>
      <c r="N676" s="75"/>
      <c r="O676" s="76"/>
      <c r="Q676" s="77"/>
      <c r="R676" s="77"/>
    </row>
    <row r="677" spans="5:18" ht="15" customHeight="1">
      <c r="E677" s="73"/>
      <c r="M677" s="74"/>
      <c r="N677" s="75"/>
      <c r="O677" s="76"/>
      <c r="Q677" s="77"/>
      <c r="R677" s="77"/>
    </row>
    <row r="678" spans="5:18" ht="15" customHeight="1">
      <c r="E678" s="73"/>
      <c r="M678" s="74"/>
      <c r="N678" s="75"/>
      <c r="O678" s="76"/>
      <c r="Q678" s="77"/>
      <c r="R678" s="77"/>
    </row>
    <row r="679" spans="5:18" ht="15" customHeight="1">
      <c r="E679" s="73"/>
      <c r="M679" s="74"/>
      <c r="N679" s="75"/>
      <c r="O679" s="76"/>
      <c r="Q679" s="77"/>
      <c r="R679" s="77"/>
    </row>
    <row r="680" spans="5:18" ht="15" customHeight="1">
      <c r="E680" s="73"/>
      <c r="M680" s="74"/>
      <c r="N680" s="75"/>
      <c r="O680" s="76"/>
      <c r="Q680" s="77"/>
      <c r="R680" s="77"/>
    </row>
    <row r="681" spans="5:18" ht="15" customHeight="1">
      <c r="E681" s="73"/>
      <c r="M681" s="74"/>
      <c r="N681" s="75"/>
      <c r="O681" s="76"/>
      <c r="Q681" s="77"/>
      <c r="R681" s="77"/>
    </row>
    <row r="682" spans="5:18" ht="15" customHeight="1">
      <c r="E682" s="73"/>
      <c r="M682" s="74"/>
      <c r="N682" s="75"/>
      <c r="O682" s="76"/>
      <c r="Q682" s="77"/>
      <c r="R682" s="77"/>
    </row>
    <row r="683" spans="5:18" ht="15" customHeight="1">
      <c r="E683" s="73"/>
      <c r="M683" s="74"/>
      <c r="N683" s="75"/>
      <c r="O683" s="76"/>
      <c r="Q683" s="77"/>
      <c r="R683" s="77"/>
    </row>
    <row r="684" spans="5:18" ht="15" customHeight="1">
      <c r="E684" s="73"/>
      <c r="M684" s="74"/>
      <c r="N684" s="75"/>
      <c r="O684" s="76"/>
      <c r="Q684" s="77"/>
      <c r="R684" s="77"/>
    </row>
    <row r="685" spans="5:18" ht="15" customHeight="1">
      <c r="E685" s="73"/>
      <c r="M685" s="74"/>
      <c r="N685" s="75"/>
      <c r="O685" s="76"/>
      <c r="Q685" s="77"/>
      <c r="R685" s="77"/>
    </row>
    <row r="686" spans="5:18" ht="15" customHeight="1">
      <c r="E686" s="73"/>
      <c r="M686" s="74"/>
      <c r="N686" s="75"/>
      <c r="O686" s="76"/>
      <c r="Q686" s="77"/>
      <c r="R686" s="77"/>
    </row>
    <row r="687" spans="5:18" ht="15" customHeight="1">
      <c r="E687" s="73"/>
      <c r="M687" s="74"/>
      <c r="N687" s="75"/>
      <c r="O687" s="76"/>
      <c r="Q687" s="77"/>
      <c r="R687" s="77"/>
    </row>
    <row r="688" spans="5:18" ht="15" customHeight="1">
      <c r="E688" s="73"/>
      <c r="M688" s="74"/>
      <c r="N688" s="75"/>
      <c r="O688" s="76"/>
      <c r="Q688" s="77"/>
      <c r="R688" s="77"/>
    </row>
    <row r="689" spans="5:18" ht="15" customHeight="1">
      <c r="E689" s="73"/>
      <c r="M689" s="74"/>
      <c r="N689" s="75"/>
      <c r="O689" s="76"/>
      <c r="Q689" s="77"/>
      <c r="R689" s="77"/>
    </row>
    <row r="690" spans="5:18" ht="15" customHeight="1">
      <c r="E690" s="73"/>
      <c r="M690" s="74"/>
      <c r="N690" s="75"/>
      <c r="O690" s="76"/>
      <c r="Q690" s="77"/>
      <c r="R690" s="77"/>
    </row>
    <row r="691" spans="5:18" ht="15" customHeight="1">
      <c r="E691" s="73"/>
      <c r="M691" s="74"/>
      <c r="N691" s="75"/>
      <c r="O691" s="76"/>
      <c r="Q691" s="77"/>
      <c r="R691" s="77"/>
    </row>
    <row r="692" spans="5:18" ht="15" customHeight="1">
      <c r="E692" s="73"/>
      <c r="M692" s="74"/>
      <c r="N692" s="75"/>
      <c r="O692" s="76"/>
      <c r="Q692" s="77"/>
      <c r="R692" s="77"/>
    </row>
    <row r="693" spans="5:18" ht="15" customHeight="1">
      <c r="E693" s="73"/>
      <c r="M693" s="74"/>
      <c r="N693" s="75"/>
      <c r="O693" s="76"/>
      <c r="Q693" s="77"/>
      <c r="R693" s="77"/>
    </row>
    <row r="694" spans="5:18" ht="15" customHeight="1">
      <c r="E694" s="73"/>
      <c r="M694" s="74"/>
      <c r="N694" s="75"/>
      <c r="O694" s="76"/>
      <c r="Q694" s="77"/>
      <c r="R694" s="77"/>
    </row>
  </sheetData>
  <mergeCells count="3">
    <mergeCell ref="A1:D2"/>
    <mergeCell ref="E1:L2"/>
    <mergeCell ref="M1:Q2"/>
  </mergeCells>
  <conditionalFormatting sqref="I4:I88">
    <cfRule type="expression" dxfId="3" priority="57">
      <formula>COUNTIF(I:I,I4)&gt;1</formula>
    </cfRule>
  </conditionalFormatting>
  <conditionalFormatting sqref="I89:I694">
    <cfRule type="expression" dxfId="2" priority="1">
      <formula>COUNTIF(I:I,I89)&gt;1</formula>
    </cfRule>
  </conditionalFormatting>
  <conditionalFormatting sqref="K4:K88">
    <cfRule type="expression" dxfId="1" priority="58">
      <formula>COUNTIF(K:K,K4)&gt;1</formula>
    </cfRule>
  </conditionalFormatting>
  <conditionalFormatting sqref="K89:K694">
    <cfRule type="expression" dxfId="0" priority="2">
      <formula>COUNTIF(K:K,K89)&gt;1</formula>
    </cfRule>
  </conditionalFormatting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02"/>
  <sheetViews>
    <sheetView workbookViewId="0"/>
  </sheetViews>
  <sheetFormatPr defaultColWidth="14.44140625" defaultRowHeight="15" customHeight="1"/>
  <cols>
    <col min="8" max="8" width="21.88671875" customWidth="1"/>
    <col min="10" max="10" width="24.5546875" customWidth="1"/>
    <col min="11" max="12" width="25.5546875" customWidth="1"/>
    <col min="13" max="13" width="20.88671875" customWidth="1"/>
    <col min="19" max="19" width="84.109375" customWidth="1"/>
    <col min="20" max="20" width="26.33203125" customWidth="1"/>
    <col min="21" max="21" width="16.88671875" customWidth="1"/>
  </cols>
  <sheetData>
    <row r="1" spans="1:28">
      <c r="A1" s="78" t="s">
        <v>466</v>
      </c>
      <c r="B1" s="78" t="s">
        <v>467</v>
      </c>
      <c r="C1" s="78" t="s">
        <v>82</v>
      </c>
      <c r="D1" s="78" t="s">
        <v>468</v>
      </c>
      <c r="E1" s="78" t="s">
        <v>469</v>
      </c>
      <c r="F1" s="78" t="s">
        <v>470</v>
      </c>
      <c r="G1" s="78" t="s">
        <v>471</v>
      </c>
      <c r="H1" s="78" t="s">
        <v>472</v>
      </c>
      <c r="I1" s="78" t="s">
        <v>473</v>
      </c>
      <c r="J1" s="78" t="s">
        <v>474</v>
      </c>
      <c r="K1" s="78" t="s">
        <v>475</v>
      </c>
      <c r="L1" s="78" t="s">
        <v>476</v>
      </c>
      <c r="M1" s="78" t="s">
        <v>485</v>
      </c>
      <c r="N1" s="78" t="s">
        <v>478</v>
      </c>
      <c r="O1" s="78" t="s">
        <v>486</v>
      </c>
      <c r="P1" s="78" t="s">
        <v>480</v>
      </c>
      <c r="Q1" s="78" t="s">
        <v>481</v>
      </c>
      <c r="R1" s="79" t="s">
        <v>482</v>
      </c>
      <c r="S1" s="80"/>
      <c r="T1" s="81"/>
      <c r="U1" s="81"/>
      <c r="V1" s="81"/>
      <c r="W1" s="81"/>
      <c r="X1" s="81"/>
      <c r="Y1" s="81"/>
      <c r="Z1" s="81"/>
      <c r="AA1" s="81"/>
      <c r="AB1" s="82"/>
    </row>
    <row r="2" spans="1:28">
      <c r="A2" s="83"/>
      <c r="B2" s="84"/>
      <c r="C2" s="83"/>
      <c r="D2" s="84"/>
      <c r="E2" s="85"/>
      <c r="F2" s="86"/>
      <c r="G2" s="86"/>
      <c r="H2" s="86"/>
      <c r="I2" s="83"/>
      <c r="J2" s="86"/>
      <c r="K2" s="86"/>
      <c r="L2" s="86"/>
      <c r="M2" s="87"/>
      <c r="N2" s="88"/>
      <c r="O2" s="88"/>
      <c r="P2" s="88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9"/>
    </row>
    <row r="3" spans="1:28">
      <c r="A3" s="90"/>
      <c r="B3" s="91"/>
      <c r="C3" s="90"/>
      <c r="D3" s="91"/>
      <c r="E3" s="92"/>
      <c r="F3" s="93"/>
      <c r="G3" s="93"/>
      <c r="H3" s="93"/>
      <c r="I3" s="90"/>
      <c r="J3" s="93"/>
      <c r="K3" s="93"/>
      <c r="L3" s="93"/>
      <c r="M3" s="87"/>
      <c r="N3" s="94"/>
      <c r="O3" s="94"/>
      <c r="P3" s="94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5"/>
    </row>
    <row r="4" spans="1:28">
      <c r="A4" s="83"/>
      <c r="B4" s="84"/>
      <c r="C4" s="83"/>
      <c r="D4" s="84"/>
      <c r="E4" s="85"/>
      <c r="F4" s="86"/>
      <c r="G4" s="86"/>
      <c r="H4" s="86"/>
      <c r="I4" s="83"/>
      <c r="J4" s="86"/>
      <c r="K4" s="86"/>
      <c r="L4" s="86"/>
      <c r="M4" s="87"/>
      <c r="N4" s="88"/>
      <c r="O4" s="88"/>
      <c r="P4" s="88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9"/>
    </row>
    <row r="5" spans="1:28">
      <c r="A5" s="90"/>
      <c r="B5" s="91"/>
      <c r="C5" s="90"/>
      <c r="D5" s="91"/>
      <c r="E5" s="92"/>
      <c r="F5" s="93"/>
      <c r="G5" s="93"/>
      <c r="H5" s="93"/>
      <c r="I5" s="90"/>
      <c r="J5" s="93"/>
      <c r="K5" s="93"/>
      <c r="L5" s="93"/>
      <c r="M5" s="87"/>
      <c r="N5" s="94"/>
      <c r="O5" s="94"/>
      <c r="P5" s="94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5"/>
    </row>
    <row r="6" spans="1:28">
      <c r="A6" s="83"/>
      <c r="B6" s="84"/>
      <c r="C6" s="83"/>
      <c r="D6" s="84"/>
      <c r="E6" s="85"/>
      <c r="F6" s="86"/>
      <c r="G6" s="86"/>
      <c r="H6" s="86"/>
      <c r="I6" s="83"/>
      <c r="J6" s="86"/>
      <c r="K6" s="86"/>
      <c r="L6" s="86"/>
      <c r="M6" s="87"/>
      <c r="N6" s="88"/>
      <c r="O6" s="88"/>
      <c r="P6" s="88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9"/>
    </row>
    <row r="7" spans="1:28">
      <c r="A7" s="90"/>
      <c r="B7" s="91"/>
      <c r="C7" s="90"/>
      <c r="D7" s="91"/>
      <c r="E7" s="92"/>
      <c r="F7" s="93"/>
      <c r="G7" s="93"/>
      <c r="H7" s="93"/>
      <c r="I7" s="90"/>
      <c r="J7" s="93"/>
      <c r="K7" s="93"/>
      <c r="L7" s="93"/>
      <c r="M7" s="87"/>
      <c r="N7" s="94"/>
      <c r="O7" s="94"/>
      <c r="P7" s="94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5"/>
    </row>
    <row r="8" spans="1:28">
      <c r="A8" s="83"/>
      <c r="B8" s="84"/>
      <c r="C8" s="83"/>
      <c r="D8" s="84"/>
      <c r="E8" s="85"/>
      <c r="F8" s="86"/>
      <c r="G8" s="86"/>
      <c r="H8" s="86"/>
      <c r="I8" s="83"/>
      <c r="J8" s="86"/>
      <c r="K8" s="86"/>
      <c r="L8" s="86"/>
      <c r="M8" s="87"/>
      <c r="N8" s="88"/>
      <c r="O8" s="88"/>
      <c r="P8" s="88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9"/>
    </row>
    <row r="9" spans="1:28">
      <c r="A9" s="90"/>
      <c r="B9" s="91"/>
      <c r="C9" s="90"/>
      <c r="D9" s="91"/>
      <c r="E9" s="92"/>
      <c r="F9" s="93"/>
      <c r="G9" s="93"/>
      <c r="H9" s="93"/>
      <c r="I9" s="90"/>
      <c r="J9" s="93"/>
      <c r="K9" s="93"/>
      <c r="L9" s="93"/>
      <c r="M9" s="87"/>
      <c r="N9" s="94"/>
      <c r="O9" s="94"/>
      <c r="P9" s="94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5"/>
    </row>
    <row r="10" spans="1:28">
      <c r="A10" s="83"/>
      <c r="B10" s="84"/>
      <c r="C10" s="83"/>
      <c r="D10" s="84"/>
      <c r="E10" s="85"/>
      <c r="F10" s="86"/>
      <c r="G10" s="86"/>
      <c r="H10" s="86"/>
      <c r="I10" s="83"/>
      <c r="J10" s="86"/>
      <c r="K10" s="86"/>
      <c r="L10" s="86"/>
      <c r="M10" s="87"/>
      <c r="N10" s="88"/>
      <c r="O10" s="88"/>
      <c r="P10" s="88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9"/>
    </row>
    <row r="11" spans="1:28">
      <c r="A11" s="90"/>
      <c r="B11" s="91"/>
      <c r="C11" s="90"/>
      <c r="D11" s="91"/>
      <c r="E11" s="92"/>
      <c r="F11" s="93"/>
      <c r="G11" s="93"/>
      <c r="H11" s="93"/>
      <c r="I11" s="90"/>
      <c r="J11" s="93"/>
      <c r="K11" s="93"/>
      <c r="L11" s="93"/>
      <c r="M11" s="87"/>
      <c r="N11" s="94"/>
      <c r="O11" s="94"/>
      <c r="P11" s="94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5"/>
    </row>
    <row r="12" spans="1:28">
      <c r="A12" s="83"/>
      <c r="B12" s="84"/>
      <c r="C12" s="83"/>
      <c r="D12" s="84"/>
      <c r="E12" s="85"/>
      <c r="F12" s="86"/>
      <c r="G12" s="86"/>
      <c r="H12" s="86"/>
      <c r="I12" s="83"/>
      <c r="J12" s="86"/>
      <c r="K12" s="86"/>
      <c r="L12" s="86"/>
      <c r="M12" s="87"/>
      <c r="N12" s="88"/>
      <c r="O12" s="88"/>
      <c r="P12" s="88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9"/>
    </row>
    <row r="13" spans="1:28">
      <c r="A13" s="90"/>
      <c r="B13" s="91"/>
      <c r="C13" s="90"/>
      <c r="D13" s="91"/>
      <c r="E13" s="92"/>
      <c r="F13" s="93"/>
      <c r="G13" s="93"/>
      <c r="H13" s="93"/>
      <c r="I13" s="90"/>
      <c r="J13" s="93"/>
      <c r="K13" s="93"/>
      <c r="L13" s="93"/>
      <c r="M13" s="87"/>
      <c r="N13" s="94"/>
      <c r="O13" s="94"/>
      <c r="P13" s="94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5"/>
    </row>
    <row r="14" spans="1:28">
      <c r="A14" s="83"/>
      <c r="B14" s="84"/>
      <c r="C14" s="83"/>
      <c r="D14" s="84"/>
      <c r="E14" s="85"/>
      <c r="F14" s="86"/>
      <c r="G14" s="86"/>
      <c r="H14" s="86"/>
      <c r="I14" s="83"/>
      <c r="J14" s="86"/>
      <c r="K14" s="86"/>
      <c r="L14" s="86"/>
      <c r="M14" s="87"/>
      <c r="N14" s="88"/>
      <c r="O14" s="88"/>
      <c r="P14" s="88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9"/>
    </row>
    <row r="15" spans="1:28">
      <c r="A15" s="90"/>
      <c r="B15" s="91"/>
      <c r="C15" s="90"/>
      <c r="D15" s="91"/>
      <c r="E15" s="92"/>
      <c r="F15" s="93"/>
      <c r="G15" s="93"/>
      <c r="H15" s="93"/>
      <c r="I15" s="90"/>
      <c r="J15" s="93"/>
      <c r="K15" s="93"/>
      <c r="L15" s="93"/>
      <c r="M15" s="87"/>
      <c r="N15" s="94"/>
      <c r="O15" s="94"/>
      <c r="P15" s="94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5"/>
    </row>
    <row r="16" spans="1:28">
      <c r="A16" s="83"/>
      <c r="B16" s="84"/>
      <c r="C16" s="83"/>
      <c r="D16" s="84"/>
      <c r="E16" s="85"/>
      <c r="F16" s="86"/>
      <c r="G16" s="86"/>
      <c r="H16" s="86"/>
      <c r="I16" s="83"/>
      <c r="J16" s="86"/>
      <c r="K16" s="86"/>
      <c r="L16" s="86"/>
      <c r="M16" s="83"/>
      <c r="N16" s="88"/>
      <c r="O16" s="88"/>
      <c r="P16" s="88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9"/>
    </row>
    <row r="17" spans="1:28">
      <c r="A17" s="90"/>
      <c r="B17" s="91"/>
      <c r="C17" s="90"/>
      <c r="D17" s="91"/>
      <c r="E17" s="92"/>
      <c r="F17" s="93"/>
      <c r="G17" s="93"/>
      <c r="H17" s="93"/>
      <c r="I17" s="90"/>
      <c r="J17" s="93"/>
      <c r="K17" s="93"/>
      <c r="L17" s="93"/>
      <c r="M17" s="90"/>
      <c r="N17" s="94"/>
      <c r="O17" s="94"/>
      <c r="P17" s="94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5"/>
    </row>
    <row r="18" spans="1:28">
      <c r="A18" s="83"/>
      <c r="B18" s="84"/>
      <c r="C18" s="83"/>
      <c r="D18" s="84"/>
      <c r="E18" s="85"/>
      <c r="F18" s="86"/>
      <c r="G18" s="86"/>
      <c r="H18" s="86"/>
      <c r="I18" s="83"/>
      <c r="J18" s="86"/>
      <c r="K18" s="86"/>
      <c r="L18" s="86"/>
      <c r="M18" s="87"/>
      <c r="N18" s="88"/>
      <c r="O18" s="88"/>
      <c r="P18" s="88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9"/>
    </row>
    <row r="19" spans="1:28">
      <c r="A19" s="90"/>
      <c r="B19" s="91"/>
      <c r="C19" s="90"/>
      <c r="D19" s="91"/>
      <c r="E19" s="92"/>
      <c r="F19" s="93"/>
      <c r="G19" s="93"/>
      <c r="H19" s="93"/>
      <c r="I19" s="90"/>
      <c r="J19" s="93"/>
      <c r="K19" s="93"/>
      <c r="L19" s="93"/>
      <c r="M19" s="87"/>
      <c r="N19" s="94"/>
      <c r="O19" s="94"/>
      <c r="P19" s="94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5"/>
    </row>
    <row r="20" spans="1:28">
      <c r="A20" s="83"/>
      <c r="B20" s="84"/>
      <c r="C20" s="83"/>
      <c r="D20" s="84"/>
      <c r="E20" s="85"/>
      <c r="F20" s="86"/>
      <c r="G20" s="86"/>
      <c r="H20" s="86"/>
      <c r="I20" s="83"/>
      <c r="J20" s="86"/>
      <c r="K20" s="86"/>
      <c r="L20" s="86"/>
      <c r="M20" s="87"/>
      <c r="N20" s="88"/>
      <c r="O20" s="88"/>
      <c r="P20" s="88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9"/>
    </row>
    <row r="21" spans="1:28">
      <c r="A21" s="90"/>
      <c r="B21" s="91"/>
      <c r="C21" s="90"/>
      <c r="D21" s="91"/>
      <c r="E21" s="92"/>
      <c r="F21" s="93"/>
      <c r="G21" s="93"/>
      <c r="H21" s="93"/>
      <c r="I21" s="90"/>
      <c r="J21" s="93"/>
      <c r="K21" s="93"/>
      <c r="L21" s="93"/>
      <c r="M21" s="87"/>
      <c r="N21" s="94"/>
      <c r="O21" s="94"/>
      <c r="P21" s="94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5"/>
    </row>
    <row r="22" spans="1:28">
      <c r="A22" s="83"/>
      <c r="B22" s="84"/>
      <c r="C22" s="83"/>
      <c r="D22" s="84"/>
      <c r="E22" s="85"/>
      <c r="F22" s="86"/>
      <c r="G22" s="86"/>
      <c r="H22" s="86"/>
      <c r="I22" s="83"/>
      <c r="J22" s="86"/>
      <c r="K22" s="86"/>
      <c r="L22" s="86"/>
      <c r="M22" s="87"/>
      <c r="N22" s="88"/>
      <c r="O22" s="88"/>
      <c r="P22" s="88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9"/>
    </row>
    <row r="23" spans="1:28">
      <c r="A23" s="96"/>
      <c r="B23" s="96"/>
      <c r="C23" s="95"/>
      <c r="D23" s="96"/>
      <c r="E23" s="97"/>
      <c r="F23" s="97"/>
      <c r="G23" s="97"/>
      <c r="H23" s="97"/>
      <c r="I23" s="98"/>
      <c r="J23" s="97"/>
      <c r="K23" s="99"/>
      <c r="L23" s="99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</row>
    <row r="24" spans="1:28">
      <c r="A24" s="96"/>
      <c r="B24" s="96"/>
      <c r="C24" s="95"/>
      <c r="D24" s="96"/>
      <c r="E24" s="97"/>
      <c r="F24" s="97"/>
      <c r="G24" s="97"/>
      <c r="H24" s="97"/>
      <c r="I24" s="98"/>
      <c r="J24" s="97"/>
      <c r="K24" s="99"/>
      <c r="L24" s="99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</row>
    <row r="25" spans="1:28">
      <c r="A25" s="96"/>
      <c r="B25" s="96"/>
      <c r="C25" s="95"/>
      <c r="D25" s="96"/>
      <c r="E25" s="97"/>
      <c r="F25" s="97"/>
      <c r="G25" s="97"/>
      <c r="H25" s="97"/>
      <c r="I25" s="98"/>
      <c r="J25" s="97"/>
      <c r="K25" s="99"/>
      <c r="L25" s="99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 spans="1:28">
      <c r="A26" s="96"/>
      <c r="B26" s="96"/>
      <c r="C26" s="95"/>
      <c r="D26" s="96"/>
      <c r="E26" s="97"/>
      <c r="F26" s="97"/>
      <c r="G26" s="97"/>
      <c r="H26" s="97"/>
      <c r="I26" s="98"/>
      <c r="J26" s="97"/>
      <c r="K26" s="99"/>
      <c r="L26" s="99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 spans="1:28">
      <c r="A27" s="96"/>
      <c r="B27" s="96"/>
      <c r="C27" s="95"/>
      <c r="D27" s="96"/>
      <c r="E27" s="97"/>
      <c r="F27" s="97"/>
      <c r="G27" s="97"/>
      <c r="H27" s="97"/>
      <c r="I27" s="98"/>
      <c r="J27" s="97"/>
      <c r="K27" s="99"/>
      <c r="L27" s="99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 spans="1:28">
      <c r="A28" s="96"/>
      <c r="B28" s="96"/>
      <c r="C28" s="95"/>
      <c r="D28" s="96"/>
      <c r="E28" s="97"/>
      <c r="F28" s="97"/>
      <c r="G28" s="97"/>
      <c r="H28" s="97"/>
      <c r="I28" s="98"/>
      <c r="J28" s="97"/>
      <c r="K28" s="99"/>
      <c r="L28" s="99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</row>
    <row r="29" spans="1:28">
      <c r="A29" s="96"/>
      <c r="B29" s="96"/>
      <c r="C29" s="95"/>
      <c r="D29" s="96"/>
      <c r="E29" s="97"/>
      <c r="F29" s="97"/>
      <c r="G29" s="97"/>
      <c r="H29" s="97"/>
      <c r="I29" s="98"/>
      <c r="J29" s="97"/>
      <c r="K29" s="99"/>
      <c r="L29" s="99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</row>
    <row r="30" spans="1:28">
      <c r="A30" s="96"/>
      <c r="B30" s="96"/>
      <c r="C30" s="95"/>
      <c r="D30" s="96"/>
      <c r="E30" s="97"/>
      <c r="F30" s="97"/>
      <c r="G30" s="97"/>
      <c r="H30" s="97"/>
      <c r="I30" s="98"/>
      <c r="J30" s="97"/>
      <c r="K30" s="99"/>
      <c r="L30" s="99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</row>
    <row r="31" spans="1:28">
      <c r="A31" s="96"/>
      <c r="B31" s="96"/>
      <c r="C31" s="95"/>
      <c r="D31" s="96"/>
      <c r="E31" s="97"/>
      <c r="F31" s="97"/>
      <c r="G31" s="97"/>
      <c r="H31" s="97"/>
      <c r="I31" s="98"/>
      <c r="J31" s="97"/>
      <c r="K31" s="99"/>
      <c r="L31" s="99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</row>
    <row r="32" spans="1:28">
      <c r="A32" s="96"/>
      <c r="B32" s="96"/>
      <c r="C32" s="95"/>
      <c r="D32" s="96"/>
      <c r="E32" s="97"/>
      <c r="F32" s="97"/>
      <c r="G32" s="97"/>
      <c r="H32" s="97"/>
      <c r="I32" s="98"/>
      <c r="J32" s="97"/>
      <c r="K32" s="99"/>
      <c r="L32" s="99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 spans="1:28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 spans="1:28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 spans="1:28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 spans="1:28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 spans="1:28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 spans="1:28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 spans="1:28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 spans="1:28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spans="1:28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spans="1:28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spans="1:28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spans="1:28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spans="1:28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spans="1:28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spans="1:28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spans="1:28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spans="1:28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spans="1:28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 spans="1:28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</row>
    <row r="52" spans="1:28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 spans="1:28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</row>
    <row r="54" spans="1:28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</row>
    <row r="55" spans="1:28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 spans="1:28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 spans="1:28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 spans="1:2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 spans="1:28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 spans="1:28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</row>
    <row r="61" spans="1:28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 spans="1:28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</row>
    <row r="63" spans="1:28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</row>
    <row r="64" spans="1:28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</row>
    <row r="65" spans="1:28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 spans="1:28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</row>
    <row r="67" spans="1:28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</row>
    <row r="68" spans="1:2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</row>
    <row r="69" spans="1:28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</row>
    <row r="70" spans="1:28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</row>
    <row r="71" spans="1:28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</row>
    <row r="72" spans="1:28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 spans="1:28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</row>
    <row r="74" spans="1:28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</row>
    <row r="75" spans="1:28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</row>
    <row r="76" spans="1:28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</row>
    <row r="77" spans="1:28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</row>
    <row r="78" spans="1:28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</row>
    <row r="79" spans="1:28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</row>
    <row r="80" spans="1:28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</row>
    <row r="81" spans="1:28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</row>
    <row r="82" spans="1:28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</row>
    <row r="83" spans="1:28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</row>
    <row r="84" spans="1:28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</row>
    <row r="85" spans="1:28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</row>
    <row r="86" spans="1:28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 spans="1:28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 spans="1:2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</row>
    <row r="89" spans="1:28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</row>
    <row r="90" spans="1:28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</row>
    <row r="91" spans="1:28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</row>
    <row r="92" spans="1:28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</row>
    <row r="93" spans="1:28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</row>
    <row r="94" spans="1:28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</row>
    <row r="95" spans="1:28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</row>
    <row r="96" spans="1:28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</row>
    <row r="97" spans="1:28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</row>
    <row r="98" spans="1:2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</row>
    <row r="99" spans="1:28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</row>
    <row r="100" spans="1:28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</row>
    <row r="101" spans="1:28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</row>
    <row r="102" spans="1:28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</row>
    <row r="103" spans="1:28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</row>
    <row r="104" spans="1:28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</row>
    <row r="105" spans="1:28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</row>
    <row r="106" spans="1:28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</row>
    <row r="107" spans="1:28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</row>
    <row r="108" spans="1:2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</row>
    <row r="109" spans="1:28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</row>
    <row r="110" spans="1:28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</row>
    <row r="111" spans="1:28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</row>
    <row r="112" spans="1:28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</row>
    <row r="113" spans="1:28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</row>
    <row r="114" spans="1:28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</row>
    <row r="115" spans="1:28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</row>
    <row r="116" spans="1:28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</row>
    <row r="117" spans="1:28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</row>
    <row r="118" spans="1:2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</row>
    <row r="119" spans="1:28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</row>
    <row r="120" spans="1:28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</row>
    <row r="121" spans="1:28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</row>
    <row r="122" spans="1:28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</row>
    <row r="123" spans="1:28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</row>
    <row r="124" spans="1:28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</row>
    <row r="125" spans="1:28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</row>
    <row r="126" spans="1:28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</row>
    <row r="127" spans="1:28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</row>
    <row r="128" spans="1: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</row>
    <row r="129" spans="1:28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</row>
    <row r="130" spans="1:28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</row>
    <row r="131" spans="1:28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</row>
    <row r="132" spans="1:28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</row>
    <row r="133" spans="1:28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</row>
    <row r="134" spans="1:28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 spans="1:28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 spans="1:28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 spans="1:28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</row>
    <row r="138" spans="1:2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 spans="1:28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 spans="1:28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 spans="1:28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 spans="1:28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 spans="1:28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 spans="1:28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 spans="1:28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</row>
    <row r="146" spans="1:28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</row>
    <row r="147" spans="1:28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</row>
    <row r="148" spans="1:2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</row>
    <row r="149" spans="1:28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</row>
    <row r="150" spans="1:28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</row>
    <row r="151" spans="1:28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</row>
    <row r="152" spans="1:28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</row>
    <row r="153" spans="1:28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</row>
    <row r="154" spans="1:28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</row>
    <row r="155" spans="1:28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</row>
    <row r="156" spans="1:28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</row>
    <row r="157" spans="1:28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</row>
    <row r="158" spans="1:2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</row>
    <row r="159" spans="1:28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</row>
    <row r="160" spans="1:28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</row>
    <row r="161" spans="1:28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</row>
    <row r="162" spans="1:28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</row>
    <row r="163" spans="1:28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</row>
    <row r="164" spans="1:28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</row>
    <row r="165" spans="1:28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</row>
    <row r="166" spans="1:28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</row>
    <row r="167" spans="1:28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</row>
    <row r="168" spans="1:2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</row>
    <row r="169" spans="1:28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</row>
    <row r="170" spans="1:28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</row>
    <row r="171" spans="1:28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</row>
    <row r="172" spans="1:28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</row>
    <row r="173" spans="1:28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</row>
    <row r="174" spans="1:28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</row>
    <row r="175" spans="1:28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</row>
    <row r="176" spans="1:28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</row>
    <row r="177" spans="1:28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</row>
    <row r="178" spans="1:2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</row>
    <row r="179" spans="1:28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</row>
    <row r="180" spans="1:28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</row>
    <row r="181" spans="1:28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</row>
    <row r="182" spans="1:28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</row>
    <row r="183" spans="1:28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</row>
    <row r="184" spans="1:28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</row>
    <row r="185" spans="1:28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</row>
    <row r="186" spans="1:28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</row>
    <row r="187" spans="1:28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</row>
    <row r="188" spans="1:2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</row>
    <row r="189" spans="1:28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</row>
    <row r="190" spans="1:28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 spans="1:28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</row>
    <row r="192" spans="1:28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</row>
    <row r="193" spans="1:28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 spans="1:28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</row>
    <row r="195" spans="1:28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 spans="1:28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</row>
    <row r="197" spans="1:28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</row>
    <row r="198" spans="1:2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</row>
    <row r="199" spans="1:28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</row>
    <row r="200" spans="1:28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</row>
    <row r="201" spans="1:28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</row>
    <row r="202" spans="1:28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</row>
    <row r="203" spans="1:28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</row>
    <row r="204" spans="1:28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</row>
    <row r="205" spans="1:28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</row>
    <row r="206" spans="1:28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</row>
    <row r="207" spans="1:28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</row>
    <row r="208" spans="1:2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 spans="1:28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 spans="1:28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</row>
    <row r="211" spans="1:28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</row>
    <row r="212" spans="1:28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</row>
    <row r="213" spans="1:28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</row>
    <row r="214" spans="1:28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</row>
    <row r="215" spans="1:28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</row>
    <row r="216" spans="1:28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</row>
    <row r="217" spans="1:28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</row>
    <row r="218" spans="1:2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</row>
    <row r="219" spans="1:28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</row>
    <row r="220" spans="1:28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</row>
    <row r="221" spans="1:28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</row>
    <row r="222" spans="1:28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</row>
    <row r="223" spans="1:28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</row>
    <row r="224" spans="1:28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</row>
    <row r="225" spans="1:28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</row>
    <row r="226" spans="1:28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</row>
    <row r="227" spans="1:28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</row>
    <row r="228" spans="1: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</row>
    <row r="229" spans="1:28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</row>
    <row r="230" spans="1:28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</row>
    <row r="231" spans="1:28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</row>
    <row r="232" spans="1:28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</row>
    <row r="233" spans="1:28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</row>
    <row r="234" spans="1:28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</row>
    <row r="235" spans="1:28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</row>
    <row r="236" spans="1:28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</row>
    <row r="237" spans="1:28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</row>
    <row r="238" spans="1:2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</row>
    <row r="239" spans="1:28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</row>
    <row r="240" spans="1:28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</row>
    <row r="241" spans="1:28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</row>
    <row r="242" spans="1:28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</row>
    <row r="243" spans="1:28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</row>
    <row r="244" spans="1:28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</row>
    <row r="245" spans="1:28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</row>
    <row r="246" spans="1:28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</row>
    <row r="247" spans="1:28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</row>
    <row r="248" spans="1:2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</row>
    <row r="249" spans="1:28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</row>
    <row r="250" spans="1:28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</row>
    <row r="251" spans="1:28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</row>
    <row r="252" spans="1:28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</row>
    <row r="253" spans="1:28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</row>
    <row r="254" spans="1:28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</row>
    <row r="255" spans="1:28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</row>
    <row r="256" spans="1:28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</row>
    <row r="257" spans="1:28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</row>
    <row r="258" spans="1:2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</row>
    <row r="259" spans="1:28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</row>
    <row r="260" spans="1:28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</row>
    <row r="261" spans="1:28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</row>
    <row r="262" spans="1:28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</row>
    <row r="263" spans="1:28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</row>
    <row r="264" spans="1:28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</row>
    <row r="265" spans="1:28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</row>
    <row r="266" spans="1:28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</row>
    <row r="267" spans="1:28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</row>
    <row r="268" spans="1:2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</row>
    <row r="269" spans="1:28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</row>
    <row r="270" spans="1:28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</row>
    <row r="271" spans="1:28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</row>
    <row r="272" spans="1:28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</row>
    <row r="273" spans="1:28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</row>
    <row r="274" spans="1:28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</row>
    <row r="275" spans="1:28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</row>
    <row r="276" spans="1:28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</row>
    <row r="277" spans="1:28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</row>
    <row r="278" spans="1:2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</row>
    <row r="279" spans="1:28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</row>
    <row r="280" spans="1:28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</row>
    <row r="281" spans="1:28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</row>
    <row r="282" spans="1:28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</row>
    <row r="283" spans="1:28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</row>
    <row r="284" spans="1:28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</row>
    <row r="285" spans="1:28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</row>
    <row r="286" spans="1:28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</row>
    <row r="287" spans="1:28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</row>
    <row r="288" spans="1:2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</row>
    <row r="289" spans="1:28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</row>
    <row r="290" spans="1:28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</row>
    <row r="291" spans="1:28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</row>
    <row r="292" spans="1:28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</row>
    <row r="293" spans="1:28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</row>
    <row r="294" spans="1:28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</row>
    <row r="295" spans="1:28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</row>
    <row r="296" spans="1:28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</row>
    <row r="297" spans="1:28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</row>
    <row r="298" spans="1:2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</row>
    <row r="299" spans="1:28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</row>
    <row r="300" spans="1:28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</row>
    <row r="301" spans="1:28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</row>
    <row r="302" spans="1:28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</row>
    <row r="303" spans="1:28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</row>
    <row r="304" spans="1:28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</row>
    <row r="305" spans="1:28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</row>
    <row r="306" spans="1:28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</row>
    <row r="307" spans="1:28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</row>
    <row r="308" spans="1:2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</row>
    <row r="309" spans="1:28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</row>
    <row r="310" spans="1:28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 spans="1:28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</row>
    <row r="312" spans="1:28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</row>
    <row r="313" spans="1:28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</row>
    <row r="314" spans="1:28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</row>
    <row r="315" spans="1:28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</row>
    <row r="316" spans="1:28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</row>
    <row r="317" spans="1:28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</row>
    <row r="318" spans="1:2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</row>
    <row r="319" spans="1:28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</row>
    <row r="320" spans="1:28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</row>
    <row r="321" spans="1:28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</row>
    <row r="322" spans="1:28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</row>
    <row r="323" spans="1:28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</row>
    <row r="324" spans="1:28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</row>
    <row r="325" spans="1:28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</row>
    <row r="326" spans="1:28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</row>
    <row r="327" spans="1:28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</row>
    <row r="328" spans="1: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</row>
    <row r="329" spans="1:28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</row>
    <row r="330" spans="1:28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</row>
    <row r="331" spans="1:28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</row>
    <row r="332" spans="1:28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</row>
    <row r="333" spans="1:28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</row>
    <row r="334" spans="1:28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</row>
    <row r="335" spans="1:28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</row>
    <row r="336" spans="1:28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</row>
    <row r="337" spans="1:28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</row>
    <row r="338" spans="1:2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</row>
    <row r="339" spans="1:28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</row>
    <row r="340" spans="1:28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</row>
    <row r="341" spans="1:28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</row>
    <row r="342" spans="1:28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</row>
    <row r="343" spans="1:28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</row>
    <row r="344" spans="1:28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</row>
    <row r="345" spans="1:28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</row>
    <row r="346" spans="1:28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</row>
    <row r="347" spans="1:28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</row>
    <row r="348" spans="1:2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</row>
    <row r="349" spans="1:28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</row>
    <row r="350" spans="1:28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</row>
    <row r="351" spans="1:28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</row>
    <row r="352" spans="1:28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</row>
    <row r="353" spans="1:28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</row>
    <row r="354" spans="1:28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</row>
    <row r="355" spans="1:28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</row>
    <row r="356" spans="1:28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</row>
    <row r="357" spans="1:28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</row>
    <row r="358" spans="1:2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</row>
    <row r="359" spans="1:28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</row>
    <row r="360" spans="1:28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</row>
    <row r="361" spans="1:28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</row>
    <row r="362" spans="1:28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</row>
    <row r="363" spans="1:28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</row>
    <row r="364" spans="1:28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</row>
    <row r="365" spans="1:28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</row>
    <row r="366" spans="1:28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</row>
    <row r="367" spans="1:28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</row>
    <row r="368" spans="1:2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</row>
    <row r="369" spans="1:28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</row>
    <row r="370" spans="1:28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</row>
    <row r="371" spans="1:28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</row>
    <row r="372" spans="1:28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</row>
    <row r="373" spans="1:28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</row>
    <row r="374" spans="1:28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</row>
    <row r="375" spans="1:28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</row>
    <row r="376" spans="1:28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</row>
    <row r="377" spans="1:28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</row>
    <row r="378" spans="1:2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</row>
    <row r="379" spans="1:28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</row>
    <row r="380" spans="1:28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</row>
    <row r="381" spans="1:28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</row>
    <row r="382" spans="1:28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</row>
    <row r="383" spans="1:28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</row>
    <row r="384" spans="1:28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</row>
    <row r="385" spans="1:28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</row>
    <row r="386" spans="1:28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</row>
    <row r="387" spans="1:28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</row>
    <row r="388" spans="1:2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</row>
    <row r="389" spans="1:28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</row>
    <row r="390" spans="1:28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</row>
    <row r="391" spans="1:28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</row>
    <row r="392" spans="1:28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</row>
    <row r="393" spans="1:28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</row>
    <row r="394" spans="1:28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</row>
    <row r="395" spans="1:28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</row>
    <row r="396" spans="1:28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</row>
    <row r="397" spans="1:28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</row>
    <row r="398" spans="1:2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</row>
    <row r="399" spans="1:28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</row>
    <row r="400" spans="1:28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</row>
    <row r="401" spans="1:28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</row>
    <row r="402" spans="1:28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</row>
    <row r="403" spans="1:28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</row>
    <row r="404" spans="1:28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</row>
    <row r="405" spans="1:28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</row>
    <row r="406" spans="1:28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</row>
    <row r="407" spans="1:28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</row>
    <row r="408" spans="1:2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</row>
    <row r="409" spans="1:28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</row>
    <row r="410" spans="1:28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</row>
    <row r="411" spans="1:28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</row>
    <row r="412" spans="1:28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</row>
    <row r="413" spans="1:28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</row>
    <row r="414" spans="1:28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</row>
    <row r="415" spans="1:28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</row>
    <row r="416" spans="1:28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</row>
    <row r="417" spans="1:28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</row>
    <row r="418" spans="1:2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</row>
    <row r="419" spans="1:28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</row>
    <row r="420" spans="1:28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</row>
    <row r="421" spans="1:28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</row>
    <row r="422" spans="1:28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</row>
    <row r="423" spans="1:28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</row>
    <row r="424" spans="1:28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</row>
    <row r="425" spans="1:28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</row>
    <row r="426" spans="1:28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</row>
    <row r="427" spans="1:28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</row>
    <row r="428" spans="1: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</row>
    <row r="429" spans="1:28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</row>
    <row r="430" spans="1:28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</row>
    <row r="431" spans="1:28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</row>
    <row r="432" spans="1:28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</row>
    <row r="433" spans="1:28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</row>
    <row r="434" spans="1:28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</row>
    <row r="435" spans="1:28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</row>
    <row r="436" spans="1:28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</row>
    <row r="437" spans="1:28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</row>
    <row r="438" spans="1:2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</row>
    <row r="439" spans="1:28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</row>
    <row r="440" spans="1:28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</row>
    <row r="441" spans="1:28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</row>
    <row r="442" spans="1:28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</row>
    <row r="443" spans="1:28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</row>
    <row r="444" spans="1:28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</row>
    <row r="445" spans="1:28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</row>
    <row r="446" spans="1:28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</row>
    <row r="447" spans="1:28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</row>
    <row r="448" spans="1:2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</row>
    <row r="449" spans="1:28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</row>
    <row r="450" spans="1:28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</row>
    <row r="451" spans="1:28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</row>
    <row r="452" spans="1:28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</row>
    <row r="453" spans="1:28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</row>
    <row r="454" spans="1:28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</row>
    <row r="455" spans="1:28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</row>
    <row r="456" spans="1:28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</row>
    <row r="457" spans="1:28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</row>
    <row r="458" spans="1:2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</row>
    <row r="459" spans="1:28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</row>
    <row r="460" spans="1:28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</row>
    <row r="461" spans="1:28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</row>
    <row r="462" spans="1:28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</row>
    <row r="463" spans="1:28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</row>
    <row r="464" spans="1:28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</row>
    <row r="465" spans="1:28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</row>
    <row r="466" spans="1:28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</row>
    <row r="467" spans="1:28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</row>
    <row r="468" spans="1:2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</row>
    <row r="469" spans="1:28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</row>
    <row r="470" spans="1:28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</row>
    <row r="471" spans="1:28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</row>
    <row r="472" spans="1:28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</row>
    <row r="473" spans="1:28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</row>
    <row r="474" spans="1:28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</row>
    <row r="475" spans="1:28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</row>
    <row r="476" spans="1:28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</row>
    <row r="477" spans="1:28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</row>
    <row r="478" spans="1:2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</row>
    <row r="479" spans="1:28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</row>
    <row r="480" spans="1:28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</row>
    <row r="481" spans="1:28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</row>
    <row r="482" spans="1:28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</row>
    <row r="483" spans="1:28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</row>
    <row r="484" spans="1:28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</row>
    <row r="485" spans="1:28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</row>
    <row r="486" spans="1:28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</row>
    <row r="487" spans="1:28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</row>
    <row r="488" spans="1:2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</row>
    <row r="489" spans="1:28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</row>
    <row r="490" spans="1:28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</row>
    <row r="491" spans="1:28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</row>
    <row r="492" spans="1:28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</row>
    <row r="493" spans="1:28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</row>
    <row r="494" spans="1:28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</row>
    <row r="495" spans="1:28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</row>
    <row r="496" spans="1:28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</row>
    <row r="497" spans="1:28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</row>
    <row r="498" spans="1:2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</row>
    <row r="499" spans="1:28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</row>
    <row r="500" spans="1:28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</row>
    <row r="501" spans="1:28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</row>
    <row r="502" spans="1:28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</row>
    <row r="503" spans="1:28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</row>
    <row r="504" spans="1:28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</row>
    <row r="505" spans="1:28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</row>
    <row r="506" spans="1:28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</row>
    <row r="507" spans="1:28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</row>
    <row r="508" spans="1:2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</row>
    <row r="509" spans="1:28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</row>
    <row r="510" spans="1:28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</row>
    <row r="511" spans="1:28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</row>
    <row r="512" spans="1:28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</row>
    <row r="513" spans="1:28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</row>
    <row r="514" spans="1:28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</row>
    <row r="515" spans="1:28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</row>
    <row r="516" spans="1:28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</row>
    <row r="517" spans="1:28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</row>
    <row r="518" spans="1:2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</row>
    <row r="519" spans="1:28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</row>
    <row r="520" spans="1:28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</row>
    <row r="521" spans="1:28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</row>
    <row r="522" spans="1:28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</row>
    <row r="523" spans="1:28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</row>
    <row r="524" spans="1:28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</row>
    <row r="525" spans="1:28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</row>
    <row r="526" spans="1:28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</row>
    <row r="527" spans="1:28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</row>
    <row r="528" spans="1: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</row>
    <row r="529" spans="1:28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</row>
    <row r="530" spans="1:28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</row>
    <row r="531" spans="1:28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</row>
    <row r="532" spans="1:28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</row>
    <row r="533" spans="1:28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</row>
    <row r="534" spans="1:28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</row>
    <row r="535" spans="1:28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</row>
    <row r="536" spans="1:28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</row>
    <row r="537" spans="1:28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</row>
    <row r="538" spans="1:2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</row>
    <row r="539" spans="1:28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</row>
    <row r="540" spans="1:28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</row>
    <row r="541" spans="1:28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</row>
    <row r="542" spans="1:28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</row>
    <row r="543" spans="1:28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</row>
    <row r="544" spans="1:28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</row>
    <row r="545" spans="1:28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</row>
    <row r="546" spans="1:28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</row>
    <row r="547" spans="1:28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</row>
    <row r="548" spans="1:2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</row>
    <row r="549" spans="1:28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</row>
    <row r="550" spans="1:28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</row>
    <row r="551" spans="1:28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</row>
    <row r="552" spans="1:28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</row>
    <row r="553" spans="1:28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</row>
    <row r="554" spans="1:28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</row>
    <row r="555" spans="1:28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</row>
    <row r="556" spans="1:28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</row>
    <row r="557" spans="1:28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</row>
    <row r="558" spans="1:2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</row>
    <row r="559" spans="1:28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</row>
    <row r="560" spans="1:28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</row>
    <row r="561" spans="1:28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</row>
    <row r="562" spans="1:28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</row>
    <row r="563" spans="1:28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</row>
    <row r="564" spans="1:28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</row>
    <row r="565" spans="1:28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</row>
    <row r="566" spans="1:28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</row>
    <row r="567" spans="1:28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</row>
    <row r="568" spans="1:2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</row>
    <row r="569" spans="1:28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</row>
    <row r="570" spans="1:28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</row>
    <row r="571" spans="1:28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</row>
    <row r="572" spans="1:28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</row>
    <row r="573" spans="1:28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</row>
    <row r="574" spans="1:28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</row>
    <row r="575" spans="1:28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</row>
    <row r="576" spans="1:28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</row>
    <row r="577" spans="1:28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</row>
    <row r="578" spans="1:2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</row>
    <row r="579" spans="1:28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</row>
    <row r="580" spans="1:28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</row>
    <row r="581" spans="1:28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</row>
    <row r="582" spans="1:28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</row>
    <row r="583" spans="1:28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</row>
    <row r="584" spans="1:28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</row>
    <row r="585" spans="1:28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</row>
    <row r="586" spans="1:28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</row>
    <row r="587" spans="1:28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</row>
    <row r="588" spans="1:2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</row>
    <row r="589" spans="1:28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</row>
    <row r="590" spans="1:28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</row>
    <row r="591" spans="1:28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</row>
    <row r="592" spans="1:28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</row>
    <row r="593" spans="1:28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</row>
    <row r="594" spans="1:28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</row>
    <row r="595" spans="1:28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</row>
    <row r="596" spans="1:28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</row>
    <row r="597" spans="1:28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</row>
    <row r="598" spans="1:2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</row>
    <row r="599" spans="1:28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</row>
    <row r="600" spans="1:28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</row>
    <row r="601" spans="1:28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</row>
    <row r="602" spans="1:28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</row>
    <row r="603" spans="1:28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</row>
    <row r="604" spans="1:28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</row>
    <row r="605" spans="1:28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</row>
    <row r="606" spans="1:28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</row>
    <row r="607" spans="1:28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</row>
    <row r="608" spans="1:2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</row>
    <row r="609" spans="1:28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</row>
    <row r="610" spans="1:28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</row>
    <row r="611" spans="1:28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</row>
    <row r="612" spans="1:28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</row>
    <row r="613" spans="1:28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</row>
    <row r="614" spans="1:28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</row>
    <row r="615" spans="1:28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</row>
    <row r="616" spans="1:28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</row>
    <row r="617" spans="1:28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</row>
    <row r="618" spans="1:2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</row>
    <row r="619" spans="1:28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</row>
    <row r="620" spans="1:28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</row>
    <row r="621" spans="1:28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</row>
    <row r="622" spans="1:28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</row>
    <row r="623" spans="1:28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</row>
    <row r="624" spans="1:28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</row>
    <row r="625" spans="1:28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</row>
    <row r="626" spans="1:28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</row>
    <row r="627" spans="1:28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</row>
    <row r="628" spans="1: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</row>
    <row r="629" spans="1:28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</row>
    <row r="630" spans="1:28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</row>
    <row r="631" spans="1:28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</row>
    <row r="632" spans="1:28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</row>
    <row r="633" spans="1:28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</row>
    <row r="634" spans="1:28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</row>
    <row r="635" spans="1:28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</row>
    <row r="636" spans="1:28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</row>
    <row r="637" spans="1:28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</row>
    <row r="638" spans="1:2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</row>
    <row r="639" spans="1:28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</row>
    <row r="640" spans="1:28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</row>
    <row r="641" spans="1:28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</row>
    <row r="642" spans="1:28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</row>
    <row r="643" spans="1:28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</row>
    <row r="644" spans="1:28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</row>
    <row r="645" spans="1:28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</row>
    <row r="646" spans="1:28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</row>
    <row r="647" spans="1:28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</row>
    <row r="648" spans="1:2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</row>
    <row r="649" spans="1:28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</row>
    <row r="650" spans="1:28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</row>
    <row r="651" spans="1:28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</row>
    <row r="652" spans="1:28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</row>
    <row r="653" spans="1:28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</row>
    <row r="654" spans="1:28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</row>
    <row r="655" spans="1:28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</row>
    <row r="656" spans="1:28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</row>
    <row r="657" spans="1:28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</row>
    <row r="658" spans="1:2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</row>
    <row r="659" spans="1:28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</row>
    <row r="660" spans="1:28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</row>
    <row r="661" spans="1:28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</row>
    <row r="662" spans="1:28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</row>
    <row r="663" spans="1:28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</row>
    <row r="664" spans="1:28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</row>
    <row r="665" spans="1:28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</row>
    <row r="666" spans="1:28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</row>
    <row r="667" spans="1:28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</row>
    <row r="668" spans="1:2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</row>
    <row r="669" spans="1:28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</row>
    <row r="670" spans="1:28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</row>
    <row r="671" spans="1:28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</row>
    <row r="672" spans="1:28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</row>
    <row r="673" spans="1:28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</row>
    <row r="674" spans="1:28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</row>
    <row r="675" spans="1:28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</row>
    <row r="676" spans="1:28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</row>
    <row r="677" spans="1:28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</row>
    <row r="678" spans="1:2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</row>
    <row r="679" spans="1:28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</row>
    <row r="680" spans="1:28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</row>
    <row r="681" spans="1:28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</row>
    <row r="682" spans="1:28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</row>
    <row r="683" spans="1:28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</row>
    <row r="684" spans="1:28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</row>
    <row r="685" spans="1:28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</row>
    <row r="686" spans="1:28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</row>
    <row r="687" spans="1:28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</row>
    <row r="688" spans="1:2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</row>
    <row r="689" spans="1:28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</row>
    <row r="690" spans="1:28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</row>
    <row r="691" spans="1:28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</row>
    <row r="692" spans="1:28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</row>
    <row r="693" spans="1:28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</row>
    <row r="694" spans="1:28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</row>
    <row r="695" spans="1:28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</row>
    <row r="696" spans="1:28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</row>
    <row r="697" spans="1:28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</row>
    <row r="698" spans="1:2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</row>
    <row r="699" spans="1:28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</row>
    <row r="700" spans="1:28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</row>
    <row r="701" spans="1:28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</row>
    <row r="702" spans="1:28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</row>
    <row r="703" spans="1:28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</row>
    <row r="704" spans="1:28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</row>
    <row r="705" spans="1:28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</row>
    <row r="706" spans="1:28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</row>
    <row r="707" spans="1:28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</row>
    <row r="708" spans="1:2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</row>
    <row r="709" spans="1:28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</row>
    <row r="710" spans="1:28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</row>
    <row r="711" spans="1:28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</row>
    <row r="712" spans="1:28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</row>
    <row r="713" spans="1:28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</row>
    <row r="714" spans="1:28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</row>
    <row r="715" spans="1:28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</row>
    <row r="716" spans="1:28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</row>
    <row r="717" spans="1:28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</row>
    <row r="718" spans="1:2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</row>
    <row r="719" spans="1:28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</row>
    <row r="720" spans="1:28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</row>
    <row r="721" spans="1:28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</row>
    <row r="722" spans="1:28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</row>
    <row r="723" spans="1:28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</row>
    <row r="724" spans="1:28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</row>
    <row r="725" spans="1:28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</row>
    <row r="726" spans="1:28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</row>
    <row r="727" spans="1:28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</row>
    <row r="728" spans="1: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</row>
    <row r="729" spans="1:28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</row>
    <row r="730" spans="1:28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</row>
    <row r="731" spans="1:28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</row>
    <row r="732" spans="1:28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</row>
    <row r="733" spans="1:28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</row>
    <row r="734" spans="1:28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</row>
    <row r="735" spans="1:28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</row>
    <row r="736" spans="1:28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</row>
    <row r="737" spans="1:28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</row>
    <row r="738" spans="1:2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</row>
    <row r="739" spans="1:28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</row>
    <row r="740" spans="1:28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</row>
    <row r="741" spans="1:28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</row>
    <row r="742" spans="1:28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</row>
    <row r="743" spans="1:28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</row>
    <row r="744" spans="1:28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</row>
    <row r="745" spans="1:28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</row>
    <row r="746" spans="1:28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</row>
    <row r="747" spans="1:28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</row>
    <row r="748" spans="1:2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</row>
    <row r="749" spans="1:28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</row>
    <row r="750" spans="1:28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</row>
    <row r="751" spans="1:28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</row>
    <row r="752" spans="1:28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</row>
    <row r="753" spans="1:28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</row>
    <row r="754" spans="1:28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</row>
    <row r="755" spans="1:28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</row>
    <row r="756" spans="1:28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</row>
    <row r="757" spans="1:28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</row>
    <row r="758" spans="1:2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</row>
    <row r="759" spans="1:28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</row>
    <row r="760" spans="1:28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</row>
    <row r="761" spans="1:28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</row>
    <row r="762" spans="1:28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</row>
    <row r="763" spans="1:28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</row>
    <row r="764" spans="1:28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</row>
    <row r="765" spans="1:28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</row>
    <row r="766" spans="1:28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</row>
    <row r="767" spans="1:28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</row>
    <row r="768" spans="1:2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</row>
    <row r="769" spans="1:28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</row>
    <row r="770" spans="1:28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</row>
    <row r="771" spans="1:28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</row>
    <row r="772" spans="1:28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</row>
    <row r="773" spans="1:28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</row>
    <row r="774" spans="1:28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</row>
    <row r="775" spans="1:28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</row>
    <row r="776" spans="1:28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</row>
    <row r="777" spans="1:28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</row>
    <row r="778" spans="1:2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</row>
    <row r="779" spans="1:28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</row>
    <row r="780" spans="1:28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</row>
    <row r="781" spans="1:28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</row>
    <row r="782" spans="1:28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</row>
    <row r="783" spans="1:28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</row>
    <row r="784" spans="1:28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</row>
    <row r="785" spans="1:28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</row>
    <row r="786" spans="1:28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</row>
    <row r="787" spans="1:28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</row>
    <row r="788" spans="1:2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</row>
    <row r="789" spans="1:28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</row>
    <row r="790" spans="1:28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</row>
    <row r="791" spans="1:28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</row>
    <row r="792" spans="1:28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</row>
    <row r="793" spans="1:28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</row>
    <row r="794" spans="1:28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</row>
    <row r="795" spans="1:28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</row>
    <row r="796" spans="1:28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</row>
    <row r="797" spans="1:28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</row>
    <row r="798" spans="1:2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</row>
    <row r="799" spans="1:28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</row>
    <row r="800" spans="1:28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</row>
    <row r="801" spans="1:28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</row>
    <row r="802" spans="1:28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</row>
    <row r="803" spans="1:28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</row>
    <row r="804" spans="1:28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</row>
    <row r="805" spans="1:28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</row>
    <row r="806" spans="1:28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</row>
    <row r="807" spans="1:28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</row>
    <row r="808" spans="1:2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</row>
    <row r="809" spans="1:28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</row>
    <row r="810" spans="1:28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</row>
    <row r="811" spans="1:28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</row>
    <row r="812" spans="1:28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</row>
    <row r="813" spans="1:28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</row>
    <row r="814" spans="1:28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</row>
    <row r="815" spans="1:28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</row>
    <row r="816" spans="1:28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</row>
    <row r="817" spans="1:28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</row>
    <row r="818" spans="1:2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</row>
    <row r="819" spans="1:28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</row>
    <row r="820" spans="1:28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</row>
    <row r="821" spans="1:28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</row>
    <row r="822" spans="1:28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</row>
    <row r="823" spans="1:28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</row>
    <row r="824" spans="1:28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</row>
    <row r="825" spans="1:28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</row>
    <row r="826" spans="1:28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</row>
    <row r="827" spans="1:28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</row>
    <row r="828" spans="1: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</row>
    <row r="829" spans="1:28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</row>
    <row r="830" spans="1:28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</row>
    <row r="831" spans="1:28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</row>
    <row r="832" spans="1:28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</row>
    <row r="833" spans="1:28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</row>
    <row r="834" spans="1:28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</row>
    <row r="835" spans="1:28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</row>
    <row r="836" spans="1:28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</row>
    <row r="837" spans="1:28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</row>
    <row r="838" spans="1:2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</row>
    <row r="839" spans="1:28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</row>
    <row r="840" spans="1:28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</row>
    <row r="841" spans="1:28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</row>
    <row r="842" spans="1:28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</row>
    <row r="843" spans="1:28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</row>
    <row r="844" spans="1:28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</row>
    <row r="845" spans="1:28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</row>
    <row r="846" spans="1:28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</row>
    <row r="847" spans="1:28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</row>
    <row r="848" spans="1:2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</row>
    <row r="849" spans="1:28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</row>
    <row r="850" spans="1:28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</row>
    <row r="851" spans="1:28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</row>
    <row r="852" spans="1:28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</row>
    <row r="853" spans="1:28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</row>
    <row r="854" spans="1:28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</row>
    <row r="855" spans="1:28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</row>
    <row r="856" spans="1:28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</row>
    <row r="857" spans="1:28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</row>
    <row r="858" spans="1:2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</row>
    <row r="859" spans="1:28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</row>
    <row r="860" spans="1:28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</row>
    <row r="861" spans="1:28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</row>
    <row r="862" spans="1:28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</row>
    <row r="863" spans="1:28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</row>
    <row r="864" spans="1:28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</row>
    <row r="865" spans="1:28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</row>
    <row r="866" spans="1:28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</row>
    <row r="867" spans="1:28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</row>
    <row r="868" spans="1:2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</row>
    <row r="869" spans="1:28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</row>
    <row r="870" spans="1:28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</row>
    <row r="871" spans="1:28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</row>
    <row r="872" spans="1:28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</row>
    <row r="873" spans="1:28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</row>
    <row r="874" spans="1:28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</row>
    <row r="875" spans="1:28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</row>
    <row r="876" spans="1:28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</row>
    <row r="877" spans="1:28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</row>
    <row r="878" spans="1:2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</row>
    <row r="879" spans="1:28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</row>
    <row r="880" spans="1:28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</row>
    <row r="881" spans="1:28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</row>
    <row r="882" spans="1:28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</row>
    <row r="883" spans="1:28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</row>
    <row r="884" spans="1:28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</row>
    <row r="885" spans="1:28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</row>
    <row r="886" spans="1:28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</row>
    <row r="887" spans="1:28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</row>
    <row r="888" spans="1:2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</row>
    <row r="889" spans="1:28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</row>
    <row r="890" spans="1:28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</row>
    <row r="891" spans="1:28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</row>
    <row r="892" spans="1:28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</row>
    <row r="893" spans="1:28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</row>
    <row r="894" spans="1:28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</row>
    <row r="895" spans="1:28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</row>
    <row r="896" spans="1:28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</row>
    <row r="897" spans="1:28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</row>
    <row r="898" spans="1:2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</row>
    <row r="899" spans="1:28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</row>
    <row r="900" spans="1:28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</row>
    <row r="901" spans="1:28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</row>
    <row r="902" spans="1:28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</row>
  </sheetData>
  <autoFilter ref="A1:S15" xr:uid="{00000000-0009-0000-0000-000006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B1002"/>
  <sheetViews>
    <sheetView showGridLines="0" workbookViewId="0"/>
  </sheetViews>
  <sheetFormatPr defaultColWidth="14.44140625" defaultRowHeight="15" customHeight="1"/>
  <cols>
    <col min="1" max="1" width="15.88671875" customWidth="1"/>
    <col min="2" max="2" width="17.88671875" customWidth="1"/>
    <col min="3" max="3" width="8.44140625" customWidth="1"/>
    <col min="4" max="4" width="2.33203125" hidden="1" customWidth="1"/>
    <col min="5" max="5" width="4.6640625" customWidth="1"/>
    <col min="6" max="6" width="13.44140625" customWidth="1"/>
    <col min="7" max="7" width="12.6640625" customWidth="1"/>
    <col min="8" max="8" width="10.109375" customWidth="1"/>
    <col min="9" max="9" width="8.88671875" customWidth="1"/>
    <col min="10" max="10" width="5.88671875" customWidth="1"/>
    <col min="11" max="11" width="7" customWidth="1"/>
    <col min="12" max="12" width="8.6640625" customWidth="1"/>
    <col min="13" max="13" width="5.44140625" customWidth="1"/>
    <col min="14" max="14" width="9.5546875" customWidth="1"/>
    <col min="15" max="15" width="7.6640625" customWidth="1"/>
    <col min="16" max="16" width="8.44140625" customWidth="1"/>
    <col min="17" max="17" width="14.44140625" customWidth="1"/>
    <col min="18" max="18" width="24.6640625" customWidth="1"/>
    <col min="19" max="19" width="10.44140625" customWidth="1"/>
    <col min="20" max="20" width="14" customWidth="1"/>
    <col min="21" max="21" width="7.109375" customWidth="1"/>
    <col min="22" max="22" width="17.88671875" customWidth="1"/>
    <col min="23" max="23" width="11.33203125" customWidth="1"/>
    <col min="24" max="24" width="7" customWidth="1"/>
    <col min="25" max="25" width="7.44140625" customWidth="1"/>
    <col min="26" max="26" width="12.6640625" customWidth="1"/>
    <col min="27" max="27" width="15.33203125" customWidth="1"/>
    <col min="28" max="28" width="9.44140625" customWidth="1"/>
  </cols>
  <sheetData>
    <row r="1" spans="1:28" ht="57.75" customHeight="1">
      <c r="A1" s="985"/>
      <c r="B1" s="867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1"/>
    </row>
    <row r="2" spans="1:28" ht="18.75" customHeight="1">
      <c r="A2" s="101" t="s">
        <v>487</v>
      </c>
      <c r="B2" s="102">
        <v>96</v>
      </c>
      <c r="C2" s="908" t="s">
        <v>488</v>
      </c>
      <c r="D2" s="867"/>
      <c r="E2" s="867"/>
      <c r="F2" s="867"/>
      <c r="G2" s="909" t="s">
        <v>484</v>
      </c>
      <c r="H2" s="868"/>
      <c r="I2" s="908" t="s">
        <v>489</v>
      </c>
      <c r="J2" s="867"/>
      <c r="K2" s="867"/>
      <c r="L2" s="909" t="s">
        <v>555</v>
      </c>
      <c r="M2" s="867"/>
      <c r="N2" s="867"/>
      <c r="O2" s="867"/>
      <c r="P2" s="867"/>
      <c r="Q2" s="868"/>
      <c r="R2" s="103" t="s">
        <v>490</v>
      </c>
      <c r="S2" s="909" t="s">
        <v>555</v>
      </c>
      <c r="T2" s="867"/>
      <c r="U2" s="867"/>
      <c r="V2" s="868"/>
      <c r="W2" s="939" t="s">
        <v>491</v>
      </c>
      <c r="X2" s="867"/>
      <c r="Y2" s="867"/>
      <c r="Z2" s="909" t="s">
        <v>492</v>
      </c>
      <c r="AA2" s="867"/>
      <c r="AB2" s="868"/>
    </row>
    <row r="3" spans="1:28" ht="7.5" customHeight="1">
      <c r="A3" s="921"/>
      <c r="B3" s="891"/>
      <c r="C3" s="891"/>
      <c r="D3" s="891"/>
      <c r="E3" s="891"/>
      <c r="F3" s="891"/>
      <c r="G3" s="891"/>
      <c r="H3" s="891"/>
      <c r="I3" s="891"/>
      <c r="J3" s="891"/>
      <c r="K3" s="891"/>
      <c r="L3" s="891"/>
      <c r="M3" s="891"/>
      <c r="N3" s="891"/>
      <c r="O3" s="891"/>
      <c r="P3" s="891"/>
      <c r="Q3" s="891"/>
      <c r="R3" s="891"/>
      <c r="S3" s="891"/>
      <c r="T3" s="891"/>
      <c r="U3" s="891"/>
      <c r="V3" s="891"/>
      <c r="W3" s="891"/>
      <c r="X3" s="891"/>
      <c r="Y3" s="891"/>
      <c r="Z3" s="891"/>
      <c r="AA3" s="891"/>
      <c r="AB3" s="892"/>
    </row>
    <row r="4" spans="1:28" ht="18.75" customHeight="1">
      <c r="A4" s="893" t="s">
        <v>493</v>
      </c>
      <c r="B4" s="867"/>
      <c r="C4" s="986" t="s">
        <v>556</v>
      </c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8"/>
      <c r="V4" s="942" t="s">
        <v>494</v>
      </c>
      <c r="W4" s="884"/>
      <c r="X4" s="987" t="s">
        <v>557</v>
      </c>
      <c r="Y4" s="883"/>
      <c r="Z4" s="883"/>
      <c r="AA4" s="883"/>
      <c r="AB4" s="884"/>
    </row>
    <row r="5" spans="1:28" ht="7.5" customHeight="1">
      <c r="A5" s="921"/>
      <c r="B5" s="891"/>
      <c r="C5" s="891"/>
      <c r="D5" s="891"/>
      <c r="E5" s="891"/>
      <c r="F5" s="891"/>
      <c r="G5" s="891"/>
      <c r="H5" s="891"/>
      <c r="I5" s="891"/>
      <c r="J5" s="891"/>
      <c r="K5" s="891"/>
      <c r="L5" s="891"/>
      <c r="M5" s="891"/>
      <c r="N5" s="891"/>
      <c r="O5" s="891"/>
      <c r="P5" s="891"/>
      <c r="Q5" s="891"/>
      <c r="R5" s="891"/>
      <c r="S5" s="891"/>
      <c r="T5" s="891"/>
      <c r="U5" s="892"/>
      <c r="V5" s="891"/>
      <c r="W5" s="892"/>
      <c r="X5" s="936"/>
      <c r="Y5" s="891"/>
      <c r="Z5" s="891"/>
      <c r="AA5" s="891"/>
      <c r="AB5" s="892"/>
    </row>
    <row r="6" spans="1:28" ht="18.75" customHeight="1">
      <c r="A6" s="893" t="s">
        <v>495</v>
      </c>
      <c r="B6" s="867"/>
      <c r="C6" s="986" t="s">
        <v>558</v>
      </c>
      <c r="D6" s="867"/>
      <c r="E6" s="867"/>
      <c r="F6" s="867"/>
      <c r="G6" s="867"/>
      <c r="H6" s="867"/>
      <c r="I6" s="867"/>
      <c r="J6" s="867"/>
      <c r="K6" s="867"/>
      <c r="L6" s="867"/>
      <c r="M6" s="867"/>
      <c r="N6" s="867"/>
      <c r="O6" s="867"/>
      <c r="P6" s="867"/>
      <c r="Q6" s="867"/>
      <c r="R6" s="867"/>
      <c r="S6" s="867"/>
      <c r="T6" s="867"/>
      <c r="U6" s="868"/>
      <c r="V6" s="886"/>
      <c r="W6" s="887"/>
      <c r="X6" s="885"/>
      <c r="Y6" s="886"/>
      <c r="Z6" s="886"/>
      <c r="AA6" s="886"/>
      <c r="AB6" s="887"/>
    </row>
    <row r="7" spans="1:28" ht="7.5" customHeight="1">
      <c r="A7" s="890"/>
      <c r="B7" s="891"/>
      <c r="C7" s="891"/>
      <c r="D7" s="891"/>
      <c r="E7" s="891"/>
      <c r="F7" s="891"/>
      <c r="G7" s="891"/>
      <c r="H7" s="891"/>
      <c r="I7" s="891"/>
      <c r="J7" s="891"/>
      <c r="K7" s="891"/>
      <c r="L7" s="891"/>
      <c r="M7" s="891"/>
      <c r="N7" s="891"/>
      <c r="O7" s="891"/>
      <c r="P7" s="891"/>
      <c r="Q7" s="891"/>
      <c r="R7" s="891"/>
      <c r="S7" s="891"/>
      <c r="T7" s="891"/>
      <c r="U7" s="891"/>
      <c r="V7" s="891"/>
      <c r="W7" s="891"/>
      <c r="X7" s="891"/>
      <c r="Y7" s="891"/>
      <c r="Z7" s="891"/>
      <c r="AA7" s="891"/>
      <c r="AB7" s="892"/>
    </row>
    <row r="8" spans="1:28" ht="18.75" customHeight="1">
      <c r="A8" s="903" t="s">
        <v>496</v>
      </c>
      <c r="B8" s="867"/>
      <c r="C8" s="988" t="s">
        <v>550</v>
      </c>
      <c r="D8" s="867"/>
      <c r="E8" s="867"/>
      <c r="F8" s="868"/>
      <c r="G8" s="989" t="s">
        <v>497</v>
      </c>
      <c r="H8" s="867"/>
      <c r="I8" s="867"/>
      <c r="J8" s="867"/>
      <c r="K8" s="991">
        <v>0.73958333333333337</v>
      </c>
      <c r="L8" s="867"/>
      <c r="M8" s="867"/>
      <c r="N8" s="868"/>
      <c r="O8" s="990">
        <f>K8-C8</f>
        <v>0.38194444444444448</v>
      </c>
      <c r="P8" s="867"/>
      <c r="Q8" s="868"/>
      <c r="R8" s="908" t="s">
        <v>498</v>
      </c>
      <c r="S8" s="867"/>
      <c r="T8" s="909">
        <v>59600</v>
      </c>
      <c r="U8" s="868"/>
      <c r="V8" s="935">
        <f>T10-T8</f>
        <v>30</v>
      </c>
      <c r="W8" s="883"/>
      <c r="X8" s="883"/>
      <c r="Y8" s="883"/>
      <c r="Z8" s="883"/>
      <c r="AA8" s="883"/>
      <c r="AB8" s="912" t="s">
        <v>105</v>
      </c>
    </row>
    <row r="9" spans="1:28" ht="7.5" customHeight="1">
      <c r="A9" s="911"/>
      <c r="B9" s="891"/>
      <c r="C9" s="891"/>
      <c r="D9" s="891"/>
      <c r="E9" s="891"/>
      <c r="F9" s="891"/>
      <c r="G9" s="891"/>
      <c r="H9" s="891"/>
      <c r="I9" s="891"/>
      <c r="J9" s="891"/>
      <c r="K9" s="891"/>
      <c r="L9" s="891"/>
      <c r="M9" s="891"/>
      <c r="N9" s="891"/>
      <c r="O9" s="891"/>
      <c r="P9" s="891"/>
      <c r="Q9" s="891"/>
      <c r="R9" s="891"/>
      <c r="S9" s="891"/>
      <c r="T9" s="891"/>
      <c r="U9" s="891"/>
      <c r="V9" s="936"/>
      <c r="W9" s="891"/>
      <c r="X9" s="891"/>
      <c r="Y9" s="891"/>
      <c r="Z9" s="891"/>
      <c r="AA9" s="891"/>
      <c r="AB9" s="892"/>
    </row>
    <row r="10" spans="1:28" ht="18.75" customHeight="1">
      <c r="A10" s="903" t="s">
        <v>499</v>
      </c>
      <c r="B10" s="867"/>
      <c r="C10" s="928" t="s">
        <v>551</v>
      </c>
      <c r="D10" s="867"/>
      <c r="E10" s="867"/>
      <c r="F10" s="868"/>
      <c r="G10" s="989" t="s">
        <v>500</v>
      </c>
      <c r="H10" s="867"/>
      <c r="I10" s="867"/>
      <c r="J10" s="867"/>
      <c r="K10" s="992">
        <v>0.68055555555555558</v>
      </c>
      <c r="L10" s="867"/>
      <c r="M10" s="867"/>
      <c r="N10" s="868"/>
      <c r="O10" s="990">
        <f>K10-C10</f>
        <v>0.2326388888888889</v>
      </c>
      <c r="P10" s="867"/>
      <c r="Q10" s="868"/>
      <c r="R10" s="908" t="s">
        <v>501</v>
      </c>
      <c r="S10" s="867"/>
      <c r="T10" s="909">
        <v>59630</v>
      </c>
      <c r="U10" s="868"/>
      <c r="V10" s="885"/>
      <c r="W10" s="886"/>
      <c r="X10" s="886"/>
      <c r="Y10" s="886"/>
      <c r="Z10" s="886"/>
      <c r="AA10" s="886"/>
      <c r="AB10" s="887"/>
    </row>
    <row r="11" spans="1:28" ht="8.25" customHeight="1">
      <c r="A11" s="921"/>
      <c r="B11" s="891"/>
      <c r="C11" s="891"/>
      <c r="D11" s="891"/>
      <c r="E11" s="891"/>
      <c r="F11" s="891"/>
      <c r="G11" s="891"/>
      <c r="H11" s="891"/>
      <c r="I11" s="891"/>
      <c r="J11" s="891"/>
      <c r="K11" s="891"/>
      <c r="L11" s="891"/>
      <c r="M11" s="891"/>
      <c r="N11" s="891"/>
      <c r="O11" s="891"/>
      <c r="P11" s="891"/>
      <c r="Q11" s="891"/>
      <c r="R11" s="891"/>
      <c r="S11" s="891"/>
      <c r="T11" s="891"/>
      <c r="U11" s="891"/>
      <c r="V11" s="891"/>
      <c r="W11" s="891"/>
      <c r="X11" s="891"/>
      <c r="Y11" s="891"/>
      <c r="Z11" s="891"/>
      <c r="AA11" s="891"/>
      <c r="AB11" s="892"/>
    </row>
    <row r="12" spans="1:28" ht="18.75" customHeight="1">
      <c r="A12" s="893" t="s">
        <v>502</v>
      </c>
      <c r="B12" s="867"/>
      <c r="C12" s="928"/>
      <c r="D12" s="867"/>
      <c r="E12" s="867"/>
      <c r="F12" s="868"/>
      <c r="G12" s="893" t="s">
        <v>503</v>
      </c>
      <c r="H12" s="867"/>
      <c r="I12" s="867"/>
      <c r="J12" s="931">
        <v>20222986520197</v>
      </c>
      <c r="K12" s="867"/>
      <c r="L12" s="867"/>
      <c r="M12" s="867"/>
      <c r="N12" s="867"/>
      <c r="O12" s="867"/>
      <c r="P12" s="868"/>
      <c r="Q12" s="893" t="s">
        <v>504</v>
      </c>
      <c r="R12" s="867"/>
      <c r="S12" s="931" t="s">
        <v>559</v>
      </c>
      <c r="T12" s="867"/>
      <c r="U12" s="867"/>
      <c r="V12" s="868"/>
      <c r="W12" s="879" t="s">
        <v>505</v>
      </c>
      <c r="X12" s="867"/>
      <c r="Y12" s="867"/>
      <c r="Z12" s="913"/>
      <c r="AA12" s="867"/>
      <c r="AB12" s="868"/>
    </row>
    <row r="13" spans="1:28" ht="9.75" customHeight="1">
      <c r="A13" s="921"/>
      <c r="B13" s="891"/>
      <c r="C13" s="891"/>
      <c r="D13" s="891"/>
      <c r="E13" s="891"/>
      <c r="F13" s="891"/>
      <c r="G13" s="891"/>
      <c r="H13" s="891"/>
      <c r="I13" s="891"/>
      <c r="J13" s="891"/>
      <c r="K13" s="891"/>
      <c r="L13" s="891"/>
      <c r="M13" s="891"/>
      <c r="N13" s="891"/>
      <c r="O13" s="891"/>
      <c r="P13" s="891"/>
      <c r="Q13" s="891"/>
      <c r="R13" s="891"/>
      <c r="S13" s="891"/>
      <c r="T13" s="891"/>
      <c r="U13" s="891"/>
      <c r="V13" s="891"/>
      <c r="W13" s="891"/>
      <c r="X13" s="891"/>
      <c r="Y13" s="891"/>
      <c r="Z13" s="891"/>
      <c r="AA13" s="891"/>
      <c r="AB13" s="892"/>
    </row>
    <row r="14" spans="1:28" ht="18.75" customHeight="1">
      <c r="A14" s="918" t="s">
        <v>506</v>
      </c>
      <c r="B14" s="867"/>
      <c r="C14" s="914"/>
      <c r="D14" s="867"/>
      <c r="E14" s="867"/>
      <c r="F14" s="867"/>
      <c r="G14" s="867"/>
      <c r="H14" s="867"/>
      <c r="I14" s="867"/>
      <c r="J14" s="867"/>
      <c r="K14" s="867"/>
      <c r="L14" s="867"/>
      <c r="M14" s="867"/>
      <c r="N14" s="867"/>
      <c r="O14" s="867"/>
      <c r="P14" s="867"/>
      <c r="Q14" s="867"/>
      <c r="R14" s="867"/>
      <c r="S14" s="867"/>
      <c r="T14" s="867"/>
      <c r="U14" s="867"/>
      <c r="V14" s="867"/>
      <c r="W14" s="867"/>
      <c r="X14" s="867"/>
      <c r="Y14" s="867"/>
      <c r="Z14" s="867"/>
      <c r="AA14" s="867"/>
      <c r="AB14" s="868"/>
    </row>
    <row r="15" spans="1:28" ht="7.5" customHeight="1">
      <c r="A15" s="890"/>
      <c r="B15" s="891"/>
      <c r="C15" s="891"/>
      <c r="D15" s="891"/>
      <c r="E15" s="891"/>
      <c r="F15" s="891"/>
      <c r="G15" s="891"/>
      <c r="H15" s="891"/>
      <c r="I15" s="891"/>
      <c r="J15" s="891"/>
      <c r="K15" s="891"/>
      <c r="L15" s="891"/>
      <c r="M15" s="891"/>
      <c r="N15" s="891"/>
      <c r="O15" s="891"/>
      <c r="P15" s="891"/>
      <c r="Q15" s="891"/>
      <c r="R15" s="891"/>
      <c r="S15" s="891"/>
      <c r="T15" s="891"/>
      <c r="U15" s="891"/>
      <c r="V15" s="891"/>
      <c r="W15" s="891"/>
      <c r="X15" s="891"/>
      <c r="Y15" s="891"/>
      <c r="Z15" s="891"/>
      <c r="AA15" s="891"/>
      <c r="AB15" s="892"/>
    </row>
    <row r="16" spans="1:28" ht="18.75" customHeight="1">
      <c r="A16" s="908" t="s">
        <v>507</v>
      </c>
      <c r="B16" s="867"/>
      <c r="C16" s="867"/>
      <c r="D16" s="867"/>
      <c r="E16" s="867"/>
      <c r="F16" s="867"/>
      <c r="G16" s="909" t="s">
        <v>547</v>
      </c>
      <c r="H16" s="868"/>
      <c r="I16" s="908" t="s">
        <v>508</v>
      </c>
      <c r="J16" s="867"/>
      <c r="K16" s="867"/>
      <c r="L16" s="931" t="s">
        <v>552</v>
      </c>
      <c r="M16" s="867"/>
      <c r="N16" s="867"/>
      <c r="O16" s="868"/>
      <c r="P16" s="903" t="s">
        <v>509</v>
      </c>
      <c r="Q16" s="867"/>
      <c r="R16" s="993" t="s">
        <v>560</v>
      </c>
      <c r="S16" s="867"/>
      <c r="T16" s="867"/>
      <c r="U16" s="867"/>
      <c r="V16" s="867"/>
      <c r="W16" s="867"/>
      <c r="X16" s="867"/>
      <c r="Y16" s="867"/>
      <c r="Z16" s="867"/>
      <c r="AA16" s="867"/>
      <c r="AB16" s="868"/>
    </row>
    <row r="17" spans="1:28" ht="18.75" customHeight="1">
      <c r="A17" s="952" t="s">
        <v>510</v>
      </c>
      <c r="B17" s="867"/>
      <c r="C17" s="931" t="s">
        <v>544</v>
      </c>
      <c r="D17" s="867"/>
      <c r="E17" s="867"/>
      <c r="F17" s="106" t="s">
        <v>511</v>
      </c>
      <c r="G17" s="952" t="s">
        <v>512</v>
      </c>
      <c r="H17" s="867"/>
      <c r="I17" s="867"/>
      <c r="J17" s="984">
        <v>44786</v>
      </c>
      <c r="K17" s="867"/>
      <c r="L17" s="867"/>
      <c r="M17" s="913" t="s">
        <v>513</v>
      </c>
      <c r="N17" s="868"/>
      <c r="O17" s="908" t="s">
        <v>514</v>
      </c>
      <c r="P17" s="867"/>
      <c r="Q17" s="867"/>
      <c r="R17" s="931">
        <v>73799</v>
      </c>
      <c r="S17" s="867"/>
      <c r="T17" s="867"/>
      <c r="U17" s="868"/>
      <c r="V17" s="908" t="s">
        <v>515</v>
      </c>
      <c r="W17" s="867"/>
      <c r="X17" s="867"/>
      <c r="Y17" s="959" t="s">
        <v>561</v>
      </c>
      <c r="Z17" s="867"/>
      <c r="AA17" s="867"/>
      <c r="AB17" s="868"/>
    </row>
    <row r="18" spans="1:28" ht="9.75" customHeight="1">
      <c r="A18" s="890"/>
      <c r="B18" s="891"/>
      <c r="C18" s="891"/>
      <c r="D18" s="891"/>
      <c r="E18" s="891"/>
      <c r="F18" s="891"/>
      <c r="G18" s="891"/>
      <c r="H18" s="891"/>
      <c r="I18" s="891"/>
      <c r="J18" s="891"/>
      <c r="K18" s="891"/>
      <c r="L18" s="891"/>
      <c r="M18" s="891"/>
      <c r="N18" s="891"/>
      <c r="O18" s="891"/>
      <c r="P18" s="891"/>
      <c r="Q18" s="891"/>
      <c r="R18" s="891"/>
      <c r="S18" s="891"/>
      <c r="T18" s="891"/>
      <c r="U18" s="891"/>
      <c r="V18" s="891"/>
      <c r="W18" s="891"/>
      <c r="X18" s="891"/>
      <c r="Y18" s="891"/>
      <c r="Z18" s="891"/>
      <c r="AA18" s="891"/>
      <c r="AB18" s="892"/>
    </row>
    <row r="19" spans="1:28" ht="18.75" customHeight="1">
      <c r="A19" s="908" t="s">
        <v>516</v>
      </c>
      <c r="B19" s="867"/>
      <c r="C19" s="867"/>
      <c r="D19" s="867"/>
      <c r="E19" s="867"/>
      <c r="F19" s="867"/>
      <c r="G19" s="909" t="s">
        <v>554</v>
      </c>
      <c r="H19" s="868"/>
      <c r="I19" s="908" t="s">
        <v>508</v>
      </c>
      <c r="J19" s="867"/>
      <c r="K19" s="867"/>
      <c r="L19" s="931" t="s">
        <v>548</v>
      </c>
      <c r="M19" s="867"/>
      <c r="N19" s="867"/>
      <c r="O19" s="868"/>
      <c r="P19" s="903" t="s">
        <v>509</v>
      </c>
      <c r="Q19" s="867"/>
      <c r="R19" s="993" t="s">
        <v>549</v>
      </c>
      <c r="S19" s="867"/>
      <c r="T19" s="867"/>
      <c r="U19" s="867"/>
      <c r="V19" s="867"/>
      <c r="W19" s="867"/>
      <c r="X19" s="867"/>
      <c r="Y19" s="867"/>
      <c r="Z19" s="867"/>
      <c r="AA19" s="867"/>
      <c r="AB19" s="868"/>
    </row>
    <row r="20" spans="1:28" ht="18.75" customHeight="1">
      <c r="A20" s="952" t="s">
        <v>510</v>
      </c>
      <c r="B20" s="867"/>
      <c r="C20" s="931" t="s">
        <v>544</v>
      </c>
      <c r="D20" s="867"/>
      <c r="E20" s="867"/>
      <c r="F20" s="106" t="s">
        <v>511</v>
      </c>
      <c r="G20" s="952" t="s">
        <v>512</v>
      </c>
      <c r="H20" s="867"/>
      <c r="I20" s="867"/>
      <c r="J20" s="984">
        <v>44786</v>
      </c>
      <c r="K20" s="867"/>
      <c r="L20" s="867"/>
      <c r="M20" s="913" t="s">
        <v>513</v>
      </c>
      <c r="N20" s="868"/>
      <c r="O20" s="908" t="s">
        <v>514</v>
      </c>
      <c r="P20" s="867"/>
      <c r="Q20" s="867"/>
      <c r="R20" s="931">
        <v>452882</v>
      </c>
      <c r="S20" s="867"/>
      <c r="T20" s="867"/>
      <c r="U20" s="868"/>
      <c r="V20" s="908" t="s">
        <v>515</v>
      </c>
      <c r="W20" s="867"/>
      <c r="X20" s="867"/>
      <c r="Y20" s="955" t="s">
        <v>562</v>
      </c>
      <c r="Z20" s="867"/>
      <c r="AA20" s="867"/>
      <c r="AB20" s="868"/>
    </row>
    <row r="21" spans="1:28" ht="15.75" customHeight="1">
      <c r="A21" s="104" t="s">
        <v>517</v>
      </c>
      <c r="B21" s="107">
        <v>120</v>
      </c>
      <c r="C21" s="105" t="s">
        <v>518</v>
      </c>
      <c r="D21" s="108"/>
      <c r="E21" s="932">
        <v>122</v>
      </c>
      <c r="F21" s="868"/>
      <c r="G21" s="104" t="s">
        <v>519</v>
      </c>
      <c r="H21" s="109" t="s">
        <v>545</v>
      </c>
      <c r="I21" s="105" t="s">
        <v>520</v>
      </c>
      <c r="J21" s="110"/>
      <c r="K21" s="111">
        <v>225</v>
      </c>
      <c r="L21" s="105" t="s">
        <v>521</v>
      </c>
      <c r="M21" s="932">
        <v>215</v>
      </c>
      <c r="N21" s="868"/>
      <c r="O21" s="965" t="s">
        <v>522</v>
      </c>
      <c r="P21" s="867"/>
      <c r="Q21" s="870">
        <v>218</v>
      </c>
      <c r="R21" s="868"/>
      <c r="S21" s="112" t="s">
        <v>523</v>
      </c>
      <c r="T21" s="107">
        <v>38</v>
      </c>
      <c r="U21" s="112" t="s">
        <v>524</v>
      </c>
      <c r="V21" s="107">
        <v>20</v>
      </c>
      <c r="W21" s="113" t="s">
        <v>525</v>
      </c>
      <c r="X21" s="870">
        <v>38</v>
      </c>
      <c r="Y21" s="868"/>
      <c r="Z21" s="113" t="s">
        <v>526</v>
      </c>
      <c r="AA21" s="870">
        <v>16</v>
      </c>
      <c r="AB21" s="868"/>
    </row>
    <row r="22" spans="1:28" ht="8.25" customHeight="1">
      <c r="A22" s="890"/>
      <c r="B22" s="891"/>
      <c r="C22" s="891"/>
      <c r="D22" s="891"/>
      <c r="E22" s="891"/>
      <c r="F22" s="891"/>
      <c r="G22" s="891"/>
      <c r="H22" s="891"/>
      <c r="I22" s="891"/>
      <c r="J22" s="891"/>
      <c r="K22" s="891"/>
      <c r="L22" s="891"/>
      <c r="M22" s="891"/>
      <c r="N22" s="891"/>
      <c r="O22" s="891"/>
      <c r="P22" s="891"/>
      <c r="Q22" s="891"/>
      <c r="R22" s="891"/>
      <c r="S22" s="891"/>
      <c r="T22" s="891"/>
      <c r="U22" s="891"/>
      <c r="V22" s="891"/>
      <c r="W22" s="891"/>
      <c r="X22" s="891"/>
      <c r="Y22" s="891"/>
      <c r="Z22" s="891"/>
      <c r="AA22" s="891"/>
      <c r="AB22" s="892"/>
    </row>
    <row r="23" spans="1:28" ht="15.75" customHeight="1">
      <c r="A23" s="893" t="s">
        <v>527</v>
      </c>
      <c r="B23" s="867"/>
      <c r="C23" s="928"/>
      <c r="D23" s="867"/>
      <c r="E23" s="867"/>
      <c r="F23" s="868"/>
      <c r="G23" s="880" t="s">
        <v>528</v>
      </c>
      <c r="H23" s="867"/>
      <c r="I23" s="928"/>
      <c r="J23" s="867"/>
      <c r="K23" s="868"/>
      <c r="L23" s="962" t="s">
        <v>529</v>
      </c>
      <c r="M23" s="867"/>
      <c r="N23" s="867"/>
      <c r="O23" s="867"/>
      <c r="P23" s="867"/>
      <c r="Q23" s="931">
        <v>5716677005</v>
      </c>
      <c r="R23" s="867"/>
      <c r="S23" s="868"/>
      <c r="T23" s="908" t="s">
        <v>530</v>
      </c>
      <c r="U23" s="867"/>
      <c r="V23" s="909"/>
      <c r="W23" s="867"/>
      <c r="X23" s="867"/>
      <c r="Y23" s="867"/>
      <c r="Z23" s="867"/>
      <c r="AA23" s="867"/>
      <c r="AB23" s="868"/>
    </row>
    <row r="24" spans="1:28" ht="7.5" customHeight="1">
      <c r="A24" s="963"/>
      <c r="B24" s="886"/>
      <c r="C24" s="886"/>
      <c r="D24" s="886"/>
      <c r="E24" s="886"/>
      <c r="F24" s="886"/>
      <c r="G24" s="886"/>
      <c r="H24" s="886"/>
      <c r="I24" s="886"/>
      <c r="J24" s="886"/>
      <c r="K24" s="886"/>
      <c r="L24" s="886"/>
      <c r="M24" s="886"/>
      <c r="N24" s="886"/>
      <c r="O24" s="886"/>
      <c r="P24" s="886"/>
      <c r="Q24" s="886"/>
      <c r="R24" s="886"/>
      <c r="S24" s="886"/>
      <c r="T24" s="886"/>
      <c r="U24" s="886"/>
      <c r="V24" s="886"/>
      <c r="W24" s="886"/>
      <c r="X24" s="886"/>
      <c r="Y24" s="886"/>
      <c r="Z24" s="886"/>
      <c r="AA24" s="886"/>
      <c r="AB24" s="887"/>
    </row>
    <row r="25" spans="1:28" ht="18.75" customHeight="1">
      <c r="A25" s="881" t="s">
        <v>531</v>
      </c>
      <c r="B25" s="881" t="s">
        <v>532</v>
      </c>
      <c r="C25" s="966"/>
      <c r="D25" s="967"/>
      <c r="E25" s="967"/>
      <c r="F25" s="967"/>
      <c r="G25" s="967"/>
      <c r="H25" s="967"/>
      <c r="I25" s="967"/>
      <c r="J25" s="967"/>
      <c r="K25" s="967"/>
      <c r="L25" s="967"/>
      <c r="M25" s="967"/>
      <c r="N25" s="967"/>
      <c r="O25" s="967"/>
      <c r="P25" s="967"/>
      <c r="Q25" s="967"/>
      <c r="R25" s="967"/>
      <c r="S25" s="967"/>
      <c r="T25" s="968"/>
      <c r="U25" s="881" t="s">
        <v>533</v>
      </c>
      <c r="V25" s="881" t="s">
        <v>534</v>
      </c>
      <c r="W25" s="879" t="s">
        <v>535</v>
      </c>
      <c r="X25" s="867"/>
      <c r="Y25" s="867"/>
      <c r="Z25" s="868"/>
      <c r="AA25" s="977"/>
      <c r="AB25" s="978"/>
    </row>
    <row r="26" spans="1:28" ht="18.75" customHeight="1">
      <c r="A26" s="964"/>
      <c r="B26" s="964"/>
      <c r="C26" s="969"/>
      <c r="D26" s="970"/>
      <c r="E26" s="970"/>
      <c r="F26" s="970"/>
      <c r="G26" s="970"/>
      <c r="H26" s="970"/>
      <c r="I26" s="970"/>
      <c r="J26" s="970"/>
      <c r="K26" s="970"/>
      <c r="L26" s="970"/>
      <c r="M26" s="970"/>
      <c r="N26" s="970"/>
      <c r="O26" s="970"/>
      <c r="P26" s="970"/>
      <c r="Q26" s="970"/>
      <c r="R26" s="970"/>
      <c r="S26" s="970"/>
      <c r="T26" s="971"/>
      <c r="U26" s="964"/>
      <c r="V26" s="964"/>
      <c r="W26" s="114"/>
      <c r="X26" s="114" t="s">
        <v>83</v>
      </c>
      <c r="Y26" s="114" t="s">
        <v>84</v>
      </c>
      <c r="Z26" s="115" t="s">
        <v>536</v>
      </c>
      <c r="AA26" s="880" t="s">
        <v>534</v>
      </c>
      <c r="AB26" s="868"/>
    </row>
    <row r="27" spans="1:28" ht="18.75" customHeight="1">
      <c r="A27" s="116">
        <v>1</v>
      </c>
      <c r="B27" s="47">
        <v>6061</v>
      </c>
      <c r="C27" s="866" t="str">
        <f>IF(B27="","",VLOOKUP(B27,'MÃO OBRA'!A$2:G$436,2,FALSE))</f>
        <v>DESAT TRANSF DISTRIBUIC AEREO 3F LM</v>
      </c>
      <c r="D27" s="867"/>
      <c r="E27" s="867"/>
      <c r="F27" s="867"/>
      <c r="G27" s="867"/>
      <c r="H27" s="867"/>
      <c r="I27" s="867"/>
      <c r="J27" s="867"/>
      <c r="K27" s="867"/>
      <c r="L27" s="867"/>
      <c r="M27" s="867"/>
      <c r="N27" s="867"/>
      <c r="O27" s="867"/>
      <c r="P27" s="867"/>
      <c r="Q27" s="867"/>
      <c r="R27" s="867"/>
      <c r="S27" s="867"/>
      <c r="T27" s="868"/>
      <c r="U27" s="117">
        <f>IF(B27="","",VLOOKUP(B27,'MÃO OBRA'!A$2:F$35064,3,FALSE))</f>
        <v>0</v>
      </c>
      <c r="V27" s="118">
        <f>IF(B27="","",VLOOKUP(B27,'MÃO OBRA'!A$2:F$21664,6,FALSE))</f>
        <v>287.17</v>
      </c>
      <c r="W27" s="119">
        <v>1</v>
      </c>
      <c r="X27" s="120">
        <f>IFERROR(VLOOKUP(B27,'MÃO OBRA'!A:H,8,FALSE),"")</f>
        <v>0</v>
      </c>
      <c r="Y27" s="120">
        <f>IFERROR(VLOOKUP(B27,'MÃO OBRA'!A:I,9,FALSE),"")</f>
        <v>0</v>
      </c>
      <c r="Z27" s="121">
        <f t="shared" ref="Z27:Z44" si="0">W27</f>
        <v>1</v>
      </c>
      <c r="AA27" s="894">
        <f t="shared" ref="AA27:AA44" si="1">IF(B27="","",(V27*Z27))</f>
        <v>287.17</v>
      </c>
      <c r="AB27" s="868"/>
    </row>
    <row r="28" spans="1:28" ht="18.75" customHeight="1">
      <c r="A28" s="116">
        <f>A27+1</f>
        <v>2</v>
      </c>
      <c r="B28" s="47">
        <v>6093</v>
      </c>
      <c r="C28" s="866" t="str">
        <f>IF(B28="","",VLOOKUP(B28,'MÃO OBRA'!A$2:G$436,2,FALSE))</f>
        <v>INST TRANSF DISTRIBUIC AEREO TRIF LM</v>
      </c>
      <c r="D28" s="867"/>
      <c r="E28" s="867"/>
      <c r="F28" s="867"/>
      <c r="G28" s="867"/>
      <c r="H28" s="867"/>
      <c r="I28" s="867"/>
      <c r="J28" s="867"/>
      <c r="K28" s="867"/>
      <c r="L28" s="867"/>
      <c r="M28" s="867"/>
      <c r="N28" s="867"/>
      <c r="O28" s="867"/>
      <c r="P28" s="867"/>
      <c r="Q28" s="867"/>
      <c r="R28" s="867"/>
      <c r="S28" s="867"/>
      <c r="T28" s="868"/>
      <c r="U28" s="117" t="str">
        <f>IF(B28="","",VLOOKUP(B28,'MÃO OBRA'!A$2:F$35064,3,FALSE))</f>
        <v>UN</v>
      </c>
      <c r="V28" s="118">
        <f>IF(B28="","",VLOOKUP(B28,'MÃO OBRA'!A$2:F$21664,6,FALSE))</f>
        <v>1052.94</v>
      </c>
      <c r="W28" s="119">
        <v>1</v>
      </c>
      <c r="X28" s="120" t="str">
        <f>IFERROR(VLOOKUP(B28,'MÃO OBRA'!A:H,8,FALSE),"")</f>
        <v>x</v>
      </c>
      <c r="Y28" s="120">
        <f>IFERROR(VLOOKUP(B28,'MÃO OBRA'!A:I,9,FALSE),"")</f>
        <v>0</v>
      </c>
      <c r="Z28" s="121">
        <f t="shared" si="0"/>
        <v>1</v>
      </c>
      <c r="AA28" s="894">
        <f t="shared" si="1"/>
        <v>1052.94</v>
      </c>
      <c r="AB28" s="868"/>
    </row>
    <row r="29" spans="1:28" ht="18.75" customHeight="1">
      <c r="A29" s="116">
        <f>A28+1</f>
        <v>3</v>
      </c>
      <c r="B29" s="47">
        <v>7038</v>
      </c>
      <c r="C29" s="866" t="e">
        <f>IF(B29="","",VLOOKUP(B29,'MÃO OBRA'!A$2:G$436,2,FALSE))</f>
        <v>#N/A</v>
      </c>
      <c r="D29" s="867"/>
      <c r="E29" s="867"/>
      <c r="F29" s="867"/>
      <c r="G29" s="867"/>
      <c r="H29" s="867"/>
      <c r="I29" s="867"/>
      <c r="J29" s="867"/>
      <c r="K29" s="867"/>
      <c r="L29" s="867"/>
      <c r="M29" s="867"/>
      <c r="N29" s="867"/>
      <c r="O29" s="867"/>
      <c r="P29" s="867"/>
      <c r="Q29" s="867"/>
      <c r="R29" s="867"/>
      <c r="S29" s="867"/>
      <c r="T29" s="868"/>
      <c r="U29" s="117" t="str">
        <f>IF(B29="","",VLOOKUP(B29,'MÃO OBRA'!A$2:F$35064,3,FALSE))</f>
        <v>UN</v>
      </c>
      <c r="V29" s="118">
        <f>IF(B29="","",VLOOKUP(B29,'MÃO OBRA'!A$2:F$21664,6,FALSE))</f>
        <v>124.44</v>
      </c>
      <c r="W29" s="119">
        <v>1</v>
      </c>
      <c r="X29" s="120">
        <f>IFERROR(VLOOKUP(B29,'MÃO OBRA'!A:H,8,FALSE),"")</f>
        <v>0</v>
      </c>
      <c r="Y29" s="120" t="str">
        <f>IFERROR(VLOOKUP(B29,'MÃO OBRA'!A:I,9,FALSE),"")</f>
        <v>x</v>
      </c>
      <c r="Z29" s="121">
        <f t="shared" si="0"/>
        <v>1</v>
      </c>
      <c r="AA29" s="894">
        <f t="shared" si="1"/>
        <v>124.44</v>
      </c>
      <c r="AB29" s="868"/>
    </row>
    <row r="30" spans="1:28" ht="18.75" customHeight="1">
      <c r="A30" s="116">
        <f>A29+1</f>
        <v>4</v>
      </c>
      <c r="B30" s="47">
        <v>6171</v>
      </c>
      <c r="C30" s="866" t="str">
        <f>IF(B30="","",VLOOKUP(B30,'MÃO OBRA'!A$2:G$436,2,FALSE))</f>
        <v>OPER CHAVE FUS AB E FC EMERG LM</v>
      </c>
      <c r="D30" s="867"/>
      <c r="E30" s="867"/>
      <c r="F30" s="867"/>
      <c r="G30" s="867"/>
      <c r="H30" s="867"/>
      <c r="I30" s="867"/>
      <c r="J30" s="867"/>
      <c r="K30" s="867"/>
      <c r="L30" s="867"/>
      <c r="M30" s="867"/>
      <c r="N30" s="867"/>
      <c r="O30" s="867"/>
      <c r="P30" s="867"/>
      <c r="Q30" s="867"/>
      <c r="R30" s="867"/>
      <c r="S30" s="867"/>
      <c r="T30" s="868"/>
      <c r="U30" s="117" t="str">
        <f>IF(B30="","",VLOOKUP(B30,'MÃO OBRA'!A$2:F$35064,3,FALSE))</f>
        <v>UN</v>
      </c>
      <c r="V30" s="118">
        <f>IF(B30="","",VLOOKUP(B30,'MÃO OBRA'!A$2:F$21664,6,FALSE))</f>
        <v>47.86</v>
      </c>
      <c r="W30" s="119">
        <v>3</v>
      </c>
      <c r="X30" s="120" t="str">
        <f>IFERROR(VLOOKUP(B30,'MÃO OBRA'!A:H,8,FALSE),"")</f>
        <v>x</v>
      </c>
      <c r="Y30" s="120">
        <f>IFERROR(VLOOKUP(B30,'MÃO OBRA'!A:I,9,FALSE),"")</f>
        <v>0</v>
      </c>
      <c r="Z30" s="121">
        <f t="shared" si="0"/>
        <v>3</v>
      </c>
      <c r="AA30" s="894">
        <f t="shared" si="1"/>
        <v>143.57999999999998</v>
      </c>
      <c r="AB30" s="868"/>
    </row>
    <row r="31" spans="1:28" ht="18.75" customHeight="1">
      <c r="A31" s="116">
        <f>A30+1</f>
        <v>5</v>
      </c>
      <c r="B31" s="47">
        <v>6501</v>
      </c>
      <c r="C31" s="866" t="str">
        <f>IF(B31="","",VLOOKUP(B31,'MÃO OBRA'!A$2:G$436,2,FALSE))</f>
        <v>SUBST ELO FUSIVEL LM</v>
      </c>
      <c r="D31" s="867"/>
      <c r="E31" s="867"/>
      <c r="F31" s="867"/>
      <c r="G31" s="867"/>
      <c r="H31" s="867"/>
      <c r="I31" s="867"/>
      <c r="J31" s="867"/>
      <c r="K31" s="867"/>
      <c r="L31" s="867"/>
      <c r="M31" s="867"/>
      <c r="N31" s="867"/>
      <c r="O31" s="867"/>
      <c r="P31" s="867"/>
      <c r="Q31" s="867"/>
      <c r="R31" s="867"/>
      <c r="S31" s="867"/>
      <c r="T31" s="868"/>
      <c r="U31" s="117">
        <f>IF(B31="","",VLOOKUP(B31,'MÃO OBRA'!A$2:F$35064,3,FALSE))</f>
        <v>0</v>
      </c>
      <c r="V31" s="118">
        <f>IF(B31="","",VLOOKUP(B31,'MÃO OBRA'!A$2:F$21664,6,FALSE))</f>
        <v>47.86</v>
      </c>
      <c r="W31" s="119">
        <v>3</v>
      </c>
      <c r="X31" s="120">
        <f>IFERROR(VLOOKUP(B31,'MÃO OBRA'!A:H,8,FALSE),"")</f>
        <v>0</v>
      </c>
      <c r="Y31" s="120">
        <f>IFERROR(VLOOKUP(B31,'MÃO OBRA'!A:I,9,FALSE),"")</f>
        <v>0</v>
      </c>
      <c r="Z31" s="121">
        <f t="shared" si="0"/>
        <v>3</v>
      </c>
      <c r="AA31" s="894">
        <f t="shared" si="1"/>
        <v>143.57999999999998</v>
      </c>
      <c r="AB31" s="868"/>
    </row>
    <row r="32" spans="1:28" ht="18.75" customHeight="1">
      <c r="A32" s="116">
        <v>6</v>
      </c>
      <c r="B32" s="47">
        <v>6082</v>
      </c>
      <c r="C32" s="866" t="str">
        <f>IF(B32="","",VLOOKUP(B32,'MÃO OBRA'!A$2:G$436,2,FALSE))</f>
        <v>INST PARA-RAIOS RD &lt; 34,5 KV LM</v>
      </c>
      <c r="D32" s="867"/>
      <c r="E32" s="867"/>
      <c r="F32" s="867"/>
      <c r="G32" s="867"/>
      <c r="H32" s="867"/>
      <c r="I32" s="867"/>
      <c r="J32" s="867"/>
      <c r="K32" s="867"/>
      <c r="L32" s="867"/>
      <c r="M32" s="867"/>
      <c r="N32" s="867"/>
      <c r="O32" s="867"/>
      <c r="P32" s="867"/>
      <c r="Q32" s="867"/>
      <c r="R32" s="867"/>
      <c r="S32" s="867"/>
      <c r="T32" s="868"/>
      <c r="U32" s="117" t="str">
        <f>IF(B32="","",VLOOKUP(B32,'MÃO OBRA'!A$2:F$35064,3,FALSE))</f>
        <v>UN</v>
      </c>
      <c r="V32" s="118">
        <f>IF(B32="","",VLOOKUP(B32,'MÃO OBRA'!A$2:F$21664,6,FALSE))</f>
        <v>95.72</v>
      </c>
      <c r="W32" s="133">
        <v>3</v>
      </c>
      <c r="X32" s="120" t="str">
        <f>IFERROR(VLOOKUP(B32,'MÃO OBRA'!A:H,8,FALSE),"")</f>
        <v>x</v>
      </c>
      <c r="Y32" s="120">
        <f>IFERROR(VLOOKUP(B32,'MÃO OBRA'!A:I,9,FALSE),"")</f>
        <v>0</v>
      </c>
      <c r="Z32" s="121">
        <f t="shared" si="0"/>
        <v>3</v>
      </c>
      <c r="AA32" s="894">
        <f t="shared" si="1"/>
        <v>287.15999999999997</v>
      </c>
      <c r="AB32" s="868"/>
    </row>
    <row r="33" spans="1:28" ht="18.75" customHeight="1">
      <c r="A33" s="116">
        <f t="shared" ref="A33:A44" si="2">A32+1</f>
        <v>7</v>
      </c>
      <c r="B33" s="152">
        <v>6083</v>
      </c>
      <c r="C33" s="866" t="str">
        <f>IF(B33="","",VLOOKUP(B33,'MÃO OBRA'!A$2:G$436,2,FALSE))</f>
        <v>INST PARA-RAIOS RD =&gt; 34,5 KV LM</v>
      </c>
      <c r="D33" s="867"/>
      <c r="E33" s="867"/>
      <c r="F33" s="867"/>
      <c r="G33" s="867"/>
      <c r="H33" s="867"/>
      <c r="I33" s="867"/>
      <c r="J33" s="867"/>
      <c r="K33" s="867"/>
      <c r="L33" s="867"/>
      <c r="M33" s="867"/>
      <c r="N33" s="867"/>
      <c r="O33" s="867"/>
      <c r="P33" s="867"/>
      <c r="Q33" s="867"/>
      <c r="R33" s="867"/>
      <c r="S33" s="867"/>
      <c r="T33" s="868"/>
      <c r="U33" s="117" t="str">
        <f>IF(B33="","",VLOOKUP(B33,'MÃO OBRA'!A$2:F$35064,3,FALSE))</f>
        <v>UN</v>
      </c>
      <c r="V33" s="118">
        <f>IF(B33="","",VLOOKUP(B33,'MÃO OBRA'!A$2:F$21664,6,FALSE))</f>
        <v>95.72</v>
      </c>
      <c r="W33" s="153">
        <v>3</v>
      </c>
      <c r="X33" s="120" t="str">
        <f>IFERROR(VLOOKUP(B33,'MÃO OBRA'!A:H,8,FALSE),"")</f>
        <v>x</v>
      </c>
      <c r="Y33" s="120">
        <f>IFERROR(VLOOKUP(B33,'MÃO OBRA'!A:I,9,FALSE),"")</f>
        <v>0</v>
      </c>
      <c r="Z33" s="121">
        <f t="shared" si="0"/>
        <v>3</v>
      </c>
      <c r="AA33" s="894">
        <f t="shared" si="1"/>
        <v>287.15999999999997</v>
      </c>
      <c r="AB33" s="868"/>
    </row>
    <row r="34" spans="1:28" ht="18.75" customHeight="1">
      <c r="A34" s="116">
        <f t="shared" si="2"/>
        <v>8</v>
      </c>
      <c r="B34" s="152">
        <v>6235</v>
      </c>
      <c r="C34" s="866" t="str">
        <f>IF(B34="","",VLOOKUP(B34,'MÃO OBRA'!A$2:G$436,2,FALSE))</f>
        <v>INST CONEC RD SEC LM</v>
      </c>
      <c r="D34" s="867"/>
      <c r="E34" s="867"/>
      <c r="F34" s="867"/>
      <c r="G34" s="867"/>
      <c r="H34" s="867"/>
      <c r="I34" s="867"/>
      <c r="J34" s="867"/>
      <c r="K34" s="867"/>
      <c r="L34" s="867"/>
      <c r="M34" s="867"/>
      <c r="N34" s="867"/>
      <c r="O34" s="867"/>
      <c r="P34" s="867"/>
      <c r="Q34" s="867"/>
      <c r="R34" s="867"/>
      <c r="S34" s="867"/>
      <c r="T34" s="868"/>
      <c r="U34" s="117" t="str">
        <f>IF(B34="","",VLOOKUP(B34,'MÃO OBRA'!A$2:F$35064,3,FALSE))</f>
        <v>UN</v>
      </c>
      <c r="V34" s="118">
        <f>IF(B34="","",VLOOKUP(B34,'MÃO OBRA'!A$2:F$21664,6,FALSE))</f>
        <v>9.58</v>
      </c>
      <c r="W34" s="153">
        <v>8</v>
      </c>
      <c r="X34" s="120" t="str">
        <f>IFERROR(VLOOKUP(B34,'MÃO OBRA'!A:H,8,FALSE),"")</f>
        <v>x</v>
      </c>
      <c r="Y34" s="120">
        <f>IFERROR(VLOOKUP(B34,'MÃO OBRA'!A:I,9,FALSE),"")</f>
        <v>0</v>
      </c>
      <c r="Z34" s="121">
        <f t="shared" si="0"/>
        <v>8</v>
      </c>
      <c r="AA34" s="894">
        <f t="shared" si="1"/>
        <v>76.64</v>
      </c>
      <c r="AB34" s="868"/>
    </row>
    <row r="35" spans="1:28" ht="18.75" customHeight="1">
      <c r="A35" s="116">
        <f t="shared" si="2"/>
        <v>9</v>
      </c>
      <c r="B35" s="152">
        <v>6055</v>
      </c>
      <c r="C35" s="866" t="str">
        <f>IF(B35="","",VLOOKUP(B35,'MÃO OBRA'!A$2:G$436,2,FALSE))</f>
        <v>DESAT PARA-RAIOS RD &lt; 34,5 KV LM</v>
      </c>
      <c r="D35" s="867"/>
      <c r="E35" s="867"/>
      <c r="F35" s="867"/>
      <c r="G35" s="867"/>
      <c r="H35" s="867"/>
      <c r="I35" s="867"/>
      <c r="J35" s="867"/>
      <c r="K35" s="867"/>
      <c r="L35" s="867"/>
      <c r="M35" s="867"/>
      <c r="N35" s="867"/>
      <c r="O35" s="867"/>
      <c r="P35" s="867"/>
      <c r="Q35" s="867"/>
      <c r="R35" s="867"/>
      <c r="S35" s="867"/>
      <c r="T35" s="868"/>
      <c r="U35" s="117">
        <f>IF(B35="","",VLOOKUP(B35,'MÃO OBRA'!A$2:F$35064,3,FALSE))</f>
        <v>0</v>
      </c>
      <c r="V35" s="118">
        <f>IF(B35="","",VLOOKUP(B35,'MÃO OBRA'!A$2:F$21664,6,FALSE))</f>
        <v>28.72</v>
      </c>
      <c r="W35" s="122">
        <v>3</v>
      </c>
      <c r="X35" s="120">
        <f>IFERROR(VLOOKUP(B35,'MÃO OBRA'!A:H,8,FALSE),"")</f>
        <v>0</v>
      </c>
      <c r="Y35" s="120">
        <f>IFERROR(VLOOKUP(B35,'MÃO OBRA'!A:I,9,FALSE),"")</f>
        <v>0</v>
      </c>
      <c r="Z35" s="123">
        <f t="shared" si="0"/>
        <v>3</v>
      </c>
      <c r="AA35" s="894">
        <f t="shared" si="1"/>
        <v>86.16</v>
      </c>
      <c r="AB35" s="868"/>
    </row>
    <row r="36" spans="1:28" ht="18.75" customHeight="1">
      <c r="A36" s="116">
        <f t="shared" si="2"/>
        <v>10</v>
      </c>
      <c r="B36" s="152">
        <v>7640</v>
      </c>
      <c r="C36" s="866" t="e">
        <f>IF(B36="","",VLOOKUP(B36,'MÃO OBRA'!A$2:G$436,2,FALSE))</f>
        <v>#N/A</v>
      </c>
      <c r="D36" s="867"/>
      <c r="E36" s="867"/>
      <c r="F36" s="867"/>
      <c r="G36" s="867"/>
      <c r="H36" s="867"/>
      <c r="I36" s="867"/>
      <c r="J36" s="867"/>
      <c r="K36" s="867"/>
      <c r="L36" s="867"/>
      <c r="M36" s="867"/>
      <c r="N36" s="867"/>
      <c r="O36" s="867"/>
      <c r="P36" s="867"/>
      <c r="Q36" s="867"/>
      <c r="R36" s="867"/>
      <c r="S36" s="867"/>
      <c r="T36" s="868"/>
      <c r="U36" s="117">
        <f>IF(B36="","",VLOOKUP(B36,'MÃO OBRA'!A$2:F$35064,3,FALSE))</f>
        <v>0</v>
      </c>
      <c r="V36" s="118">
        <f>IF(B36="","",VLOOKUP(B36,'MÃO OBRA'!A$2:F$21664,6,FALSE))</f>
        <v>19.14</v>
      </c>
      <c r="W36" s="122">
        <v>8</v>
      </c>
      <c r="X36" s="120">
        <f>IFERROR(VLOOKUP(B36,'MÃO OBRA'!A:H,8,FALSE),"")</f>
        <v>0</v>
      </c>
      <c r="Y36" s="120">
        <f>IFERROR(VLOOKUP(B36,'MÃO OBRA'!A:I,9,FALSE),"")</f>
        <v>0</v>
      </c>
      <c r="Z36" s="123">
        <f t="shared" si="0"/>
        <v>8</v>
      </c>
      <c r="AA36" s="894">
        <f t="shared" si="1"/>
        <v>153.12</v>
      </c>
      <c r="AB36" s="868"/>
    </row>
    <row r="37" spans="1:28" ht="18.75" customHeight="1">
      <c r="A37" s="116">
        <f t="shared" si="2"/>
        <v>11</v>
      </c>
      <c r="B37" s="47"/>
      <c r="C37" s="866" t="str">
        <f>IF(B37="","",VLOOKUP(B37,'MÃO OBRA'!A$2:G$436,2,FALSE))</f>
        <v/>
      </c>
      <c r="D37" s="867"/>
      <c r="E37" s="867"/>
      <c r="F37" s="867"/>
      <c r="G37" s="867"/>
      <c r="H37" s="867"/>
      <c r="I37" s="867"/>
      <c r="J37" s="867"/>
      <c r="K37" s="867"/>
      <c r="L37" s="867"/>
      <c r="M37" s="867"/>
      <c r="N37" s="867"/>
      <c r="O37" s="867"/>
      <c r="P37" s="867"/>
      <c r="Q37" s="867"/>
      <c r="R37" s="867"/>
      <c r="S37" s="867"/>
      <c r="T37" s="868"/>
      <c r="U37" s="117" t="str">
        <f>IF(B37="","",VLOOKUP(B37,'MÃO OBRA'!A$2:F$35064,3,FALSE))</f>
        <v/>
      </c>
      <c r="V37" s="118" t="str">
        <f>IF(B37="","",VLOOKUP(B37,'MÃO OBRA'!A$2:F$21664,6,FALSE))</f>
        <v/>
      </c>
      <c r="W37" s="124"/>
      <c r="X37" s="120" t="str">
        <f>IFERROR(VLOOKUP(B37,'MÃO OBRA'!A:H,8,FALSE),"")</f>
        <v/>
      </c>
      <c r="Y37" s="120" t="str">
        <f>IFERROR(VLOOKUP(B37,'MÃO OBRA'!A:I,9,FALSE),"")</f>
        <v/>
      </c>
      <c r="Z37" s="123">
        <f t="shared" si="0"/>
        <v>0</v>
      </c>
      <c r="AA37" s="894" t="str">
        <f t="shared" si="1"/>
        <v/>
      </c>
      <c r="AB37" s="868"/>
    </row>
    <row r="38" spans="1:28" ht="18.75" customHeight="1">
      <c r="A38" s="116">
        <f t="shared" si="2"/>
        <v>12</v>
      </c>
      <c r="B38" s="47"/>
      <c r="C38" s="866" t="str">
        <f>IF(B38="","",VLOOKUP(B38,'MÃO OBRA'!A$2:G$436,2,FALSE))</f>
        <v/>
      </c>
      <c r="D38" s="867"/>
      <c r="E38" s="867"/>
      <c r="F38" s="867"/>
      <c r="G38" s="867"/>
      <c r="H38" s="867"/>
      <c r="I38" s="867"/>
      <c r="J38" s="867"/>
      <c r="K38" s="867"/>
      <c r="L38" s="867"/>
      <c r="M38" s="867"/>
      <c r="N38" s="867"/>
      <c r="O38" s="867"/>
      <c r="P38" s="867"/>
      <c r="Q38" s="867"/>
      <c r="R38" s="867"/>
      <c r="S38" s="867"/>
      <c r="T38" s="868"/>
      <c r="U38" s="117" t="str">
        <f>IF(B38="","",VLOOKUP(B38,'MÃO OBRA'!A$2:F$35064,3,FALSE))</f>
        <v/>
      </c>
      <c r="V38" s="118" t="str">
        <f>IF(B38="","",VLOOKUP(B38,'MÃO OBRA'!A$2:F$21664,6,FALSE))</f>
        <v/>
      </c>
      <c r="W38" s="124"/>
      <c r="X38" s="120" t="str">
        <f>IFERROR(VLOOKUP(B38,'MÃO OBRA'!A:H,8,FALSE),"")</f>
        <v/>
      </c>
      <c r="Y38" s="120" t="str">
        <f>IFERROR(VLOOKUP(B38,'MÃO OBRA'!A:I,9,FALSE),"")</f>
        <v/>
      </c>
      <c r="Z38" s="123">
        <f t="shared" si="0"/>
        <v>0</v>
      </c>
      <c r="AA38" s="894" t="str">
        <f t="shared" si="1"/>
        <v/>
      </c>
      <c r="AB38" s="868"/>
    </row>
    <row r="39" spans="1:28" ht="18.75" customHeight="1">
      <c r="A39" s="116">
        <f t="shared" si="2"/>
        <v>13</v>
      </c>
      <c r="B39" s="47"/>
      <c r="C39" s="866" t="str">
        <f>IF(B39="","",VLOOKUP(B39,'MÃO OBRA'!A$2:G$436,2,FALSE))</f>
        <v/>
      </c>
      <c r="D39" s="867"/>
      <c r="E39" s="867"/>
      <c r="F39" s="867"/>
      <c r="G39" s="867"/>
      <c r="H39" s="867"/>
      <c r="I39" s="867"/>
      <c r="J39" s="867"/>
      <c r="K39" s="867"/>
      <c r="L39" s="867"/>
      <c r="M39" s="867"/>
      <c r="N39" s="867"/>
      <c r="O39" s="867"/>
      <c r="P39" s="867"/>
      <c r="Q39" s="867"/>
      <c r="R39" s="867"/>
      <c r="S39" s="867"/>
      <c r="T39" s="868"/>
      <c r="U39" s="117" t="str">
        <f>IF(B39="","",VLOOKUP(B39,'MÃO OBRA'!A$2:F$35064,3,FALSE))</f>
        <v/>
      </c>
      <c r="V39" s="118" t="str">
        <f>IF(B39="","",VLOOKUP(B39,'MÃO OBRA'!A$2:F$21664,6,FALSE))</f>
        <v/>
      </c>
      <c r="W39" s="124"/>
      <c r="X39" s="120" t="str">
        <f>IFERROR(VLOOKUP(B39,'MÃO OBRA'!A:H,8,FALSE),"")</f>
        <v/>
      </c>
      <c r="Y39" s="120" t="str">
        <f>IFERROR(VLOOKUP(B39,'MÃO OBRA'!A:I,9,FALSE),"")</f>
        <v/>
      </c>
      <c r="Z39" s="123">
        <f t="shared" si="0"/>
        <v>0</v>
      </c>
      <c r="AA39" s="894" t="str">
        <f t="shared" si="1"/>
        <v/>
      </c>
      <c r="AB39" s="868"/>
    </row>
    <row r="40" spans="1:28" ht="18.75" customHeight="1">
      <c r="A40" s="116">
        <f t="shared" si="2"/>
        <v>14</v>
      </c>
      <c r="B40" s="47"/>
      <c r="C40" s="866" t="str">
        <f>IF(B40="","",VLOOKUP(B40,'MÃO OBRA'!A$2:G$436,2,FALSE))</f>
        <v/>
      </c>
      <c r="D40" s="867"/>
      <c r="E40" s="867"/>
      <c r="F40" s="867"/>
      <c r="G40" s="867"/>
      <c r="H40" s="867"/>
      <c r="I40" s="867"/>
      <c r="J40" s="867"/>
      <c r="K40" s="867"/>
      <c r="L40" s="867"/>
      <c r="M40" s="867"/>
      <c r="N40" s="867"/>
      <c r="O40" s="867"/>
      <c r="P40" s="867"/>
      <c r="Q40" s="867"/>
      <c r="R40" s="867"/>
      <c r="S40" s="867"/>
      <c r="T40" s="868"/>
      <c r="U40" s="117"/>
      <c r="V40" s="118" t="str">
        <f>IF(B40="","",VLOOKUP(B40,'MÃO OBRA'!A$2:F$21664,6,FALSE))</f>
        <v/>
      </c>
      <c r="W40" s="120"/>
      <c r="X40" s="120" t="str">
        <f>IFERROR(VLOOKUP(B40,'MÃO OBRA'!A:H,8,FALSE),"")</f>
        <v/>
      </c>
      <c r="Y40" s="120" t="str">
        <f>IFERROR(VLOOKUP(B40,'MÃO OBRA'!A:I,9,FALSE),"")</f>
        <v/>
      </c>
      <c r="Z40" s="123">
        <f t="shared" si="0"/>
        <v>0</v>
      </c>
      <c r="AA40" s="894" t="str">
        <f t="shared" si="1"/>
        <v/>
      </c>
      <c r="AB40" s="868"/>
    </row>
    <row r="41" spans="1:28" ht="18.75" customHeight="1">
      <c r="A41" s="116">
        <f t="shared" si="2"/>
        <v>15</v>
      </c>
      <c r="B41" s="47"/>
      <c r="C41" s="866" t="str">
        <f>IF(B41="","",VLOOKUP(B41,'MÃO OBRA'!A$2:G$436,2,FALSE))</f>
        <v/>
      </c>
      <c r="D41" s="867"/>
      <c r="E41" s="867"/>
      <c r="F41" s="867"/>
      <c r="G41" s="867"/>
      <c r="H41" s="867"/>
      <c r="I41" s="867"/>
      <c r="J41" s="867"/>
      <c r="K41" s="867"/>
      <c r="L41" s="867"/>
      <c r="M41" s="867"/>
      <c r="N41" s="867"/>
      <c r="O41" s="867"/>
      <c r="P41" s="867"/>
      <c r="Q41" s="867"/>
      <c r="R41" s="867"/>
      <c r="S41" s="867"/>
      <c r="T41" s="868"/>
      <c r="U41" s="117" t="str">
        <f>IF(B41="","",VLOOKUP(B41,'MÃO OBRA'!A$2:F$35064,3,FALSE))</f>
        <v/>
      </c>
      <c r="V41" s="118" t="str">
        <f>IF(B41="","",VLOOKUP(B41,'MÃO OBRA'!A$2:F$21664,6,FALSE))</f>
        <v/>
      </c>
      <c r="W41" s="120"/>
      <c r="X41" s="120" t="str">
        <f>IFERROR(VLOOKUP(B41,'MÃO OBRA'!A:H,8,FALSE),"")</f>
        <v/>
      </c>
      <c r="Y41" s="120" t="str">
        <f>IFERROR(VLOOKUP(B41,'MÃO OBRA'!A:I,9,FALSE),"")</f>
        <v/>
      </c>
      <c r="Z41" s="123">
        <f t="shared" si="0"/>
        <v>0</v>
      </c>
      <c r="AA41" s="894" t="str">
        <f t="shared" si="1"/>
        <v/>
      </c>
      <c r="AB41" s="868"/>
    </row>
    <row r="42" spans="1:28" ht="18.75" customHeight="1">
      <c r="A42" s="116">
        <f t="shared" si="2"/>
        <v>16</v>
      </c>
      <c r="B42" s="125"/>
      <c r="C42" s="866" t="str">
        <f>IF(B42="","",VLOOKUP(B42,'MÃO OBRA'!A$2:G$436,2,FALSE))</f>
        <v/>
      </c>
      <c r="D42" s="867"/>
      <c r="E42" s="867"/>
      <c r="F42" s="867"/>
      <c r="G42" s="867"/>
      <c r="H42" s="867"/>
      <c r="I42" s="867"/>
      <c r="J42" s="867"/>
      <c r="K42" s="867"/>
      <c r="L42" s="867"/>
      <c r="M42" s="867"/>
      <c r="N42" s="867"/>
      <c r="O42" s="867"/>
      <c r="P42" s="867"/>
      <c r="Q42" s="867"/>
      <c r="R42" s="867"/>
      <c r="S42" s="867"/>
      <c r="T42" s="868"/>
      <c r="U42" s="117" t="str">
        <f>IF(B42="","",VLOOKUP(B42,'MÃO OBRA'!A$2:F$35064,3,FALSE))</f>
        <v/>
      </c>
      <c r="V42" s="118" t="str">
        <f>IF(B42="","",VLOOKUP(B42,'MÃO OBRA'!A$2:F$21664,6,FALSE))</f>
        <v/>
      </c>
      <c r="W42" s="120"/>
      <c r="X42" s="120" t="str">
        <f>IFERROR(VLOOKUP(B42,'MÃO OBRA'!A:H,8,FALSE),"")</f>
        <v/>
      </c>
      <c r="Y42" s="120" t="str">
        <f>IFERROR(VLOOKUP(B42,'MÃO OBRA'!A:I,9,FALSE),"")</f>
        <v/>
      </c>
      <c r="Z42" s="123">
        <f t="shared" si="0"/>
        <v>0</v>
      </c>
      <c r="AA42" s="894" t="str">
        <f t="shared" si="1"/>
        <v/>
      </c>
      <c r="AB42" s="868"/>
    </row>
    <row r="43" spans="1:28" ht="18.75" customHeight="1">
      <c r="A43" s="116">
        <f t="shared" si="2"/>
        <v>17</v>
      </c>
      <c r="B43" s="125"/>
      <c r="C43" s="866" t="str">
        <f>IF(B43="","",VLOOKUP(B43,'MÃO OBRA'!A$2:G$436,2,FALSE))</f>
        <v/>
      </c>
      <c r="D43" s="867"/>
      <c r="E43" s="867"/>
      <c r="F43" s="867"/>
      <c r="G43" s="867"/>
      <c r="H43" s="867"/>
      <c r="I43" s="867"/>
      <c r="J43" s="867"/>
      <c r="K43" s="867"/>
      <c r="L43" s="867"/>
      <c r="M43" s="867"/>
      <c r="N43" s="867"/>
      <c r="O43" s="867"/>
      <c r="P43" s="867"/>
      <c r="Q43" s="867"/>
      <c r="R43" s="867"/>
      <c r="S43" s="867"/>
      <c r="T43" s="868"/>
      <c r="U43" s="117" t="str">
        <f>IF(B43="","",VLOOKUP(B43,'MÃO OBRA'!A$2:F$35064,3,FALSE))</f>
        <v/>
      </c>
      <c r="V43" s="118" t="str">
        <f>IF(B43="","",VLOOKUP(B43,'MÃO OBRA'!A$2:F$21664,6,FALSE))</f>
        <v/>
      </c>
      <c r="W43" s="120"/>
      <c r="X43" s="120" t="str">
        <f>IFERROR(VLOOKUP(B43,'MÃO OBRA'!A:H,8,FALSE),"")</f>
        <v/>
      </c>
      <c r="Y43" s="120" t="str">
        <f>IFERROR(VLOOKUP(B43,'MÃO OBRA'!A:I,9,FALSE),"")</f>
        <v/>
      </c>
      <c r="Z43" s="123">
        <f t="shared" si="0"/>
        <v>0</v>
      </c>
      <c r="AA43" s="894" t="str">
        <f t="shared" si="1"/>
        <v/>
      </c>
      <c r="AB43" s="868"/>
    </row>
    <row r="44" spans="1:28" ht="18.75" customHeight="1">
      <c r="A44" s="116">
        <f t="shared" si="2"/>
        <v>18</v>
      </c>
      <c r="B44" s="125"/>
      <c r="C44" s="866" t="str">
        <f>IF(B44="","",VLOOKUP(B44,'MÃO OBRA'!A$2:G$436,2,FALSE))</f>
        <v/>
      </c>
      <c r="D44" s="867"/>
      <c r="E44" s="867"/>
      <c r="F44" s="867"/>
      <c r="G44" s="867"/>
      <c r="H44" s="867"/>
      <c r="I44" s="867"/>
      <c r="J44" s="867"/>
      <c r="K44" s="867"/>
      <c r="L44" s="867"/>
      <c r="M44" s="867"/>
      <c r="N44" s="867"/>
      <c r="O44" s="867"/>
      <c r="P44" s="867"/>
      <c r="Q44" s="867"/>
      <c r="R44" s="867"/>
      <c r="S44" s="867"/>
      <c r="T44" s="868"/>
      <c r="U44" s="117" t="str">
        <f>IF(B44="","",VLOOKUP(B44,'MÃO OBRA'!A$2:F$35064,3,FALSE))</f>
        <v/>
      </c>
      <c r="V44" s="118" t="str">
        <f>IF(B44="","",VLOOKUP(B44,'MÃO OBRA'!A$2:F$21664,6,FALSE))</f>
        <v/>
      </c>
      <c r="W44" s="120"/>
      <c r="X44" s="120" t="str">
        <f>IFERROR(VLOOKUP(B44,'MÃO OBRA'!A:H,8,FALSE),"")</f>
        <v/>
      </c>
      <c r="Y44" s="120" t="str">
        <f>IFERROR(VLOOKUP(B44,'MÃO OBRA'!A:I,9,FALSE),"")</f>
        <v/>
      </c>
      <c r="Z44" s="123">
        <f t="shared" si="0"/>
        <v>0</v>
      </c>
      <c r="AA44" s="894" t="str">
        <f t="shared" si="1"/>
        <v/>
      </c>
      <c r="AB44" s="868"/>
    </row>
    <row r="45" spans="1:28" ht="18.75" customHeight="1">
      <c r="A45" s="872" t="s">
        <v>537</v>
      </c>
      <c r="B45" s="867"/>
      <c r="C45" s="867"/>
      <c r="D45" s="867"/>
      <c r="E45" s="867"/>
      <c r="F45" s="867"/>
      <c r="G45" s="867"/>
      <c r="H45" s="867"/>
      <c r="I45" s="867"/>
      <c r="J45" s="867"/>
      <c r="K45" s="867"/>
      <c r="L45" s="867"/>
      <c r="M45" s="867"/>
      <c r="N45" s="867"/>
      <c r="O45" s="867"/>
      <c r="P45" s="867"/>
      <c r="Q45" s="867"/>
      <c r="R45" s="867"/>
      <c r="S45" s="867"/>
      <c r="T45" s="867"/>
      <c r="U45" s="867"/>
      <c r="V45" s="867"/>
      <c r="W45" s="867"/>
      <c r="X45" s="867"/>
      <c r="Y45" s="867"/>
      <c r="Z45" s="868"/>
      <c r="AA45" s="895">
        <f>SUM(AA27:AB44)</f>
        <v>2641.9499999999994</v>
      </c>
      <c r="AB45" s="868"/>
    </row>
    <row r="46" spans="1:28" ht="18.75" customHeight="1">
      <c r="A46" s="897">
        <v>26378</v>
      </c>
      <c r="B46" s="868"/>
      <c r="C46" s="866" t="s">
        <v>453</v>
      </c>
      <c r="D46" s="867"/>
      <c r="E46" s="867"/>
      <c r="F46" s="867"/>
      <c r="G46" s="867"/>
      <c r="H46" s="867"/>
      <c r="I46" s="867"/>
      <c r="J46" s="867"/>
      <c r="K46" s="867"/>
      <c r="L46" s="867"/>
      <c r="M46" s="867"/>
      <c r="N46" s="867"/>
      <c r="O46" s="867"/>
      <c r="P46" s="867"/>
      <c r="Q46" s="867"/>
      <c r="R46" s="867"/>
      <c r="S46" s="867"/>
      <c r="T46" s="868"/>
      <c r="U46" s="117" t="s">
        <v>190</v>
      </c>
      <c r="V46" s="126" t="str">
        <f>IF(W46&gt;0,(243.02),"")</f>
        <v/>
      </c>
      <c r="W46" s="974"/>
      <c r="X46" s="867"/>
      <c r="Y46" s="868"/>
      <c r="Z46" s="123"/>
      <c r="AA46" s="895" t="e">
        <f>V46*W46</f>
        <v>#VALUE!</v>
      </c>
      <c r="AB46" s="868"/>
    </row>
    <row r="47" spans="1:28" ht="18.75" customHeight="1">
      <c r="A47" s="889">
        <v>26376</v>
      </c>
      <c r="B47" s="868"/>
      <c r="C47" s="866" t="s">
        <v>452</v>
      </c>
      <c r="D47" s="867"/>
      <c r="E47" s="867"/>
      <c r="F47" s="867"/>
      <c r="G47" s="867"/>
      <c r="H47" s="867"/>
      <c r="I47" s="867"/>
      <c r="J47" s="867"/>
      <c r="K47" s="867"/>
      <c r="L47" s="867"/>
      <c r="M47" s="867"/>
      <c r="N47" s="867"/>
      <c r="O47" s="867"/>
      <c r="P47" s="867"/>
      <c r="Q47" s="867"/>
      <c r="R47" s="867"/>
      <c r="S47" s="867"/>
      <c r="T47" s="868"/>
      <c r="U47" s="117" t="s">
        <v>451</v>
      </c>
      <c r="V47" s="127" t="str">
        <f>IF(W47&gt;0,(AA45*0.3),"")</f>
        <v/>
      </c>
      <c r="W47" s="900"/>
      <c r="X47" s="867"/>
      <c r="Y47" s="868"/>
      <c r="Z47" s="123"/>
      <c r="AA47" s="895" t="e">
        <f>V47*W47</f>
        <v>#VALUE!</v>
      </c>
      <c r="AB47" s="868"/>
    </row>
    <row r="48" spans="1:28" ht="18.75" customHeight="1">
      <c r="A48" s="889">
        <v>26377</v>
      </c>
      <c r="B48" s="868"/>
      <c r="C48" s="866" t="s">
        <v>450</v>
      </c>
      <c r="D48" s="867"/>
      <c r="E48" s="867"/>
      <c r="F48" s="867"/>
      <c r="G48" s="867"/>
      <c r="H48" s="867"/>
      <c r="I48" s="867"/>
      <c r="J48" s="867"/>
      <c r="K48" s="867"/>
      <c r="L48" s="867"/>
      <c r="M48" s="867"/>
      <c r="N48" s="867"/>
      <c r="O48" s="867"/>
      <c r="P48" s="867"/>
      <c r="Q48" s="867"/>
      <c r="R48" s="867"/>
      <c r="S48" s="867"/>
      <c r="T48" s="868"/>
      <c r="U48" s="117" t="s">
        <v>451</v>
      </c>
      <c r="V48" s="128" t="str">
        <f>IF(W48&gt;0,(AA45*0.5),"")</f>
        <v/>
      </c>
      <c r="W48" s="972"/>
      <c r="X48" s="867"/>
      <c r="Y48" s="868"/>
      <c r="Z48" s="123"/>
      <c r="AA48" s="895" t="e">
        <f>V48*W48</f>
        <v>#VALUE!</v>
      </c>
      <c r="AB48" s="868"/>
    </row>
    <row r="49" spans="1:28" ht="18.75" customHeight="1">
      <c r="A49" s="872" t="s">
        <v>536</v>
      </c>
      <c r="B49" s="867"/>
      <c r="C49" s="867"/>
      <c r="D49" s="867"/>
      <c r="E49" s="867"/>
      <c r="F49" s="867"/>
      <c r="G49" s="867"/>
      <c r="H49" s="867"/>
      <c r="I49" s="867"/>
      <c r="J49" s="867"/>
      <c r="K49" s="867"/>
      <c r="L49" s="867"/>
      <c r="M49" s="867"/>
      <c r="N49" s="867"/>
      <c r="O49" s="867"/>
      <c r="P49" s="867"/>
      <c r="Q49" s="867"/>
      <c r="R49" s="867"/>
      <c r="S49" s="867"/>
      <c r="T49" s="867"/>
      <c r="U49" s="867"/>
      <c r="V49" s="867"/>
      <c r="W49" s="867"/>
      <c r="X49" s="867"/>
      <c r="Y49" s="867"/>
      <c r="Z49" s="868"/>
      <c r="AA49" s="895" t="e">
        <f>SUM(AA45:AB48)</f>
        <v>#VALUE!</v>
      </c>
      <c r="AB49" s="868"/>
    </row>
    <row r="50" spans="1:28" ht="18.75" customHeight="1">
      <c r="A50" s="881" t="s">
        <v>531</v>
      </c>
      <c r="B50" s="876" t="s">
        <v>532</v>
      </c>
      <c r="C50" s="882" t="s">
        <v>538</v>
      </c>
      <c r="D50" s="883"/>
      <c r="E50" s="883"/>
      <c r="F50" s="883"/>
      <c r="G50" s="883"/>
      <c r="H50" s="883"/>
      <c r="I50" s="883"/>
      <c r="J50" s="883"/>
      <c r="K50" s="883"/>
      <c r="L50" s="883"/>
      <c r="M50" s="883"/>
      <c r="N50" s="883"/>
      <c r="O50" s="883"/>
      <c r="P50" s="883"/>
      <c r="Q50" s="883"/>
      <c r="R50" s="883"/>
      <c r="S50" s="883"/>
      <c r="T50" s="883"/>
      <c r="U50" s="884"/>
      <c r="V50" s="876" t="s">
        <v>13</v>
      </c>
      <c r="W50" s="899" t="s">
        <v>535</v>
      </c>
      <c r="X50" s="891"/>
      <c r="Y50" s="891"/>
      <c r="Z50" s="891"/>
      <c r="AA50" s="977"/>
      <c r="AB50" s="978"/>
    </row>
    <row r="51" spans="1:28" ht="18.75" customHeight="1">
      <c r="A51" s="877"/>
      <c r="B51" s="877"/>
      <c r="C51" s="885"/>
      <c r="D51" s="886"/>
      <c r="E51" s="886"/>
      <c r="F51" s="886"/>
      <c r="G51" s="886"/>
      <c r="H51" s="886"/>
      <c r="I51" s="886"/>
      <c r="J51" s="886"/>
      <c r="K51" s="886"/>
      <c r="L51" s="886"/>
      <c r="M51" s="886"/>
      <c r="N51" s="886"/>
      <c r="O51" s="886"/>
      <c r="P51" s="886"/>
      <c r="Q51" s="886"/>
      <c r="R51" s="886"/>
      <c r="S51" s="886"/>
      <c r="T51" s="886"/>
      <c r="U51" s="887"/>
      <c r="V51" s="877"/>
      <c r="W51" s="129"/>
      <c r="X51" s="129"/>
      <c r="Y51" s="129" t="str">
        <f>Y26</f>
        <v>Ret.</v>
      </c>
      <c r="Z51" s="130" t="s">
        <v>536</v>
      </c>
      <c r="AA51" s="880"/>
      <c r="AB51" s="868"/>
    </row>
    <row r="52" spans="1:28" ht="18.75" customHeight="1">
      <c r="A52" s="116">
        <v>1</v>
      </c>
      <c r="B52" s="131">
        <v>90055</v>
      </c>
      <c r="C52" s="866" t="str">
        <f>IF(B52="","",VLOOKUP(B52,MATERIAL!A:C,2,FALSE))</f>
        <v>TRANSF DISTR AER OMI 3F 13,8KV 220/127V 75KVA CL2 4TP</v>
      </c>
      <c r="D52" s="867"/>
      <c r="E52" s="867"/>
      <c r="F52" s="867"/>
      <c r="G52" s="867"/>
      <c r="H52" s="867"/>
      <c r="I52" s="867"/>
      <c r="J52" s="867"/>
      <c r="K52" s="867"/>
      <c r="L52" s="867"/>
      <c r="M52" s="867"/>
      <c r="N52" s="867"/>
      <c r="O52" s="867"/>
      <c r="P52" s="867"/>
      <c r="Q52" s="867"/>
      <c r="R52" s="867"/>
      <c r="S52" s="867"/>
      <c r="T52" s="867"/>
      <c r="U52" s="868"/>
      <c r="V52" s="132" t="e">
        <f>IF(B52="","",VLOOKUP(B52,MATERIAL!A$3:C$531,3,FALSE))</f>
        <v>#N/A</v>
      </c>
      <c r="W52" s="133">
        <v>1</v>
      </c>
      <c r="X52" s="134"/>
      <c r="Y52" s="134"/>
      <c r="Z52" s="135">
        <f t="shared" ref="Z52:Z73" si="3">SUM(W52:Y52)</f>
        <v>1</v>
      </c>
      <c r="AA52" s="894" t="e">
        <f t="shared" ref="AA52:AA69" si="4">IF(B52="","",(V52*Z52))</f>
        <v>#N/A</v>
      </c>
      <c r="AB52" s="868"/>
    </row>
    <row r="53" spans="1:28" ht="18.75" customHeight="1">
      <c r="A53" s="116">
        <v>2</v>
      </c>
      <c r="B53" s="131">
        <v>90210</v>
      </c>
      <c r="C53" s="866" t="str">
        <f>IF(B53="","",VLOOKUP(B53,MATERIAL!A:C,2,FALSE))</f>
        <v>PARA-RAIOS DISTR MT POLIM 12KV 10KA OX ZN S/CENT S/FERR</v>
      </c>
      <c r="D53" s="867"/>
      <c r="E53" s="867"/>
      <c r="F53" s="867"/>
      <c r="G53" s="867"/>
      <c r="H53" s="867"/>
      <c r="I53" s="867"/>
      <c r="J53" s="867"/>
      <c r="K53" s="867"/>
      <c r="L53" s="867"/>
      <c r="M53" s="867"/>
      <c r="N53" s="867"/>
      <c r="O53" s="867"/>
      <c r="P53" s="867"/>
      <c r="Q53" s="867"/>
      <c r="R53" s="867"/>
      <c r="S53" s="867"/>
      <c r="T53" s="867"/>
      <c r="U53" s="868"/>
      <c r="V53" s="132" t="str">
        <f>IF(B53="","",VLOOKUP(B53,MATERIAL!A$3:C$531,3,FALSE))</f>
        <v>UN</v>
      </c>
      <c r="W53" s="133">
        <v>3</v>
      </c>
      <c r="X53" s="134"/>
      <c r="Y53" s="134"/>
      <c r="Z53" s="135">
        <f t="shared" si="3"/>
        <v>3</v>
      </c>
      <c r="AA53" s="894" t="e">
        <f t="shared" si="4"/>
        <v>#VALUE!</v>
      </c>
      <c r="AB53" s="868"/>
    </row>
    <row r="54" spans="1:28" ht="18.75" customHeight="1">
      <c r="A54" s="116">
        <v>3</v>
      </c>
      <c r="B54" s="131">
        <v>90207</v>
      </c>
      <c r="C54" s="866" t="str">
        <f>IF(B54="","",VLOOKUP(B54,MATERIAL!A:C,2,FALSE))</f>
        <v>PARA-RAIOS DISTR BT POLIM 127V 10KA OX MT S/CENT RSI</v>
      </c>
      <c r="D54" s="867"/>
      <c r="E54" s="867"/>
      <c r="F54" s="867"/>
      <c r="G54" s="867"/>
      <c r="H54" s="867"/>
      <c r="I54" s="867"/>
      <c r="J54" s="867"/>
      <c r="K54" s="867"/>
      <c r="L54" s="867"/>
      <c r="M54" s="867"/>
      <c r="N54" s="867"/>
      <c r="O54" s="867"/>
      <c r="P54" s="867"/>
      <c r="Q54" s="867"/>
      <c r="R54" s="867"/>
      <c r="S54" s="867"/>
      <c r="T54" s="867"/>
      <c r="U54" s="868"/>
      <c r="V54" s="132" t="str">
        <f>IF(B54="","",VLOOKUP(B54,MATERIAL!A$3:C$531,3,FALSE))</f>
        <v>PC</v>
      </c>
      <c r="W54" s="133">
        <v>3</v>
      </c>
      <c r="X54" s="134"/>
      <c r="Y54" s="134"/>
      <c r="Z54" s="135">
        <f t="shared" si="3"/>
        <v>3</v>
      </c>
      <c r="AA54" s="894" t="e">
        <f t="shared" si="4"/>
        <v>#VALUE!</v>
      </c>
      <c r="AB54" s="868"/>
    </row>
    <row r="55" spans="1:28" ht="18.75" customHeight="1">
      <c r="A55" s="116">
        <v>4</v>
      </c>
      <c r="B55" s="131">
        <v>90500</v>
      </c>
      <c r="C55" s="866" t="str">
        <f>IF(B55="","",VLOOKUP(B55,MATERIAL!A:C,2,FALSE))</f>
        <v>ELO FUSIVEL DISTRIBUICAO TIPO H 3A 500MM</v>
      </c>
      <c r="D55" s="867"/>
      <c r="E55" s="867"/>
      <c r="F55" s="867"/>
      <c r="G55" s="867"/>
      <c r="H55" s="867"/>
      <c r="I55" s="867"/>
      <c r="J55" s="867"/>
      <c r="K55" s="867"/>
      <c r="L55" s="867"/>
      <c r="M55" s="867"/>
      <c r="N55" s="867"/>
      <c r="O55" s="867"/>
      <c r="P55" s="867"/>
      <c r="Q55" s="867"/>
      <c r="R55" s="867"/>
      <c r="S55" s="867"/>
      <c r="T55" s="867"/>
      <c r="U55" s="868"/>
      <c r="V55" s="132" t="str">
        <f>IF(B55="","",VLOOKUP(B55,MATERIAL!A$3:C$531,3,FALSE))</f>
        <v>PÇ</v>
      </c>
      <c r="W55" s="133">
        <v>3</v>
      </c>
      <c r="X55" s="134"/>
      <c r="Y55" s="134"/>
      <c r="Z55" s="135">
        <f t="shared" si="3"/>
        <v>3</v>
      </c>
      <c r="AA55" s="894" t="e">
        <f t="shared" si="4"/>
        <v>#VALUE!</v>
      </c>
      <c r="AB55" s="868"/>
    </row>
    <row r="56" spans="1:28" ht="18.75" customHeight="1">
      <c r="A56" s="116">
        <v>5</v>
      </c>
      <c r="B56" s="131">
        <v>90342</v>
      </c>
      <c r="C56" s="866" t="str">
        <f>IF(B56="","",VLOOKUP(B56,MATERIAL!A:C,2,FALSE))</f>
        <v>CONECT TERM ESTRANG CB/BAR ALUM 2F 123X25MM 11.20-12.30MM</v>
      </c>
      <c r="D56" s="867"/>
      <c r="E56" s="867"/>
      <c r="F56" s="867"/>
      <c r="G56" s="867"/>
      <c r="H56" s="867"/>
      <c r="I56" s="867"/>
      <c r="J56" s="867"/>
      <c r="K56" s="867"/>
      <c r="L56" s="867"/>
      <c r="M56" s="867"/>
      <c r="N56" s="867"/>
      <c r="O56" s="867"/>
      <c r="P56" s="867"/>
      <c r="Q56" s="867"/>
      <c r="R56" s="867"/>
      <c r="S56" s="867"/>
      <c r="T56" s="867"/>
      <c r="U56" s="868"/>
      <c r="V56" s="132" t="s">
        <v>13</v>
      </c>
      <c r="W56" s="133">
        <v>4</v>
      </c>
      <c r="X56" s="134"/>
      <c r="Y56" s="134"/>
      <c r="Z56" s="135">
        <f t="shared" si="3"/>
        <v>4</v>
      </c>
      <c r="AA56" s="894" t="e">
        <f t="shared" si="4"/>
        <v>#VALUE!</v>
      </c>
      <c r="AB56" s="868"/>
    </row>
    <row r="57" spans="1:28" ht="18.75" customHeight="1">
      <c r="A57" s="116">
        <v>6</v>
      </c>
      <c r="B57" s="131">
        <v>90294</v>
      </c>
      <c r="C57" s="866" t="str">
        <f>IF(B57="","",VLOOKUP(B57,MATERIAL!A:C,2,FALSE))</f>
        <v>CABO COBR PROT SPL XLPE 1F 15,0KV 16MM2 BLOQ CNZ</v>
      </c>
      <c r="D57" s="867"/>
      <c r="E57" s="867"/>
      <c r="F57" s="867"/>
      <c r="G57" s="867"/>
      <c r="H57" s="867"/>
      <c r="I57" s="867"/>
      <c r="J57" s="867"/>
      <c r="K57" s="867"/>
      <c r="L57" s="867"/>
      <c r="M57" s="867"/>
      <c r="N57" s="867"/>
      <c r="O57" s="867"/>
      <c r="P57" s="867"/>
      <c r="Q57" s="867"/>
      <c r="R57" s="867"/>
      <c r="S57" s="867"/>
      <c r="T57" s="867"/>
      <c r="U57" s="868"/>
      <c r="V57" s="132" t="str">
        <f>IF(B57="","",VLOOKUP(B57,MATERIAL!A$3:C$531,3,FALSE))</f>
        <v>M</v>
      </c>
      <c r="W57" s="133">
        <v>6</v>
      </c>
      <c r="X57" s="134"/>
      <c r="Y57" s="134"/>
      <c r="Z57" s="135">
        <f t="shared" si="3"/>
        <v>6</v>
      </c>
      <c r="AA57" s="894" t="e">
        <f t="shared" si="4"/>
        <v>#VALUE!</v>
      </c>
      <c r="AB57" s="868"/>
    </row>
    <row r="58" spans="1:28" ht="18.75" customHeight="1">
      <c r="A58" s="116">
        <v>7</v>
      </c>
      <c r="B58" s="131">
        <v>91462</v>
      </c>
      <c r="C58" s="866" t="str">
        <f>IF(B58="","",VLOOKUP(B58,MATERIAL!A:C,2,FALSE))</f>
        <v>CABO COBRE ISOLAD 450/750V BWF/PVC 120MM2 CL2/4/5 PRT</v>
      </c>
      <c r="D58" s="867"/>
      <c r="E58" s="867"/>
      <c r="F58" s="867"/>
      <c r="G58" s="867"/>
      <c r="H58" s="867"/>
      <c r="I58" s="867"/>
      <c r="J58" s="867"/>
      <c r="K58" s="867"/>
      <c r="L58" s="867"/>
      <c r="M58" s="867"/>
      <c r="N58" s="867"/>
      <c r="O58" s="867"/>
      <c r="P58" s="867"/>
      <c r="Q58" s="867"/>
      <c r="R58" s="867"/>
      <c r="S58" s="867"/>
      <c r="T58" s="867"/>
      <c r="U58" s="868"/>
      <c r="V58" s="132" t="str">
        <f>IF(B58="","",VLOOKUP(B58,MATERIAL!A$3:C$531,3,FALSE))</f>
        <v>M</v>
      </c>
      <c r="W58" s="149">
        <v>6</v>
      </c>
      <c r="X58" s="136"/>
      <c r="Y58" s="136"/>
      <c r="Z58" s="135">
        <f t="shared" si="3"/>
        <v>6</v>
      </c>
      <c r="AA58" s="894" t="e">
        <f t="shared" si="4"/>
        <v>#VALUE!</v>
      </c>
      <c r="AB58" s="868"/>
    </row>
    <row r="59" spans="1:28" ht="18.75" customHeight="1">
      <c r="A59" s="116">
        <v>8</v>
      </c>
      <c r="B59" s="131">
        <v>3098</v>
      </c>
      <c r="C59" s="866" t="str">
        <f>IF(B59="","",VLOOKUP(B59,MATERIAL!A:C,2,FALSE))</f>
        <v>CABO ISOL 750V COBRE PVC/BWF 10MM2 1F CL2 PT</v>
      </c>
      <c r="D59" s="867"/>
      <c r="E59" s="867"/>
      <c r="F59" s="867"/>
      <c r="G59" s="867"/>
      <c r="H59" s="867"/>
      <c r="I59" s="867"/>
      <c r="J59" s="867"/>
      <c r="K59" s="867"/>
      <c r="L59" s="867"/>
      <c r="M59" s="867"/>
      <c r="N59" s="867"/>
      <c r="O59" s="867"/>
      <c r="P59" s="867"/>
      <c r="Q59" s="867"/>
      <c r="R59" s="867"/>
      <c r="S59" s="867"/>
      <c r="T59" s="867"/>
      <c r="U59" s="868"/>
      <c r="V59" s="132" t="str">
        <f>IF(B59="","",VLOOKUP(B59,MATERIAL!A$3:C$531,3,FALSE))</f>
        <v>M</v>
      </c>
      <c r="W59" s="149">
        <v>5</v>
      </c>
      <c r="X59" s="136"/>
      <c r="Y59" s="136"/>
      <c r="Z59" s="135">
        <f t="shared" si="3"/>
        <v>5</v>
      </c>
      <c r="AA59" s="894" t="e">
        <f t="shared" si="4"/>
        <v>#VALUE!</v>
      </c>
      <c r="AB59" s="868"/>
    </row>
    <row r="60" spans="1:28" ht="18.75" customHeight="1">
      <c r="A60" s="116">
        <v>9</v>
      </c>
      <c r="B60" s="131">
        <v>90355</v>
      </c>
      <c r="C60" s="866" t="str">
        <f>IF(B60="","",VLOOKUP(B60,MATERIAL!A:C,2,FALSE))</f>
        <v xml:space="preserve">CONECTOR DERIV PERFURAT C/C 1,0KV 16-120MM2/4-35MM2 </v>
      </c>
      <c r="D60" s="867"/>
      <c r="E60" s="867"/>
      <c r="F60" s="867"/>
      <c r="G60" s="867"/>
      <c r="H60" s="867"/>
      <c r="I60" s="867"/>
      <c r="J60" s="867"/>
      <c r="K60" s="867"/>
      <c r="L60" s="867"/>
      <c r="M60" s="867"/>
      <c r="N60" s="867"/>
      <c r="O60" s="867"/>
      <c r="P60" s="867"/>
      <c r="Q60" s="867"/>
      <c r="R60" s="867"/>
      <c r="S60" s="867"/>
      <c r="T60" s="867"/>
      <c r="U60" s="868"/>
      <c r="V60" s="132" t="str">
        <f>IF(B60="","",VLOOKUP(B60,MATERIAL!A$3:C$531,3,FALSE))</f>
        <v>UN</v>
      </c>
      <c r="W60" s="149">
        <v>4</v>
      </c>
      <c r="X60" s="136"/>
      <c r="Y60" s="136"/>
      <c r="Z60" s="135">
        <f t="shared" si="3"/>
        <v>4</v>
      </c>
      <c r="AA60" s="894" t="e">
        <f t="shared" si="4"/>
        <v>#VALUE!</v>
      </c>
      <c r="AB60" s="868"/>
    </row>
    <row r="61" spans="1:28" ht="18.75" customHeight="1">
      <c r="A61" s="116">
        <v>10</v>
      </c>
      <c r="B61" s="47">
        <v>90357</v>
      </c>
      <c r="C61" s="866" t="str">
        <f>IF(B61="","",VLOOKUP(B61,MATERIAL!A:C,2,FALSE))</f>
        <v xml:space="preserve">CONECTOR DERIV PERFURAT C/C 1,0KV 70-240MM2/70-240MM2 </v>
      </c>
      <c r="D61" s="867"/>
      <c r="E61" s="867"/>
      <c r="F61" s="867"/>
      <c r="G61" s="867"/>
      <c r="H61" s="867"/>
      <c r="I61" s="867"/>
      <c r="J61" s="867"/>
      <c r="K61" s="867"/>
      <c r="L61" s="867"/>
      <c r="M61" s="867"/>
      <c r="N61" s="867"/>
      <c r="O61" s="867"/>
      <c r="P61" s="867"/>
      <c r="Q61" s="867"/>
      <c r="R61" s="867"/>
      <c r="S61" s="867"/>
      <c r="T61" s="867"/>
      <c r="U61" s="868"/>
      <c r="V61" s="132" t="str">
        <f>IF(B61="","",VLOOKUP(B61,MATERIAL!A$3:C$531,3,FALSE))</f>
        <v>PC</v>
      </c>
      <c r="W61" s="149">
        <v>4</v>
      </c>
      <c r="X61" s="136"/>
      <c r="Y61" s="136"/>
      <c r="Z61" s="135">
        <f t="shared" si="3"/>
        <v>4</v>
      </c>
      <c r="AA61" s="894" t="e">
        <f t="shared" si="4"/>
        <v>#VALUE!</v>
      </c>
      <c r="AB61" s="868"/>
    </row>
    <row r="62" spans="1:28" ht="18.75" customHeight="1">
      <c r="A62" s="116">
        <v>11</v>
      </c>
      <c r="B62" s="47">
        <v>90586</v>
      </c>
      <c r="C62" s="866" t="str">
        <f>IF(B62="","",VLOOKUP(B62,MATERIAL!A:C,2,FALSE))</f>
        <v>CAPA PROT PEAD TRANSF MT 15/36,2KV 135X110MM</v>
      </c>
      <c r="D62" s="867"/>
      <c r="E62" s="867"/>
      <c r="F62" s="867"/>
      <c r="G62" s="867"/>
      <c r="H62" s="867"/>
      <c r="I62" s="867"/>
      <c r="J62" s="867"/>
      <c r="K62" s="867"/>
      <c r="L62" s="867"/>
      <c r="M62" s="867"/>
      <c r="N62" s="867"/>
      <c r="O62" s="867"/>
      <c r="P62" s="867"/>
      <c r="Q62" s="867"/>
      <c r="R62" s="867"/>
      <c r="S62" s="867"/>
      <c r="T62" s="867"/>
      <c r="U62" s="868"/>
      <c r="V62" s="132" t="str">
        <f>IF(B62="","",VLOOKUP(B62,MATERIAL!A$3:C$531,3,FALSE))</f>
        <v>UN</v>
      </c>
      <c r="W62" s="137">
        <v>6</v>
      </c>
      <c r="X62" s="136"/>
      <c r="Y62" s="136"/>
      <c r="Z62" s="135">
        <f t="shared" si="3"/>
        <v>6</v>
      </c>
      <c r="AA62" s="894" t="e">
        <f t="shared" si="4"/>
        <v>#VALUE!</v>
      </c>
      <c r="AB62" s="868"/>
    </row>
    <row r="63" spans="1:28" ht="18.75" customHeight="1">
      <c r="A63" s="116">
        <v>12</v>
      </c>
      <c r="B63" s="47"/>
      <c r="C63" s="866" t="str">
        <f>IF(B63="","",VLOOKUP(B63,MATERIAL!A:C,2,FALSE))</f>
        <v/>
      </c>
      <c r="D63" s="867"/>
      <c r="E63" s="867"/>
      <c r="F63" s="867"/>
      <c r="G63" s="867"/>
      <c r="H63" s="867"/>
      <c r="I63" s="867"/>
      <c r="J63" s="867"/>
      <c r="K63" s="867"/>
      <c r="L63" s="867"/>
      <c r="M63" s="867"/>
      <c r="N63" s="867"/>
      <c r="O63" s="867"/>
      <c r="P63" s="867"/>
      <c r="Q63" s="867"/>
      <c r="R63" s="867"/>
      <c r="S63" s="867"/>
      <c r="T63" s="867"/>
      <c r="U63" s="868"/>
      <c r="V63" s="132" t="str">
        <f>IF(B63="","",VLOOKUP(B63,MATERIAL!A$3:C$531,3,FALSE))</f>
        <v/>
      </c>
      <c r="W63" s="137"/>
      <c r="X63" s="136"/>
      <c r="Y63" s="136"/>
      <c r="Z63" s="135">
        <f t="shared" si="3"/>
        <v>0</v>
      </c>
      <c r="AA63" s="894" t="str">
        <f t="shared" si="4"/>
        <v/>
      </c>
      <c r="AB63" s="868"/>
    </row>
    <row r="64" spans="1:28" ht="18.75" customHeight="1">
      <c r="A64" s="116">
        <v>13</v>
      </c>
      <c r="B64" s="47"/>
      <c r="C64" s="866" t="str">
        <f>IF(B64="","",VLOOKUP(B64,MATERIAL!A:C,2,FALSE))</f>
        <v/>
      </c>
      <c r="D64" s="867"/>
      <c r="E64" s="867"/>
      <c r="F64" s="867"/>
      <c r="G64" s="867"/>
      <c r="H64" s="867"/>
      <c r="I64" s="867"/>
      <c r="J64" s="867"/>
      <c r="K64" s="867"/>
      <c r="L64" s="867"/>
      <c r="M64" s="867"/>
      <c r="N64" s="867"/>
      <c r="O64" s="867"/>
      <c r="P64" s="867"/>
      <c r="Q64" s="867"/>
      <c r="R64" s="867"/>
      <c r="S64" s="867"/>
      <c r="T64" s="867"/>
      <c r="U64" s="868"/>
      <c r="V64" s="132" t="str">
        <f>IF(B64="","",VLOOKUP(B64,MATERIAL!A$3:C$531,3,FALSE))</f>
        <v/>
      </c>
      <c r="W64" s="136"/>
      <c r="X64" s="136"/>
      <c r="Y64" s="136"/>
      <c r="Z64" s="135">
        <f t="shared" si="3"/>
        <v>0</v>
      </c>
      <c r="AA64" s="894" t="str">
        <f t="shared" si="4"/>
        <v/>
      </c>
      <c r="AB64" s="868"/>
    </row>
    <row r="65" spans="1:28" ht="18.75" customHeight="1">
      <c r="A65" s="116">
        <v>14</v>
      </c>
      <c r="B65" s="138"/>
      <c r="C65" s="866" t="str">
        <f>IF(B65="","",VLOOKUP(B65,MATERIAL!A:C,2,FALSE))</f>
        <v/>
      </c>
      <c r="D65" s="867"/>
      <c r="E65" s="867"/>
      <c r="F65" s="867"/>
      <c r="G65" s="867"/>
      <c r="H65" s="867"/>
      <c r="I65" s="867"/>
      <c r="J65" s="867"/>
      <c r="K65" s="867"/>
      <c r="L65" s="867"/>
      <c r="M65" s="867"/>
      <c r="N65" s="867"/>
      <c r="O65" s="867"/>
      <c r="P65" s="867"/>
      <c r="Q65" s="867"/>
      <c r="R65" s="867"/>
      <c r="S65" s="867"/>
      <c r="T65" s="867"/>
      <c r="U65" s="868"/>
      <c r="V65" s="132" t="str">
        <f>IF(B65="","",VLOOKUP(B65,MATERIAL!A$3:C$531,3,FALSE))</f>
        <v/>
      </c>
      <c r="W65" s="137"/>
      <c r="X65" s="136"/>
      <c r="Y65" s="136"/>
      <c r="Z65" s="135">
        <f t="shared" si="3"/>
        <v>0</v>
      </c>
      <c r="AA65" s="894" t="str">
        <f t="shared" si="4"/>
        <v/>
      </c>
      <c r="AB65" s="868"/>
    </row>
    <row r="66" spans="1:28" ht="18.75" customHeight="1">
      <c r="A66" s="116">
        <v>15</v>
      </c>
      <c r="B66" s="138"/>
      <c r="C66" s="866" t="str">
        <f>IF(B66="","",VLOOKUP(B66,MATERIAL!A:C,2,FALSE))</f>
        <v/>
      </c>
      <c r="D66" s="867"/>
      <c r="E66" s="867"/>
      <c r="F66" s="867"/>
      <c r="G66" s="867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8"/>
      <c r="V66" s="132" t="str">
        <f>IF(B66="","",VLOOKUP(B66,MATERIAL!A$3:C$531,3,FALSE))</f>
        <v/>
      </c>
      <c r="W66" s="137"/>
      <c r="X66" s="136"/>
      <c r="Y66" s="136"/>
      <c r="Z66" s="135">
        <f t="shared" si="3"/>
        <v>0</v>
      </c>
      <c r="AA66" s="894" t="str">
        <f t="shared" si="4"/>
        <v/>
      </c>
      <c r="AB66" s="868"/>
    </row>
    <row r="67" spans="1:28" ht="18.75" customHeight="1">
      <c r="A67" s="116">
        <v>16</v>
      </c>
      <c r="B67" s="138"/>
      <c r="C67" s="866" t="str">
        <f>IF(B67="","",VLOOKUP(B67,MATERIAL!A:C,2,FALSE))</f>
        <v/>
      </c>
      <c r="D67" s="867"/>
      <c r="E67" s="867"/>
      <c r="F67" s="867"/>
      <c r="G67" s="867"/>
      <c r="H67" s="867"/>
      <c r="I67" s="867"/>
      <c r="J67" s="867"/>
      <c r="K67" s="867"/>
      <c r="L67" s="867"/>
      <c r="M67" s="867"/>
      <c r="N67" s="867"/>
      <c r="O67" s="867"/>
      <c r="P67" s="867"/>
      <c r="Q67" s="867"/>
      <c r="R67" s="867"/>
      <c r="S67" s="867"/>
      <c r="T67" s="867"/>
      <c r="U67" s="868"/>
      <c r="V67" s="132" t="str">
        <f>IF(B67="","",VLOOKUP(B67,MATERIAL!A$3:C$531,3,FALSE))</f>
        <v/>
      </c>
      <c r="W67" s="137"/>
      <c r="X67" s="136"/>
      <c r="Y67" s="136"/>
      <c r="Z67" s="135">
        <f t="shared" si="3"/>
        <v>0</v>
      </c>
      <c r="AA67" s="894" t="str">
        <f t="shared" si="4"/>
        <v/>
      </c>
      <c r="AB67" s="868"/>
    </row>
    <row r="68" spans="1:28" ht="18.75" customHeight="1">
      <c r="A68" s="116">
        <v>17</v>
      </c>
      <c r="B68" s="138"/>
      <c r="C68" s="866" t="str">
        <f>IF(B68="","",VLOOKUP(B68,MATERIAL!A:C,2,FALSE))</f>
        <v/>
      </c>
      <c r="D68" s="867"/>
      <c r="E68" s="867"/>
      <c r="F68" s="867"/>
      <c r="G68" s="867"/>
      <c r="H68" s="867"/>
      <c r="I68" s="867"/>
      <c r="J68" s="867"/>
      <c r="K68" s="867"/>
      <c r="L68" s="867"/>
      <c r="M68" s="867"/>
      <c r="N68" s="867"/>
      <c r="O68" s="867"/>
      <c r="P68" s="867"/>
      <c r="Q68" s="867"/>
      <c r="R68" s="867"/>
      <c r="S68" s="867"/>
      <c r="T68" s="867"/>
      <c r="U68" s="868"/>
      <c r="V68" s="132" t="str">
        <f>IF(B68="","",VLOOKUP(B68,MATERIAL!A$3:C$531,3,FALSE))</f>
        <v/>
      </c>
      <c r="W68" s="136"/>
      <c r="X68" s="136"/>
      <c r="Y68" s="136"/>
      <c r="Z68" s="135">
        <f t="shared" si="3"/>
        <v>0</v>
      </c>
      <c r="AA68" s="894" t="str">
        <f t="shared" si="4"/>
        <v/>
      </c>
      <c r="AB68" s="868"/>
    </row>
    <row r="69" spans="1:28" ht="18.75" customHeight="1">
      <c r="A69" s="116">
        <v>18</v>
      </c>
      <c r="B69" s="139"/>
      <c r="C69" s="866" t="str">
        <f>IF(B69="","",VLOOKUP(B69,MATERIAL!A:C,2,FALSE))</f>
        <v/>
      </c>
      <c r="D69" s="867"/>
      <c r="E69" s="867"/>
      <c r="F69" s="867"/>
      <c r="G69" s="867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8"/>
      <c r="V69" s="132" t="str">
        <f>IF(B69="","",VLOOKUP(B69,MATERIAL!A$3:C$531,3,FALSE))</f>
        <v/>
      </c>
      <c r="W69" s="136"/>
      <c r="X69" s="136"/>
      <c r="Y69" s="136"/>
      <c r="Z69" s="135">
        <f t="shared" si="3"/>
        <v>0</v>
      </c>
      <c r="AA69" s="894" t="str">
        <f t="shared" si="4"/>
        <v/>
      </c>
      <c r="AB69" s="868"/>
    </row>
    <row r="70" spans="1:28" ht="18.75" customHeight="1">
      <c r="A70" s="116">
        <v>19</v>
      </c>
      <c r="B70" s="139"/>
      <c r="C70" s="866" t="str">
        <f>IF(B70="","",VLOOKUP(B70,MATERIAL!A:C,2,FALSE))</f>
        <v/>
      </c>
      <c r="D70" s="867"/>
      <c r="E70" s="867"/>
      <c r="F70" s="867"/>
      <c r="G70" s="867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8"/>
      <c r="V70" s="132" t="str">
        <f>IF(B70="","",VLOOKUP(B70,MATERIAL!A$3:C$531,3,FALSE))</f>
        <v/>
      </c>
      <c r="W70" s="136"/>
      <c r="X70" s="136"/>
      <c r="Y70" s="136"/>
      <c r="Z70" s="135">
        <f t="shared" si="3"/>
        <v>0</v>
      </c>
      <c r="AA70" s="140"/>
      <c r="AB70" s="141"/>
    </row>
    <row r="71" spans="1:28" ht="18.75" customHeight="1">
      <c r="A71" s="116">
        <v>20</v>
      </c>
      <c r="B71" s="139"/>
      <c r="C71" s="866" t="str">
        <f>IF(B71="","",VLOOKUP(B71,MATERIAL!A:C,2,FALSE))</f>
        <v/>
      </c>
      <c r="D71" s="867"/>
      <c r="E71" s="867"/>
      <c r="F71" s="867"/>
      <c r="G71" s="867"/>
      <c r="H71" s="867"/>
      <c r="I71" s="867"/>
      <c r="J71" s="867"/>
      <c r="K71" s="867"/>
      <c r="L71" s="867"/>
      <c r="M71" s="867"/>
      <c r="N71" s="867"/>
      <c r="O71" s="867"/>
      <c r="P71" s="867"/>
      <c r="Q71" s="867"/>
      <c r="R71" s="867"/>
      <c r="S71" s="867"/>
      <c r="T71" s="867"/>
      <c r="U71" s="868"/>
      <c r="V71" s="132" t="str">
        <f>IF(B71="","",VLOOKUP(B71,MATERIAL!A$3:C$531,3,FALSE))</f>
        <v/>
      </c>
      <c r="W71" s="136"/>
      <c r="X71" s="136"/>
      <c r="Y71" s="136"/>
      <c r="Z71" s="135">
        <f t="shared" si="3"/>
        <v>0</v>
      </c>
      <c r="AA71" s="140"/>
      <c r="AB71" s="141"/>
    </row>
    <row r="72" spans="1:28" ht="18.75" customHeight="1">
      <c r="A72" s="116">
        <v>21</v>
      </c>
      <c r="B72" s="139"/>
      <c r="C72" s="866" t="str">
        <f>IF(B72="","",VLOOKUP(B72,MATERIAL!A:C,2,FALSE))</f>
        <v/>
      </c>
      <c r="D72" s="867"/>
      <c r="E72" s="867"/>
      <c r="F72" s="867"/>
      <c r="G72" s="867"/>
      <c r="H72" s="867"/>
      <c r="I72" s="867"/>
      <c r="J72" s="867"/>
      <c r="K72" s="867"/>
      <c r="L72" s="867"/>
      <c r="M72" s="867"/>
      <c r="N72" s="867"/>
      <c r="O72" s="867"/>
      <c r="P72" s="867"/>
      <c r="Q72" s="867"/>
      <c r="R72" s="867"/>
      <c r="S72" s="867"/>
      <c r="T72" s="867"/>
      <c r="U72" s="868"/>
      <c r="V72" s="132" t="str">
        <f>IF(B72="","",VLOOKUP(B72,MATERIAL!A$3:C$531,3,FALSE))</f>
        <v/>
      </c>
      <c r="W72" s="136"/>
      <c r="X72" s="136"/>
      <c r="Y72" s="136"/>
      <c r="Z72" s="135">
        <f t="shared" si="3"/>
        <v>0</v>
      </c>
      <c r="AA72" s="140"/>
      <c r="AB72" s="141"/>
    </row>
    <row r="73" spans="1:28" ht="18.75" customHeight="1">
      <c r="A73" s="116">
        <v>22</v>
      </c>
      <c r="B73" s="139"/>
      <c r="C73" s="866" t="str">
        <f>IF(B73="","",VLOOKUP(B73,MATERIAL!A:C,2,FALSE))</f>
        <v/>
      </c>
      <c r="D73" s="867"/>
      <c r="E73" s="867"/>
      <c r="F73" s="867"/>
      <c r="G73" s="867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867"/>
      <c r="S73" s="867"/>
      <c r="T73" s="867"/>
      <c r="U73" s="868"/>
      <c r="V73" s="132" t="str">
        <f>IF(B73="","",VLOOKUP(B73,MATERIAL!A$3:C$531,3,FALSE))</f>
        <v/>
      </c>
      <c r="W73" s="136"/>
      <c r="X73" s="136"/>
      <c r="Y73" s="136"/>
      <c r="Z73" s="135">
        <f t="shared" si="3"/>
        <v>0</v>
      </c>
      <c r="AA73" s="140"/>
      <c r="AB73" s="141"/>
    </row>
    <row r="74" spans="1:28" ht="18.75" customHeight="1">
      <c r="A74" s="881" t="s">
        <v>531</v>
      </c>
      <c r="B74" s="876" t="s">
        <v>532</v>
      </c>
      <c r="C74" s="882" t="s">
        <v>539</v>
      </c>
      <c r="D74" s="883"/>
      <c r="E74" s="883"/>
      <c r="F74" s="883"/>
      <c r="G74" s="883"/>
      <c r="H74" s="883"/>
      <c r="I74" s="883"/>
      <c r="J74" s="883"/>
      <c r="K74" s="883"/>
      <c r="L74" s="883"/>
      <c r="M74" s="883"/>
      <c r="N74" s="883"/>
      <c r="O74" s="883"/>
      <c r="P74" s="883"/>
      <c r="Q74" s="883"/>
      <c r="R74" s="883"/>
      <c r="S74" s="883"/>
      <c r="T74" s="883"/>
      <c r="U74" s="884"/>
      <c r="V74" s="876" t="s">
        <v>13</v>
      </c>
      <c r="W74" s="879" t="s">
        <v>535</v>
      </c>
      <c r="X74" s="867"/>
      <c r="Y74" s="867"/>
      <c r="Z74" s="867"/>
      <c r="AA74" s="868"/>
      <c r="AB74" s="876" t="s">
        <v>536</v>
      </c>
    </row>
    <row r="75" spans="1:28" ht="18.75" customHeight="1">
      <c r="A75" s="877"/>
      <c r="B75" s="877"/>
      <c r="C75" s="885"/>
      <c r="D75" s="886"/>
      <c r="E75" s="886"/>
      <c r="F75" s="886"/>
      <c r="G75" s="886"/>
      <c r="H75" s="886"/>
      <c r="I75" s="886"/>
      <c r="J75" s="886"/>
      <c r="K75" s="886"/>
      <c r="L75" s="886"/>
      <c r="M75" s="886"/>
      <c r="N75" s="886"/>
      <c r="O75" s="886"/>
      <c r="P75" s="886"/>
      <c r="Q75" s="886"/>
      <c r="R75" s="886"/>
      <c r="S75" s="886"/>
      <c r="T75" s="886"/>
      <c r="U75" s="887"/>
      <c r="V75" s="877"/>
      <c r="W75" s="142" t="s">
        <v>540</v>
      </c>
      <c r="X75" s="880" t="s">
        <v>541</v>
      </c>
      <c r="Y75" s="868"/>
      <c r="Z75" s="143" t="s">
        <v>542</v>
      </c>
      <c r="AA75" s="115" t="s">
        <v>543</v>
      </c>
      <c r="AB75" s="877"/>
    </row>
    <row r="76" spans="1:28" ht="18.75" customHeight="1">
      <c r="A76" s="116">
        <v>1</v>
      </c>
      <c r="B76" s="131">
        <v>90054</v>
      </c>
      <c r="C76" s="983" t="str">
        <f>IF(B76="","",VLOOKUP(B76,MATERIAL!A:C,2,FALSE))</f>
        <v>TRANSF DISTR AER OMI 3F 13,8KV 220/127V 45KVA CL2 4TP</v>
      </c>
      <c r="D76" s="867"/>
      <c r="E76" s="867"/>
      <c r="F76" s="867"/>
      <c r="G76" s="867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8"/>
      <c r="V76" s="132" t="e">
        <f>IF(B76="","",VLOOKUP(B76,MATERIAL!A$3:C$531,3,FALSE))</f>
        <v>#N/A</v>
      </c>
      <c r="W76" s="119"/>
      <c r="X76" s="869">
        <v>1</v>
      </c>
      <c r="Y76" s="868"/>
      <c r="Z76" s="144"/>
      <c r="AA76" s="139"/>
      <c r="AB76" s="145">
        <f t="shared" ref="AB76:AB87" si="5">SUM(W76:AA76)</f>
        <v>1</v>
      </c>
    </row>
    <row r="77" spans="1:28" ht="18.75" customHeight="1">
      <c r="A77" s="116">
        <v>2</v>
      </c>
      <c r="B77" s="131">
        <v>90210</v>
      </c>
      <c r="C77" s="983" t="str">
        <f>IF(B77="","",VLOOKUP(B77,MATERIAL!A:C,2,FALSE))</f>
        <v>PARA-RAIOS DISTR MT POLIM 12KV 10KA OX ZN S/CENT S/FERR</v>
      </c>
      <c r="D77" s="867"/>
      <c r="E77" s="867"/>
      <c r="F77" s="867"/>
      <c r="G77" s="867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8"/>
      <c r="V77" s="132" t="str">
        <f>IF(B77="","",VLOOKUP(B77,MATERIAL!A$3:C$531,3,FALSE))</f>
        <v>UN</v>
      </c>
      <c r="W77" s="119">
        <v>3</v>
      </c>
      <c r="X77" s="869"/>
      <c r="Y77" s="868"/>
      <c r="Z77" s="144"/>
      <c r="AA77" s="139"/>
      <c r="AB77" s="146">
        <f t="shared" si="5"/>
        <v>3</v>
      </c>
    </row>
    <row r="78" spans="1:28" ht="18.75" customHeight="1">
      <c r="A78" s="116">
        <v>3</v>
      </c>
      <c r="B78" s="131">
        <v>90500</v>
      </c>
      <c r="C78" s="983" t="str">
        <f>IF(B78="","",VLOOKUP(B78,MATERIAL!A:C,2,FALSE))</f>
        <v>ELO FUSIVEL DISTRIBUICAO TIPO H 3A 500MM</v>
      </c>
      <c r="D78" s="867"/>
      <c r="E78" s="867"/>
      <c r="F78" s="867"/>
      <c r="G78" s="867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8"/>
      <c r="V78" s="132" t="str">
        <f>IF(B78="","",VLOOKUP(B78,MATERIAL!A$3:C$531,3,FALSE))</f>
        <v>PÇ</v>
      </c>
      <c r="W78" s="119">
        <v>3</v>
      </c>
      <c r="X78" s="869"/>
      <c r="Y78" s="868"/>
      <c r="Z78" s="144"/>
      <c r="AA78" s="139"/>
      <c r="AB78" s="146">
        <f t="shared" si="5"/>
        <v>3</v>
      </c>
    </row>
    <row r="79" spans="1:28" ht="18.75" customHeight="1">
      <c r="A79" s="116">
        <v>4</v>
      </c>
      <c r="B79" s="154">
        <v>90586</v>
      </c>
      <c r="C79" s="983" t="str">
        <f>IF(B79="","",VLOOKUP(B79,MATERIAL!A:C,2,FALSE))</f>
        <v>CAPA PROT PEAD TRANSF MT 15/36,2KV 135X110MM</v>
      </c>
      <c r="D79" s="867"/>
      <c r="E79" s="867"/>
      <c r="F79" s="867"/>
      <c r="G79" s="867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8"/>
      <c r="V79" s="132" t="str">
        <f>IF(B79="","",VLOOKUP(B79,MATERIAL!A$3:C$531,3,FALSE))</f>
        <v>UN</v>
      </c>
      <c r="W79" s="119">
        <v>6</v>
      </c>
      <c r="X79" s="869"/>
      <c r="Y79" s="868"/>
      <c r="Z79" s="144"/>
      <c r="AA79" s="139"/>
      <c r="AB79" s="146">
        <f t="shared" si="5"/>
        <v>6</v>
      </c>
    </row>
    <row r="80" spans="1:28" ht="18.75" customHeight="1">
      <c r="A80" s="116">
        <v>5</v>
      </c>
      <c r="B80" s="154"/>
      <c r="C80" s="983" t="str">
        <f>IF(B80="","",VLOOKUP(B80,MATERIAL!A:C,2,FALSE))</f>
        <v/>
      </c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8"/>
      <c r="V80" s="132" t="str">
        <f>IF(B80="","",VLOOKUP(B80,MATERIAL!A$3:C$531,3,FALSE))</f>
        <v/>
      </c>
      <c r="W80" s="119"/>
      <c r="X80" s="869"/>
      <c r="Y80" s="868"/>
      <c r="Z80" s="144"/>
      <c r="AA80" s="139"/>
      <c r="AB80" s="146">
        <f t="shared" si="5"/>
        <v>0</v>
      </c>
    </row>
    <row r="81" spans="1:28" ht="18.75" customHeight="1">
      <c r="A81" s="116">
        <v>6</v>
      </c>
      <c r="B81" s="154"/>
      <c r="C81" s="983" t="str">
        <f>IF(B81="","",VLOOKUP(B81,MATERIAL!A:C,2,FALSE))</f>
        <v/>
      </c>
      <c r="D81" s="867"/>
      <c r="E81" s="867"/>
      <c r="F81" s="867"/>
      <c r="G81" s="867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8"/>
      <c r="V81" s="132" t="str">
        <f>IF(B81="","",VLOOKUP(B81,MATERIAL!A$3:C$531,3,FALSE))</f>
        <v/>
      </c>
      <c r="W81" s="119"/>
      <c r="X81" s="869"/>
      <c r="Y81" s="868"/>
      <c r="Z81" s="144"/>
      <c r="AA81" s="139"/>
      <c r="AB81" s="146">
        <f t="shared" si="5"/>
        <v>0</v>
      </c>
    </row>
    <row r="82" spans="1:28" ht="18.75" customHeight="1">
      <c r="A82" s="116">
        <v>7</v>
      </c>
      <c r="B82" s="152"/>
      <c r="C82" s="983" t="str">
        <f>IF(B82="","",VLOOKUP(B82,MATERIAL!A:C,2,FALSE))</f>
        <v/>
      </c>
      <c r="D82" s="867"/>
      <c r="E82" s="867"/>
      <c r="F82" s="867"/>
      <c r="G82" s="867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8"/>
      <c r="V82" s="132" t="str">
        <f>IF(B82="","",VLOOKUP(B82,MATERIAL!A$3:C$531,3,FALSE))</f>
        <v/>
      </c>
      <c r="W82" s="119"/>
      <c r="X82" s="994"/>
      <c r="Y82" s="868"/>
      <c r="Z82" s="144"/>
      <c r="AA82" s="139"/>
      <c r="AB82" s="146">
        <f t="shared" si="5"/>
        <v>0</v>
      </c>
    </row>
    <row r="83" spans="1:28" ht="18.75" customHeight="1">
      <c r="A83" s="116">
        <v>8</v>
      </c>
      <c r="B83" s="131"/>
      <c r="C83" s="983" t="str">
        <f>IF(B83="","",VLOOKUP(B83,MATERIAL!A:C,2,FALSE))</f>
        <v/>
      </c>
      <c r="D83" s="867"/>
      <c r="E83" s="867"/>
      <c r="F83" s="867"/>
      <c r="G83" s="867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8"/>
      <c r="V83" s="132" t="str">
        <f>IF(B83="","",VLOOKUP(B83,MATERIAL!A$3:C$531,3,FALSE))</f>
        <v/>
      </c>
      <c r="W83" s="122"/>
      <c r="X83" s="994"/>
      <c r="Y83" s="868"/>
      <c r="Z83" s="144"/>
      <c r="AA83" s="139"/>
      <c r="AB83" s="145">
        <f t="shared" si="5"/>
        <v>0</v>
      </c>
    </row>
    <row r="84" spans="1:28" ht="18.75" customHeight="1">
      <c r="A84" s="116">
        <v>9</v>
      </c>
      <c r="B84" s="131"/>
      <c r="C84" s="983" t="str">
        <f>IF(B84="","",VLOOKUP(B84,MATERIAL!A:C,2,FALSE))</f>
        <v/>
      </c>
      <c r="D84" s="867"/>
      <c r="E84" s="867"/>
      <c r="F84" s="867"/>
      <c r="G84" s="867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8"/>
      <c r="V84" s="132" t="str">
        <f>IF(B84="","",VLOOKUP(B84,MATERIAL!A$3:C$531,3,FALSE))</f>
        <v/>
      </c>
      <c r="W84" s="122"/>
      <c r="X84" s="994"/>
      <c r="Y84" s="868"/>
      <c r="Z84" s="144"/>
      <c r="AA84" s="139"/>
      <c r="AB84" s="146">
        <f t="shared" si="5"/>
        <v>0</v>
      </c>
    </row>
    <row r="85" spans="1:28" ht="18.75" customHeight="1">
      <c r="A85" s="116">
        <v>10</v>
      </c>
      <c r="B85" s="47"/>
      <c r="C85" s="983" t="str">
        <f>IF(B85="","",VLOOKUP(B85,MATERIAL!A:C,2,FALSE))</f>
        <v/>
      </c>
      <c r="D85" s="867"/>
      <c r="E85" s="867"/>
      <c r="F85" s="867"/>
      <c r="G85" s="867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8"/>
      <c r="V85" s="132" t="str">
        <f>IF(B85="","",VLOOKUP(B85,MATERIAL!A$3:C$531,3,FALSE))</f>
        <v/>
      </c>
      <c r="W85" s="122"/>
      <c r="X85" s="994"/>
      <c r="Y85" s="868"/>
      <c r="Z85" s="144"/>
      <c r="AA85" s="139"/>
      <c r="AB85" s="146">
        <f t="shared" si="5"/>
        <v>0</v>
      </c>
    </row>
    <row r="86" spans="1:28" ht="18.75" customHeight="1">
      <c r="A86" s="116">
        <v>11</v>
      </c>
      <c r="B86" s="47"/>
      <c r="C86" s="983" t="str">
        <f>IF(B86="","",VLOOKUP(B86,MATERIAL!A:C,2,FALSE))</f>
        <v/>
      </c>
      <c r="D86" s="867"/>
      <c r="E86" s="867"/>
      <c r="F86" s="867"/>
      <c r="G86" s="867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8"/>
      <c r="V86" s="132" t="str">
        <f>IF(B86="","",VLOOKUP(B86,MATERIAL!A$3:C$531,3,FALSE))</f>
        <v/>
      </c>
      <c r="W86" s="147"/>
      <c r="X86" s="994"/>
      <c r="Y86" s="868"/>
      <c r="Z86" s="144"/>
      <c r="AA86" s="139"/>
      <c r="AB86" s="146">
        <f t="shared" si="5"/>
        <v>0</v>
      </c>
    </row>
    <row r="87" spans="1:28" ht="18.75" customHeight="1">
      <c r="A87" s="116">
        <v>12</v>
      </c>
      <c r="B87" s="47"/>
      <c r="C87" s="983" t="str">
        <f>IF(B87="","",VLOOKUP(B87,MATERIAL!A:C,2,FALSE))</f>
        <v/>
      </c>
      <c r="D87" s="867"/>
      <c r="E87" s="867"/>
      <c r="F87" s="867"/>
      <c r="G87" s="867"/>
      <c r="H87" s="867"/>
      <c r="I87" s="867"/>
      <c r="J87" s="867"/>
      <c r="K87" s="867"/>
      <c r="L87" s="867"/>
      <c r="M87" s="867"/>
      <c r="N87" s="867"/>
      <c r="O87" s="867"/>
      <c r="P87" s="867"/>
      <c r="Q87" s="867"/>
      <c r="R87" s="867"/>
      <c r="S87" s="867"/>
      <c r="T87" s="867"/>
      <c r="U87" s="868"/>
      <c r="V87" s="132" t="str">
        <f>IF(B87="","",VLOOKUP(B87,MATERIAL!A$3:C$531,3,FALSE))</f>
        <v/>
      </c>
      <c r="W87" s="147"/>
      <c r="X87" s="994"/>
      <c r="Y87" s="868"/>
      <c r="Z87" s="144"/>
      <c r="AA87" s="139"/>
      <c r="AB87" s="146">
        <f t="shared" si="5"/>
        <v>0</v>
      </c>
    </row>
    <row r="88" spans="1:28" ht="18.75" customHeight="1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 spans="1:28" ht="18.75" customHeight="1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 spans="1:28" ht="18.75" customHeight="1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 spans="1:28" ht="18.75" customHeight="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 spans="1:28" ht="18.75" customHeight="1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 spans="1:28" ht="18.75" customHeight="1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 spans="1:28" ht="18.75" customHeight="1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 spans="1:28" ht="18.75" customHeight="1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 spans="1:28" ht="18.75" customHeight="1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 spans="1:28" ht="18.75" customHeight="1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 spans="1:28" ht="18.75" customHeight="1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 spans="1:28" ht="18.75" customHeight="1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 spans="1:28" ht="18.75" customHeight="1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 spans="1:28" ht="18.75" customHeight="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 spans="1:28" ht="18.75" customHeight="1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 spans="1:28" ht="18.75" customHeight="1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 spans="1:28" ht="18.75" customHeight="1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 spans="1:28" ht="18.75" customHeight="1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 spans="1:28" ht="18.75" customHeight="1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 spans="1:28" ht="18.75" customHeight="1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 spans="1:28" ht="18.75" customHeight="1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 spans="1:28" ht="18.75" customHeight="1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 spans="1:28" ht="18.75" customHeight="1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 spans="1:28" ht="18.75" customHeight="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 spans="1:28" ht="18.75" customHeight="1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 spans="1:28" ht="18.75" customHeight="1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 spans="1:28" ht="18.75" customHeight="1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 spans="1:28" ht="18.75" customHeight="1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 spans="1:28" ht="18.75" customHeight="1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 spans="1:28" ht="18.75" customHeight="1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 spans="1:28" ht="18.75" customHeight="1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 spans="1:28" ht="18.75" customHeight="1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 spans="1:28" ht="18.75" customHeight="1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 spans="1:28" ht="18.75" customHeight="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 spans="1:28" ht="18.75" customHeight="1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 spans="1:28" ht="18.75" customHeight="1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 spans="1:28" ht="18.75" customHeight="1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 spans="1:28" ht="18.75" customHeight="1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 spans="1:28" ht="18.75" customHeight="1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 spans="1:28" ht="18.75" customHeight="1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 spans="1:28" ht="18.75" customHeight="1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 spans="1:28" ht="18.75" customHeight="1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 spans="1:28" ht="18.75" customHeight="1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 spans="1:28" ht="18.75" customHeight="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 spans="1:28" ht="18.75" customHeight="1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 spans="1:28" ht="18.75" customHeight="1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 spans="1:28" ht="18.75" customHeight="1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 spans="1:28" ht="18.75" customHeight="1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 spans="1:28" ht="18.75" customHeight="1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 spans="1:28" ht="18.75" customHeight="1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 spans="1:28" ht="18.75" customHeight="1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 spans="1:28" ht="18.75" customHeight="1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 spans="1:28" ht="18.75" customHeight="1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 spans="1:28" ht="18.75" customHeight="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 spans="1:28" ht="18.75" customHeight="1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 spans="1:28" ht="18.75" customHeight="1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 spans="1:28" ht="18.75" customHeight="1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 spans="1:28" ht="18.75" customHeight="1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 spans="1:28" ht="18.75" customHeight="1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 spans="1:28" ht="18.75" customHeight="1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 spans="1:28" ht="18.75" customHeight="1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 spans="1:28" ht="18.75" customHeight="1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 spans="1:28" ht="18.75" customHeight="1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 spans="1:28" ht="18.75" customHeight="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 spans="1:28" ht="18.75" customHeight="1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 spans="1:28" ht="18.75" customHeight="1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 spans="1:28" ht="18.75" customHeight="1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 spans="1:28" ht="18.75" customHeight="1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 spans="1:28" ht="18.75" customHeight="1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 spans="1:28" ht="18.75" customHeight="1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 spans="1:28" ht="18.75" customHeight="1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 spans="1:28" ht="18.75" customHeight="1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 spans="1:28" ht="18.75" customHeight="1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 spans="1:28" ht="18.75" customHeight="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 spans="1:28" ht="18.75" customHeight="1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 spans="1:28" ht="18.75" customHeight="1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 spans="1:28" ht="18.75" customHeight="1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 spans="1:28" ht="18.75" customHeight="1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 spans="1:28" ht="18.75" customHeight="1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 spans="1:28" ht="18.75" customHeight="1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 spans="1:28" ht="18.75" customHeight="1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 spans="1:28" ht="18.75" customHeight="1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 spans="1:28" ht="18.75" customHeight="1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 spans="1:28" ht="18.75" customHeight="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 spans="1:28" ht="18.75" customHeight="1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 spans="1:28" ht="18.75" customHeight="1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 spans="1:28" ht="18.75" customHeight="1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 spans="1:28" ht="18.75" customHeight="1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 spans="1:28" ht="18.75" customHeight="1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 spans="1:28" ht="18.75" customHeight="1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 spans="1:28" ht="18.75" customHeight="1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 spans="1:28" ht="18.75" customHeight="1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 spans="1:28" ht="18.75" customHeight="1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 spans="1:28" ht="18.75" customHeight="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 spans="1:28" ht="18.75" customHeight="1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 spans="1:28" ht="18.75" customHeight="1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 spans="1:28" ht="18.75" customHeight="1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 spans="1:28" ht="18.75" customHeight="1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 spans="1:28" ht="18.75" customHeight="1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 spans="1:28" ht="18.75" customHeight="1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 spans="1:28" ht="18.75" customHeight="1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 spans="1:28" ht="18.75" customHeight="1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 spans="1:28" ht="18.75" customHeight="1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 spans="1:28" ht="18.75" customHeight="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 spans="1:28" ht="18.75" customHeight="1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 spans="1:28" ht="18.75" customHeight="1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 spans="1:28" ht="18.75" customHeight="1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 spans="1:28" ht="18.75" customHeight="1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 spans="1:28" ht="18.75" customHeight="1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 spans="1:28" ht="18.75" customHeight="1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 spans="1:28" ht="18.75" customHeight="1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 spans="1:28" ht="18.75" customHeight="1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 spans="1:28" ht="18.75" customHeight="1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 spans="1:28" ht="18.75" customHeight="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 spans="1:28" ht="18.75" customHeight="1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 spans="1:28" ht="18.75" customHeight="1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 spans="1:28" ht="18.75" customHeight="1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 spans="1:28" ht="18.75" customHeight="1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 spans="1:28" ht="18.75" customHeight="1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 spans="1:28" ht="18.75" customHeight="1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 spans="1:28" ht="18.75" customHeight="1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 spans="1:28" ht="18.75" customHeight="1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 spans="1:28" ht="18.75" customHeight="1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 spans="1:28" ht="18.75" customHeight="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 spans="1:28" ht="18.75" customHeight="1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 spans="1:28" ht="18.75" customHeight="1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 spans="1:28" ht="18.75" customHeight="1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 spans="1:28" ht="18.75" customHeight="1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 spans="1:28" ht="18.75" customHeight="1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 spans="1:28" ht="18.75" customHeight="1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 spans="1:28" ht="18.75" customHeight="1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 spans="1:28" ht="18.75" customHeight="1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 spans="1:28" ht="18.75" customHeight="1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 spans="1:28" ht="18.75" customHeight="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 spans="1:28" ht="18.75" customHeight="1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 spans="1:28" ht="18.75" customHeight="1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 spans="1:28" ht="18.75" customHeight="1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 spans="1:28" ht="18.75" customHeight="1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 spans="1:28" ht="18.75" customHeight="1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 spans="1:28" ht="18.75" customHeight="1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 spans="1:28" ht="18.75" customHeight="1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 spans="1:28" ht="18.75" customHeight="1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 spans="1:28" ht="18.75" customHeight="1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 spans="1:28" ht="18.75" customHeight="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 spans="1:28" ht="18.75" customHeight="1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 spans="1:28" ht="18.75" customHeight="1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 spans="1:28" ht="18.75" customHeight="1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 spans="1:28" ht="18.75" customHeight="1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 spans="1:28" ht="18.75" customHeight="1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 spans="1:28" ht="18.75" customHeight="1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 spans="1:28" ht="18.75" customHeight="1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 spans="1:28" ht="18.75" customHeight="1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 spans="1:28" ht="18.75" customHeight="1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 spans="1:28" ht="18.75" customHeight="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 spans="1:28" ht="18.75" customHeight="1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 spans="1:28" ht="18.75" customHeight="1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 spans="1:28" ht="18.75" customHeight="1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 spans="1:28" ht="18.75" customHeight="1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 spans="1:28" ht="18.75" customHeight="1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 spans="1:28" ht="18.75" customHeight="1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 spans="1:28" ht="18.75" customHeight="1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 spans="1:28" ht="18.75" customHeight="1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 spans="1:28" ht="18.75" customHeight="1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 spans="1:28" ht="18.75" customHeight="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 spans="1:28" ht="18.75" customHeight="1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 spans="1:28" ht="18.75" customHeight="1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 spans="1:28" ht="18.75" customHeight="1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 spans="1:28" ht="18.75" customHeight="1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 spans="1:28" ht="18.75" customHeight="1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 spans="1:28" ht="18.75" customHeight="1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 spans="1:28" ht="18.75" customHeight="1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 spans="1:28" ht="18.75" customHeight="1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 spans="1:28" ht="18.75" customHeight="1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 spans="1:28" ht="18.75" customHeight="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 spans="1:28" ht="18.75" customHeight="1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 spans="1:28" ht="18.75" customHeight="1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 spans="1:28" ht="18.75" customHeight="1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 spans="1:28" ht="18.75" customHeight="1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 spans="1:28" ht="18.75" customHeight="1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 spans="1:28" ht="18.75" customHeight="1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 spans="1:28" ht="18.75" customHeight="1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 spans="1:28" ht="18.75" customHeight="1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 spans="1:28" ht="18.75" customHeight="1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 spans="1:28" ht="18.75" customHeight="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 spans="1:28" ht="18.75" customHeight="1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 spans="1:28" ht="18.75" customHeight="1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 spans="1:28" ht="18.75" customHeight="1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 spans="1:28" ht="18.75" customHeight="1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 spans="1:28" ht="18.75" customHeight="1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 spans="1:28" ht="18.75" customHeight="1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 spans="1:28" ht="18.75" customHeight="1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 spans="1:28" ht="18.75" customHeight="1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 spans="1:28" ht="18.75" customHeight="1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 spans="1:28" ht="18.75" customHeight="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 spans="1:28" ht="18.75" customHeight="1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 spans="1:28" ht="18.75" customHeight="1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 spans="1:28" ht="15.75" customHeight="1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 spans="1:28" ht="15.75" customHeight="1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 spans="1:28" ht="15.75" customHeight="1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 spans="1:28" ht="15.75" customHeight="1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 spans="1:28" ht="15.75" customHeight="1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 spans="1:28" ht="15.75" customHeight="1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 spans="1:28" ht="15.75" customHeight="1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 spans="1:28" ht="15.75" customHeight="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 spans="1:28" ht="15.75" customHeight="1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 spans="1:28" ht="15.75" customHeight="1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 spans="1:28" ht="15.75" customHeight="1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 spans="1:28" ht="15.75" customHeight="1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 spans="1:28" ht="15.75" customHeight="1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 spans="1:28" ht="15.75" customHeight="1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 spans="1:28" ht="15.75" customHeight="1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 spans="1:28" ht="15.75" customHeight="1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 spans="1:28" ht="15.75" customHeight="1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 spans="1:28" ht="15.75" customHeight="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 spans="1:28" ht="15.75" customHeight="1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 spans="1:28" ht="15.75" customHeight="1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 spans="1:28" ht="15.75" customHeight="1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 spans="1:28" ht="15.75" customHeight="1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 spans="1:28" ht="15.75" customHeight="1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 spans="1:28" ht="15.75" customHeight="1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 spans="1:28" ht="15.75" customHeight="1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 spans="1:28" ht="15.75" customHeight="1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 spans="1:28" ht="15.75" customHeight="1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 spans="1:28" ht="15.75" customHeight="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 spans="1:28" ht="15.75" customHeight="1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 spans="1:28" ht="15.75" customHeight="1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 spans="1:28" ht="15.75" customHeight="1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 spans="1:28" ht="15.75" customHeight="1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 spans="1:28" ht="15.75" customHeight="1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 spans="1:28" ht="15.75" customHeight="1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 spans="1:28" ht="15.75" customHeight="1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 spans="1:28" ht="15.75" customHeight="1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 spans="1:28" ht="15.75" customHeight="1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 spans="1:28" ht="15.75" customHeight="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 spans="1:28" ht="15.75" customHeight="1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 spans="1:28" ht="15.75" customHeight="1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 spans="1:28" ht="15.75" customHeight="1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 spans="1:28" ht="15.75" customHeight="1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 spans="1:28" ht="15.75" customHeight="1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 spans="1:28" ht="15.75" customHeight="1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 spans="1:28" ht="15.75" customHeight="1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 spans="1:28" ht="15.75" customHeight="1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 spans="1:28" ht="15.75" customHeight="1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 spans="1:28" ht="15.75" customHeight="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 spans="1:28" ht="15.75" customHeight="1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 spans="1:28" ht="15.75" customHeight="1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 spans="1:28" ht="15.75" customHeight="1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 spans="1:28" ht="15.75" customHeight="1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 spans="1:28" ht="15.75" customHeight="1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 spans="1:28" ht="15.75" customHeight="1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 spans="1:28" ht="15.75" customHeight="1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 spans="1:28" ht="15.75" customHeight="1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 spans="1:28" ht="15.75" customHeight="1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 spans="1:28" ht="15.75" customHeight="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 spans="1:28" ht="15.75" customHeight="1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 spans="1:28" ht="15.75" customHeight="1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 spans="1:28" ht="15.75" customHeight="1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 spans="1:28" ht="15.75" customHeight="1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 spans="1:28" ht="15.75" customHeight="1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 spans="1:28" ht="15.75" customHeight="1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 spans="1:28" ht="15.75" customHeight="1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 spans="1:28" ht="15.75" customHeight="1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 spans="1:28" ht="15.75" customHeight="1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 spans="1:28" ht="15.75" customHeight="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 spans="1:28" ht="15.75" customHeight="1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 spans="1:28" ht="15.75" customHeight="1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 spans="1:28" ht="15.75" customHeight="1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 spans="1:28" ht="15.75" customHeight="1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 spans="1:28" ht="15.75" customHeight="1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 spans="1:28" ht="15.75" customHeight="1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 spans="1:28" ht="15.75" customHeight="1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 spans="1:28" ht="15.75" customHeight="1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 spans="1:28" ht="15.75" customHeight="1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 spans="1:28" ht="15.75" customHeight="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 spans="1:28" ht="15.75" customHeight="1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 spans="1:28" ht="15.75" customHeight="1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 spans="1:28" ht="15.75" customHeight="1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 spans="1:28" ht="15.75" customHeight="1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 spans="1:28" ht="15.75" customHeight="1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 spans="1:28" ht="15.75" customHeight="1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 spans="1:28" ht="15.75" customHeight="1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 spans="1:28" ht="15.75" customHeight="1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 spans="1:28" ht="15.75" customHeight="1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 spans="1:28" ht="15.75" customHeight="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 spans="1:28" ht="15.75" customHeight="1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 spans="1:28" ht="15.75" customHeight="1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 spans="1:28" ht="15.75" customHeight="1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 spans="1:28" ht="15.75" customHeight="1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 spans="1:28" ht="15.75" customHeight="1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 spans="1:28" ht="15.75" customHeight="1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 spans="1:28" ht="15.75" customHeight="1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 spans="1:28" ht="15.75" customHeight="1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 spans="1:28" ht="15.75" customHeight="1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 spans="1:28" ht="15.75" customHeight="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 spans="1:28" ht="15.75" customHeight="1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 spans="1:28" ht="15.75" customHeight="1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 spans="1:28" ht="15.75" customHeight="1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 spans="1:28" ht="15.75" customHeight="1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 spans="1:28" ht="15.75" customHeight="1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 spans="1:28" ht="15.75" customHeight="1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 spans="1:28" ht="15.75" customHeight="1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 spans="1:28" ht="15.75" customHeight="1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 spans="1:28" ht="15.75" customHeight="1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 spans="1:28" ht="15.75" customHeight="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 spans="1:28" ht="15.75" customHeight="1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 spans="1:28" ht="15.75" customHeight="1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 spans="1:28" ht="15.75" customHeight="1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 spans="1:28" ht="15.75" customHeight="1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 spans="1:28" ht="15.75" customHeight="1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 spans="1:28" ht="15.75" customHeight="1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 spans="1:28" ht="15.75" customHeight="1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 spans="1:28" ht="15.75" customHeight="1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 spans="1:28" ht="15.75" customHeight="1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 spans="1:28" ht="15.75" customHeight="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 spans="1:28" ht="15.75" customHeight="1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 spans="1:28" ht="15.75" customHeight="1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 spans="1:28" ht="15.75" customHeight="1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 spans="1:28" ht="15.75" customHeight="1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 spans="1:28" ht="15.75" customHeight="1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 spans="1:28" ht="15.75" customHeight="1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 spans="1:28" ht="15.75" customHeight="1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 spans="1:28" ht="15.75" customHeight="1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 spans="1:28" ht="15.75" customHeight="1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 spans="1:28" ht="15.75" customHeight="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 spans="1:28" ht="15.75" customHeight="1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 spans="1:28" ht="15.75" customHeight="1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 spans="1:28" ht="15.75" customHeight="1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 spans="1:28" ht="15.75" customHeight="1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 spans="1:28" ht="15.75" customHeight="1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 spans="1:28" ht="15.75" customHeight="1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 spans="1:28" ht="15.75" customHeight="1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 spans="1:28" ht="15.75" customHeight="1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 spans="1:28" ht="15.75" customHeight="1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 spans="1:28" ht="15.75" customHeight="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 spans="1:28" ht="15.75" customHeight="1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 spans="1:28" ht="15.75" customHeight="1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 spans="1:28" ht="15.75" customHeight="1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 spans="1:28" ht="15.75" customHeight="1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 spans="1:28" ht="15.75" customHeight="1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 spans="1:28" ht="15.75" customHeight="1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 spans="1:28" ht="15.75" customHeight="1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 spans="1:28" ht="15.75" customHeight="1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 spans="1:28" ht="15.75" customHeight="1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 spans="1:28" ht="15.75" customHeight="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 spans="1:28" ht="15.75" customHeight="1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 spans="1:28" ht="15.75" customHeight="1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 spans="1:28" ht="15.75" customHeight="1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 spans="1:28" ht="15.75" customHeight="1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 spans="1:28" ht="15.75" customHeight="1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 spans="1:28" ht="15.75" customHeight="1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 spans="1:28" ht="15.75" customHeight="1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 spans="1:28" ht="15.75" customHeight="1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 spans="1:28" ht="15.75" customHeight="1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 spans="1:28" ht="15.75" customHeight="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 spans="1:28" ht="15.75" customHeight="1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 spans="1:28" ht="15.75" customHeight="1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 spans="1:28" ht="15.75" customHeight="1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 spans="1:28" ht="15.75" customHeight="1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 spans="1:28" ht="15.75" customHeight="1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 spans="1:28" ht="15.75" customHeight="1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 spans="1:28" ht="15.75" customHeight="1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 spans="1:28" ht="15.75" customHeight="1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 spans="1:28" ht="15.75" customHeight="1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 spans="1:28" ht="15.75" customHeight="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 spans="1:28" ht="15.75" customHeight="1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 spans="1:28" ht="15.75" customHeight="1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 spans="1:28" ht="15.75" customHeight="1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 spans="1:28" ht="15.75" customHeight="1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 spans="1:28" ht="15.75" customHeight="1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 spans="1:28" ht="15.75" customHeight="1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 spans="1:28" ht="15.75" customHeight="1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 spans="1:28" ht="15.75" customHeight="1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 spans="1:28" ht="15.75" customHeight="1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 spans="1:28" ht="15.75" customHeight="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 spans="1:28" ht="15.75" customHeight="1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 spans="1:28" ht="15.75" customHeight="1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 spans="1:28" ht="15.75" customHeight="1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 spans="1:28" ht="15.75" customHeight="1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 spans="1:28" ht="15.75" customHeight="1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 spans="1:28" ht="15.75" customHeight="1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 spans="1:28" ht="15.75" customHeight="1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 spans="1:28" ht="15.75" customHeight="1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 spans="1:28" ht="15.75" customHeight="1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 spans="1:28" ht="15.75" customHeight="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 spans="1:28" ht="15.75" customHeight="1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 spans="1:28" ht="15.75" customHeight="1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 spans="1:28" ht="15.75" customHeight="1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 spans="1:28" ht="15.75" customHeight="1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 spans="1:28" ht="15.75" customHeight="1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 spans="1:28" ht="15.75" customHeight="1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 spans="1:28" ht="15.75" customHeight="1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 spans="1:28" ht="15.75" customHeight="1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 spans="1:28" ht="15.75" customHeight="1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 spans="1:28" ht="15.75" customHeight="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 spans="1:28" ht="15.75" customHeight="1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 spans="1:28" ht="15.75" customHeight="1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 spans="1:28" ht="15.75" customHeight="1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 spans="1:28" ht="15.75" customHeight="1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 spans="1:28" ht="15.75" customHeight="1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 spans="1:28" ht="15.75" customHeight="1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 spans="1:28" ht="15.75" customHeight="1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 spans="1:28" ht="15.75" customHeight="1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 spans="1:28" ht="15.75" customHeight="1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 spans="1:28" ht="15.75" customHeight="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 spans="1:28" ht="15.75" customHeight="1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 spans="1:28" ht="15.75" customHeight="1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 spans="1:28" ht="15.75" customHeight="1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 spans="1:28" ht="15.75" customHeight="1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 spans="1:28" ht="15.75" customHeight="1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 spans="1:28" ht="15.75" customHeight="1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 spans="1:28" ht="15.75" customHeight="1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 spans="1:28" ht="15.75" customHeight="1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 spans="1:28" ht="15.75" customHeight="1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 spans="1:28" ht="15.75" customHeight="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 spans="1:28" ht="15.75" customHeight="1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 spans="1:28" ht="15.75" customHeight="1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 spans="1:28" ht="15.75" customHeight="1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 spans="1:28" ht="15.75" customHeight="1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 spans="1:28" ht="15.75" customHeight="1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 spans="1:28" ht="15.75" customHeight="1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 spans="1:28" ht="15.75" customHeight="1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 spans="1:28" ht="15.75" customHeight="1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 spans="1:28" ht="15.75" customHeight="1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 spans="1:28" ht="15.75" customHeight="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 spans="1:28" ht="15.75" customHeight="1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 spans="1:28" ht="15.75" customHeight="1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 spans="1:28" ht="15.75" customHeight="1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 spans="1:28" ht="15.75" customHeight="1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 spans="1:28" ht="15.75" customHeight="1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 spans="1:28" ht="15.75" customHeight="1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 spans="1:28" ht="15.75" customHeight="1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 spans="1:28" ht="15.75" customHeight="1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 spans="1:28" ht="15.75" customHeight="1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 spans="1:28" ht="15.75" customHeight="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 spans="1:28" ht="15.75" customHeight="1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 spans="1:28" ht="15.75" customHeight="1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 spans="1:28" ht="15.75" customHeight="1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 spans="1:28" ht="15.75" customHeight="1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 spans="1:28" ht="15.75" customHeight="1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 spans="1:28" ht="15.75" customHeight="1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 spans="1:28" ht="15.75" customHeight="1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 spans="1:28" ht="15.75" customHeight="1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 spans="1:28" ht="15.75" customHeight="1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 spans="1:28" ht="15.75" customHeight="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 spans="1:28" ht="15.75" customHeight="1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 spans="1:28" ht="15.75" customHeight="1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 spans="1:28" ht="15.75" customHeight="1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 spans="1:28" ht="15.75" customHeight="1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 spans="1:28" ht="15.75" customHeight="1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 spans="1:28" ht="15.75" customHeight="1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 spans="1:28" ht="15.75" customHeight="1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 spans="1:28" ht="15.75" customHeight="1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 spans="1:28" ht="15.75" customHeight="1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 spans="1:28" ht="15.75" customHeight="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 spans="1:28" ht="15.75" customHeight="1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 spans="1:28" ht="15.75" customHeight="1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 spans="1:28" ht="15.75" customHeight="1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 spans="1:28" ht="15.75" customHeight="1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 spans="1:28" ht="15.75" customHeight="1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 spans="1:28" ht="15.75" customHeight="1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 spans="1:28" ht="15.75" customHeight="1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 spans="1:28" ht="15.75" customHeight="1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 spans="1:28" ht="15.75" customHeight="1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 spans="1:28" ht="15.75" customHeight="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 spans="1:28" ht="15.75" customHeight="1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 spans="1:28" ht="15.75" customHeight="1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 spans="1:28" ht="15.75" customHeight="1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 spans="1:28" ht="15.75" customHeight="1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 spans="1:28" ht="15.75" customHeight="1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 spans="1:28" ht="15.75" customHeight="1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 spans="1:28" ht="15.75" customHeight="1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 spans="1:28" ht="15.75" customHeight="1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 spans="1:28" ht="15.75" customHeight="1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 spans="1:28" ht="15.75" customHeight="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 spans="1:28" ht="15.75" customHeight="1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 spans="1:28" ht="15.75" customHeight="1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 spans="1:28" ht="15.75" customHeight="1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 spans="1:28" ht="15.75" customHeight="1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 spans="1:28" ht="15.75" customHeight="1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 spans="1:28" ht="15.75" customHeight="1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 spans="1:28" ht="15.75" customHeight="1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 spans="1:28" ht="15.75" customHeight="1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 spans="1:28" ht="15.75" customHeight="1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 spans="1:28" ht="15.75" customHeight="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 spans="1:28" ht="15.75" customHeight="1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 spans="1:28" ht="15.75" customHeight="1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 spans="1:28" ht="15.75" customHeight="1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 spans="1:28" ht="15.75" customHeight="1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 spans="1:28" ht="15.75" customHeight="1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 spans="1:28" ht="15.75" customHeight="1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 spans="1:28" ht="15.75" customHeight="1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 spans="1:28" ht="15.75" customHeight="1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 spans="1:28" ht="15.75" customHeight="1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 spans="1:28" ht="15.75" customHeight="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 spans="1:28" ht="15.75" customHeight="1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 spans="1:28" ht="15.75" customHeight="1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 spans="1:28" ht="15.75" customHeight="1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 spans="1:28" ht="15.75" customHeight="1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 spans="1:28" ht="15.75" customHeight="1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 spans="1:28" ht="15.75" customHeight="1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 spans="1:28" ht="15.75" customHeight="1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 spans="1:28" ht="15.75" customHeight="1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 spans="1:28" ht="15.75" customHeight="1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 spans="1:28" ht="15.75" customHeight="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 spans="1:28" ht="15.75" customHeight="1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 spans="1:28" ht="15.75" customHeight="1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 spans="1:28" ht="15.75" customHeight="1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 spans="1:28" ht="15.75" customHeight="1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 spans="1:28" ht="15.75" customHeight="1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 spans="1:28" ht="15.75" customHeight="1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 spans="1:28" ht="15.75" customHeight="1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 spans="1:28" ht="15.75" customHeight="1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 spans="1:28" ht="15.75" customHeight="1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 spans="1:28" ht="15.75" customHeight="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 spans="1:28" ht="15.75" customHeight="1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 spans="1:28" ht="15.75" customHeight="1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 spans="1:28" ht="15.75" customHeight="1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 spans="1:28" ht="15.75" customHeight="1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 spans="1:28" ht="15.75" customHeight="1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 spans="1:28" ht="15.75" customHeight="1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 spans="1:28" ht="15.75" customHeight="1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 spans="1:28" ht="15.75" customHeight="1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 spans="1:28" ht="15.75" customHeight="1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 spans="1:28" ht="15.75" customHeight="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 spans="1:28" ht="15.75" customHeight="1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 spans="1:28" ht="15.75" customHeight="1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 spans="1:28" ht="15.75" customHeight="1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 spans="1:28" ht="15.75" customHeight="1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 spans="1:28" ht="15.75" customHeight="1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 spans="1:28" ht="15.75" customHeight="1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 spans="1:28" ht="15.75" customHeight="1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 spans="1:28" ht="15.75" customHeight="1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 spans="1:28" ht="15.75" customHeight="1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 spans="1:28" ht="15.75" customHeight="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 spans="1:28" ht="15.75" customHeight="1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 spans="1:28" ht="15.75" customHeight="1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 spans="1:28" ht="15.75" customHeight="1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 spans="1:28" ht="15.75" customHeight="1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 spans="1:28" ht="15.75" customHeight="1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 spans="1:28" ht="15.75" customHeight="1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 spans="1:28" ht="15.75" customHeight="1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 spans="1:28" ht="15.75" customHeight="1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 spans="1:28" ht="15.75" customHeight="1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 spans="1:28" ht="15.75" customHeight="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 spans="1:28" ht="15.75" customHeight="1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 spans="1:28" ht="15.75" customHeight="1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 spans="1:28" ht="15.75" customHeight="1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 spans="1:28" ht="15.75" customHeight="1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 spans="1:28" ht="15.75" customHeight="1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 spans="1:28" ht="15.75" customHeight="1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 spans="1:28" ht="15.75" customHeight="1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 spans="1:28" ht="15.75" customHeight="1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 spans="1:28" ht="15.75" customHeight="1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 spans="1:28" ht="15.75" customHeight="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 spans="1:28" ht="15.75" customHeight="1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 spans="1:28" ht="15.75" customHeight="1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 spans="1:28" ht="15.75" customHeight="1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 spans="1:28" ht="15.75" customHeight="1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 spans="1:28" ht="15.75" customHeight="1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 spans="1:28" ht="15.75" customHeight="1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 spans="1:28" ht="15.75" customHeight="1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 spans="1:28" ht="15.75" customHeight="1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 spans="1:28" ht="15.75" customHeight="1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 spans="1:28" ht="15.75" customHeight="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 spans="1:28" ht="15.75" customHeight="1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 spans="1:28" ht="15.75" customHeight="1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 spans="1:28" ht="15.75" customHeight="1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 spans="1:28" ht="15.75" customHeight="1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 spans="1:28" ht="15.75" customHeight="1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 spans="1:28" ht="15.75" customHeight="1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 spans="1:28" ht="15.75" customHeight="1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 spans="1:28" ht="15.75" customHeight="1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 spans="1:28" ht="15.75" customHeight="1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 spans="1:28" ht="15.75" customHeight="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 spans="1:28" ht="15.75" customHeight="1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 spans="1:28" ht="15.75" customHeight="1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 spans="1:28" ht="15.75" customHeight="1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 spans="1:28" ht="15.75" customHeight="1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 spans="1:28" ht="15.75" customHeight="1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 spans="1:28" ht="15.75" customHeight="1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 spans="1:28" ht="15.75" customHeight="1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 spans="1:28" ht="15.75" customHeight="1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 spans="1:28" ht="15.75" customHeight="1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 spans="1:28" ht="15.75" customHeight="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 spans="1:28" ht="15.75" customHeight="1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 spans="1:28" ht="15.75" customHeight="1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 spans="1:28" ht="15.75" customHeight="1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 spans="1:28" ht="15.75" customHeight="1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 spans="1:28" ht="15.75" customHeight="1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 spans="1:28" ht="15.75" customHeight="1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 spans="1:28" ht="15.75" customHeight="1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 spans="1:28" ht="15.75" customHeight="1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 spans="1:28" ht="15.75" customHeight="1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 spans="1:28" ht="15.75" customHeight="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 spans="1:28" ht="15.75" customHeight="1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 spans="1:28" ht="15.75" customHeight="1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 spans="1:28" ht="15.75" customHeight="1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 spans="1:28" ht="15.75" customHeight="1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 spans="1:28" ht="15.75" customHeight="1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 spans="1:28" ht="15.75" customHeight="1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 spans="1:28" ht="15.75" customHeight="1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 spans="1:28" ht="15.75" customHeight="1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 spans="1:28" ht="15.75" customHeight="1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 spans="1:28" ht="15.75" customHeight="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 spans="1:28" ht="15.75" customHeight="1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 spans="1:28" ht="15.75" customHeight="1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 spans="1:28" ht="15.75" customHeight="1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 spans="1:28" ht="15.75" customHeight="1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 spans="1:28" ht="15.75" customHeight="1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 spans="1:28" ht="15.75" customHeight="1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 spans="1:28" ht="15.75" customHeight="1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 spans="1:28" ht="15.75" customHeight="1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 spans="1:28" ht="15.75" customHeight="1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 spans="1:28" ht="15.75" customHeight="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 spans="1:28" ht="15.75" customHeight="1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 spans="1:28" ht="15.75" customHeight="1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 spans="1:28" ht="15.75" customHeight="1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 spans="1:28" ht="15.75" customHeight="1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 spans="1:28" ht="15.75" customHeight="1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 spans="1:28" ht="15.75" customHeight="1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 spans="1:28" ht="15.75" customHeight="1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 spans="1:28" ht="15.75" customHeight="1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 spans="1:28" ht="15.75" customHeight="1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 spans="1:28" ht="15.75" customHeight="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 spans="1:28" ht="15.75" customHeight="1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 spans="1:28" ht="15.75" customHeight="1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 spans="1:28" ht="15.75" customHeight="1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 spans="1:28" ht="15.75" customHeight="1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 spans="1:28" ht="15.75" customHeight="1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 spans="1:28" ht="15.75" customHeight="1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 spans="1:28" ht="15.75" customHeight="1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 spans="1:28" ht="15.75" customHeight="1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 spans="1:28" ht="15.75" customHeight="1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 spans="1:28" ht="15.75" customHeight="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 spans="1:28" ht="15.75" customHeight="1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 spans="1:28" ht="15.75" customHeight="1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 spans="1:28" ht="15.75" customHeight="1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 spans="1:28" ht="15.75" customHeight="1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 spans="1:28" ht="15.75" customHeight="1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 spans="1:28" ht="15.75" customHeight="1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 spans="1:28" ht="15.75" customHeight="1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 spans="1:28" ht="15.75" customHeight="1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 spans="1:28" ht="15.75" customHeight="1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 spans="1:28" ht="15.75" customHeight="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 spans="1:28" ht="15.75" customHeight="1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 spans="1:28" ht="15.75" customHeight="1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 spans="1:28" ht="15.75" customHeight="1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 spans="1:28" ht="15.75" customHeight="1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 spans="1:28" ht="15.75" customHeight="1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 spans="1:28" ht="15.75" customHeight="1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 spans="1:28" ht="15.75" customHeight="1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 spans="1:28" ht="15.75" customHeight="1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 spans="1:28" ht="15.75" customHeight="1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 spans="1:28" ht="15.75" customHeight="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 spans="1:28" ht="15.75" customHeight="1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 spans="1:28" ht="15.75" customHeight="1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 spans="1:28" ht="15.75" customHeight="1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 spans="1:28" ht="15.75" customHeight="1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 spans="1:28" ht="15.75" customHeight="1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 spans="1:28" ht="15.75" customHeight="1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 spans="1:28" ht="15.75" customHeight="1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 spans="1:28" ht="15.75" customHeight="1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 spans="1:28" ht="15.75" customHeight="1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 spans="1:28" ht="15.75" customHeight="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 spans="1:28" ht="15.75" customHeight="1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 spans="1:28" ht="15.75" customHeight="1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 spans="1:28" ht="15.75" customHeight="1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 spans="1:28" ht="15.75" customHeight="1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 spans="1:28" ht="15.75" customHeight="1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 spans="1:28" ht="15.75" customHeight="1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 spans="1:28" ht="15.75" customHeight="1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 spans="1:28" ht="15.75" customHeight="1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 spans="1:28" ht="15.75" customHeight="1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 spans="1:28" ht="15.75" customHeight="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 spans="1:28" ht="15.75" customHeight="1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 spans="1:28" ht="15.75" customHeight="1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 spans="1:28" ht="15.75" customHeight="1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 spans="1:28" ht="15.75" customHeight="1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 spans="1:28" ht="15.75" customHeight="1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 spans="1:28" ht="15.75" customHeight="1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 spans="1:28" ht="15.75" customHeight="1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 spans="1:28" ht="15.75" customHeight="1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 spans="1:28" ht="15.75" customHeight="1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 spans="1:28" ht="15.75" customHeight="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 spans="1:28" ht="15.75" customHeight="1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 spans="1:28" ht="15.75" customHeight="1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 spans="1:28" ht="15.75" customHeight="1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 spans="1:28" ht="15.75" customHeight="1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 spans="1:28" ht="15.75" customHeight="1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 spans="1:28" ht="15.75" customHeight="1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 spans="1:28" ht="15.75" customHeight="1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 spans="1:28" ht="15.75" customHeight="1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 spans="1:28" ht="15.75" customHeight="1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 spans="1:28" ht="15.75" customHeight="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 spans="1:28" ht="15.75" customHeight="1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 spans="1:28" ht="15.75" customHeight="1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 spans="1:28" ht="15.75" customHeight="1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 spans="1:28" ht="15.75" customHeight="1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 spans="1:28" ht="15.75" customHeight="1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 spans="1:28" ht="15.75" customHeight="1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 spans="1:28" ht="15.75" customHeight="1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 spans="1:28" ht="15.75" customHeight="1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 spans="1:28" ht="15.75" customHeight="1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 spans="1:28" ht="15.75" customHeight="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 spans="1:28" ht="15.75" customHeight="1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 spans="1:28" ht="15.75" customHeight="1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 spans="1:28" ht="15.75" customHeight="1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 spans="1:28" ht="15.75" customHeight="1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 spans="1:28" ht="15.75" customHeight="1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 spans="1:28" ht="15.75" customHeight="1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 spans="1:28" ht="15.75" customHeight="1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 spans="1:28" ht="15.75" customHeight="1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 spans="1:28" ht="15.75" customHeight="1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 spans="1:28" ht="15.75" customHeight="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 spans="1:28" ht="15.75" customHeight="1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 spans="1:28" ht="15.75" customHeight="1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 spans="1:28" ht="15.75" customHeight="1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 spans="1:28" ht="15.75" customHeight="1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 spans="1:28" ht="15.75" customHeight="1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 spans="1:28" ht="15.75" customHeight="1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 spans="1:28" ht="15.75" customHeight="1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 spans="1:28" ht="15.75" customHeight="1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 spans="1:28" ht="15.75" customHeight="1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 spans="1:28" ht="15.75" customHeight="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 spans="1:28" ht="15.75" customHeight="1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 spans="1:28" ht="15.75" customHeight="1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 spans="1:28" ht="15.75" customHeight="1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 spans="1:28" ht="15.75" customHeight="1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 spans="1:28" ht="15.75" customHeight="1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 spans="1:28" ht="15.75" customHeight="1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 spans="1:28" ht="15.75" customHeight="1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 spans="1:28" ht="15.75" customHeight="1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 spans="1:28" ht="15.75" customHeight="1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 spans="1:28" ht="15.75" customHeight="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 spans="1:28" ht="15.75" customHeight="1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 spans="1:28" ht="15.75" customHeight="1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 spans="1:28" ht="15.75" customHeight="1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 spans="1:28" ht="15.75" customHeight="1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 spans="1:28" ht="15.75" customHeight="1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 spans="1:28" ht="15.75" customHeight="1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 spans="1:28" ht="15.75" customHeight="1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 spans="1:28" ht="15.75" customHeight="1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 spans="1:28" ht="15.75" customHeight="1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 spans="1:28" ht="15.75" customHeight="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 spans="1:28" ht="15.75" customHeight="1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 spans="1:28" ht="15.75" customHeight="1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 spans="1:28" ht="15.75" customHeight="1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 spans="1:28" ht="15.75" customHeight="1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 spans="1:28" ht="15.75" customHeight="1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 spans="1:28" ht="15.75" customHeight="1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 spans="1:28" ht="15.75" customHeight="1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 spans="1:28" ht="15.75" customHeight="1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 spans="1:28" ht="15.75" customHeight="1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 spans="1:28" ht="15.75" customHeight="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 spans="1:28" ht="15.75" customHeight="1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 spans="1:28" ht="15.75" customHeight="1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 spans="1:28" ht="15.75" customHeight="1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 spans="1:28" ht="15.75" customHeight="1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 spans="1:28" ht="15.75" customHeight="1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 spans="1:28" ht="15.75" customHeight="1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 spans="1:28" ht="15.75" customHeight="1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 spans="1:28" ht="15.75" customHeight="1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 spans="1:28" ht="15.75" customHeight="1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 spans="1:28" ht="15.75" customHeight="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 spans="1:28" ht="15.75" customHeight="1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 spans="1:28" ht="15.75" customHeight="1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 spans="1:28" ht="15.75" customHeight="1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 spans="1:28" ht="15.75" customHeight="1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 spans="1:28" ht="15.75" customHeight="1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 spans="1:28" ht="15.75" customHeight="1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 spans="1:28" ht="15.75" customHeight="1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 spans="1:28" ht="15.75" customHeight="1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 spans="1:28" ht="15.75" customHeight="1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 spans="1:28" ht="15.75" customHeight="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 spans="1:28" ht="15.75" customHeight="1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 spans="1:28" ht="15.75" customHeight="1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 spans="1:28" ht="15.75" customHeight="1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 spans="1:28" ht="15.75" customHeight="1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 spans="1:28" ht="15.75" customHeight="1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 spans="1:28" ht="15.75" customHeight="1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 spans="1:28" ht="15.75" customHeight="1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 spans="1:28" ht="15.75" customHeight="1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 spans="1:28" ht="15.75" customHeight="1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 spans="1:28" ht="15.75" customHeight="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 spans="1:28" ht="15.75" customHeight="1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 spans="1:28" ht="15.75" customHeight="1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 spans="1:28" ht="15.75" customHeight="1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 spans="1:28" ht="15.75" customHeight="1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 spans="1:28" ht="15.75" customHeight="1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 spans="1:28" ht="15.75" customHeight="1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 spans="1:28" ht="15.75" customHeight="1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 spans="1:28" ht="15.75" customHeight="1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 spans="1:28" ht="15.75" customHeight="1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 spans="1:28" ht="15.75" customHeight="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 spans="1:28" ht="15.75" customHeight="1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 spans="1:28" ht="15.75" customHeight="1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 spans="1:28" ht="15.75" customHeight="1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 spans="1:28" ht="15.75" customHeight="1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 spans="1:28" ht="15.75" customHeight="1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 spans="1:28" ht="15.75" customHeight="1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 spans="1:28" ht="15.75" customHeight="1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 spans="1:28" ht="15.75" customHeight="1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 spans="1:28" ht="15.75" customHeight="1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 spans="1:28" ht="15.75" customHeight="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 spans="1:28" ht="15.75" customHeight="1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 spans="1:28" ht="15.75" customHeight="1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 spans="1:28" ht="15.75" customHeight="1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 spans="1:28" ht="15.75" customHeight="1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 spans="1:28" ht="15.75" customHeight="1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 spans="1:28" ht="15.75" customHeight="1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 spans="1:28" ht="15.75" customHeight="1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 spans="1:28" ht="15.75" customHeight="1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 spans="1:28" ht="15.75" customHeight="1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 spans="1:28" ht="15.75" customHeight="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 spans="1:28" ht="15.75" customHeight="1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 spans="1:28" ht="15.75" customHeight="1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 spans="1:28" ht="15.75" customHeight="1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 spans="1:28" ht="15.75" customHeight="1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 spans="1:28" ht="15.75" customHeight="1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 spans="1:28" ht="15.75" customHeight="1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 spans="1:28" ht="15.75" customHeight="1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 spans="1:28" ht="15.75" customHeight="1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 spans="1:28" ht="15.75" customHeight="1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 spans="1:28" ht="15.75" customHeight="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 spans="1:28" ht="15.75" customHeight="1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 spans="1:28" ht="15.75" customHeight="1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 spans="1:28" ht="15.75" customHeight="1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 spans="1:28" ht="15.75" customHeight="1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 spans="1:28" ht="15.75" customHeight="1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 spans="1:28" ht="15.75" customHeight="1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 spans="1:28" ht="15.75" customHeight="1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 spans="1:28" ht="15.75" customHeight="1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 spans="1:28" ht="15.75" customHeight="1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 spans="1:28" ht="15.75" customHeight="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 spans="1:28" ht="15.75" customHeight="1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 spans="1:28" ht="15.75" customHeight="1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 spans="1:28" ht="15.75" customHeight="1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 spans="1:28" ht="15.75" customHeight="1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 spans="1:28" ht="15.75" customHeight="1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 spans="1:28" ht="15.75" customHeight="1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 spans="1:28" ht="15.75" customHeight="1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 spans="1:28" ht="15.75" customHeight="1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 spans="1:28" ht="15.75" customHeight="1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 spans="1:28" ht="15.75" customHeight="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 spans="1:28" ht="15.75" customHeight="1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 spans="1:28" ht="15.75" customHeight="1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 spans="1:28" ht="15.75" customHeight="1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 spans="1:28" ht="15.75" customHeight="1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 spans="1:28" ht="15.75" customHeight="1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 spans="1:28" ht="15.75" customHeight="1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 spans="1:28" ht="15.75" customHeight="1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 spans="1:28" ht="15.75" customHeight="1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 spans="1:28" ht="15.75" customHeight="1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 spans="1:28" ht="15.75" customHeight="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 spans="1:28" ht="15.75" customHeight="1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 spans="1:28" ht="15.75" customHeight="1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 spans="1:28" ht="15.75" customHeight="1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 spans="1:28" ht="15.75" customHeight="1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 spans="1:28" ht="15.75" customHeight="1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 spans="1:28" ht="15.75" customHeight="1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 spans="1:28" ht="15.75" customHeight="1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 spans="1:28" ht="15.75" customHeight="1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 spans="1:28" ht="15.75" customHeight="1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 spans="1:28" ht="15.75" customHeight="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 spans="1:28" ht="15.75" customHeight="1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 spans="1:28" ht="15.75" customHeight="1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 spans="1:28" ht="15.75" customHeight="1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 spans="1:28" ht="15.75" customHeight="1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 spans="1:28" ht="15.75" customHeight="1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 spans="1:28" ht="15.75" customHeight="1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 spans="1:28" ht="15.75" customHeight="1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 spans="1:28" ht="15.75" customHeight="1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 spans="1:28" ht="15.75" customHeight="1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 spans="1:28" ht="15.75" customHeight="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 spans="1:28" ht="15.75" customHeight="1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 spans="1:28" ht="15.75" customHeight="1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 spans="1:28" ht="15.75" customHeight="1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 spans="1:28" ht="15.75" customHeight="1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 spans="1:28" ht="15.75" customHeight="1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 spans="1:28" ht="15.75" customHeight="1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 spans="1:28" ht="15.75" customHeight="1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 spans="1:28" ht="15.75" customHeight="1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 spans="1:28" ht="15.75" customHeight="1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 spans="1:28" ht="15.75" customHeight="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 spans="1:28" ht="15.75" customHeight="1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 spans="1:28" ht="15.75" customHeight="1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 spans="1:28" ht="15.75" customHeight="1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 spans="1:28" ht="15.75" customHeight="1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 spans="1:28" ht="15.75" customHeight="1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 spans="1:28" ht="15.75" customHeight="1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  <row r="978" spans="1:28" ht="15.75" customHeight="1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</row>
    <row r="979" spans="1:28" ht="15.75" customHeight="1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</row>
    <row r="980" spans="1:28" ht="15.75" customHeight="1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</row>
    <row r="981" spans="1:28" ht="15.75" customHeight="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</row>
    <row r="982" spans="1:28" ht="15.75" customHeight="1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</row>
    <row r="983" spans="1:28" ht="15.75" customHeight="1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</row>
    <row r="984" spans="1:28" ht="15.75" customHeight="1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</row>
    <row r="985" spans="1:28" ht="15.75" customHeight="1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</row>
    <row r="986" spans="1:28" ht="15.75" customHeight="1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</row>
    <row r="987" spans="1:28" ht="15.75" customHeight="1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</row>
    <row r="988" spans="1:28" ht="15.75" customHeight="1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</row>
    <row r="989" spans="1:28" ht="15.75" customHeight="1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</row>
    <row r="990" spans="1:28" ht="15.75" customHeight="1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</row>
    <row r="991" spans="1:28" ht="15.75" customHeight="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</row>
    <row r="992" spans="1:28" ht="15.75" customHeight="1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</row>
    <row r="993" spans="1:28" ht="15.75" customHeight="1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</row>
    <row r="994" spans="1:28" ht="15.75" customHeight="1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</row>
    <row r="995" spans="1:28" ht="15.75" customHeight="1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</row>
    <row r="996" spans="1:28" ht="15.75" customHeight="1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</row>
    <row r="997" spans="1:28" ht="15.75" customHeight="1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</row>
    <row r="998" spans="1:28" ht="15.75" customHeight="1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</row>
    <row r="999" spans="1:28" ht="15.75" customHeight="1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</row>
    <row r="1000" spans="1:28" ht="15.75" customHeight="1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  <c r="AB1000" s="148"/>
    </row>
    <row r="1001" spans="1:28" ht="15.75" customHeight="1">
      <c r="A1001" s="148"/>
      <c r="B1001" s="148"/>
      <c r="C1001" s="148"/>
      <c r="D1001" s="148"/>
      <c r="E1001" s="148"/>
      <c r="F1001" s="148"/>
      <c r="G1001" s="148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  <c r="Z1001" s="148"/>
      <c r="AA1001" s="148"/>
      <c r="AB1001" s="148"/>
    </row>
    <row r="1002" spans="1:28" ht="15.75" customHeight="1">
      <c r="A1002" s="148"/>
      <c r="B1002" s="148"/>
      <c r="C1002" s="148"/>
      <c r="D1002" s="148"/>
      <c r="E1002" s="148"/>
      <c r="F1002" s="148"/>
      <c r="G1002" s="148"/>
      <c r="H1002" s="148"/>
      <c r="I1002" s="148"/>
      <c r="J1002" s="148"/>
      <c r="K1002" s="148"/>
      <c r="L1002" s="148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  <c r="Z1002" s="148"/>
      <c r="AA1002" s="148"/>
      <c r="AB1002" s="148"/>
    </row>
  </sheetData>
  <mergeCells count="232">
    <mergeCell ref="C81:U81"/>
    <mergeCell ref="X81:Y81"/>
    <mergeCell ref="C82:U82"/>
    <mergeCell ref="X82:Y82"/>
    <mergeCell ref="X83:Y83"/>
    <mergeCell ref="X86:Y86"/>
    <mergeCell ref="X87:Y87"/>
    <mergeCell ref="C83:U83"/>
    <mergeCell ref="C84:U84"/>
    <mergeCell ref="X84:Y84"/>
    <mergeCell ref="C85:U85"/>
    <mergeCell ref="X85:Y85"/>
    <mergeCell ref="C86:U86"/>
    <mergeCell ref="C87:U87"/>
    <mergeCell ref="V74:V75"/>
    <mergeCell ref="W74:AA74"/>
    <mergeCell ref="AB74:AB75"/>
    <mergeCell ref="X75:Y75"/>
    <mergeCell ref="X76:Y76"/>
    <mergeCell ref="X77:Y77"/>
    <mergeCell ref="X78:Y78"/>
    <mergeCell ref="X79:Y79"/>
    <mergeCell ref="X80:Y80"/>
    <mergeCell ref="A48:B48"/>
    <mergeCell ref="C48:T48"/>
    <mergeCell ref="AA48:AB48"/>
    <mergeCell ref="V50:V51"/>
    <mergeCell ref="W50:Z50"/>
    <mergeCell ref="W47:Y47"/>
    <mergeCell ref="W48:Y48"/>
    <mergeCell ref="A49:Z49"/>
    <mergeCell ref="AA49:AB49"/>
    <mergeCell ref="A50:A51"/>
    <mergeCell ref="B50:B51"/>
    <mergeCell ref="C50:U51"/>
    <mergeCell ref="A45:Z45"/>
    <mergeCell ref="AA45:AB45"/>
    <mergeCell ref="A46:B46"/>
    <mergeCell ref="AA46:AB46"/>
    <mergeCell ref="C46:T46"/>
    <mergeCell ref="W46:Y46"/>
    <mergeCell ref="A47:B47"/>
    <mergeCell ref="C47:T47"/>
    <mergeCell ref="AA47:AB47"/>
    <mergeCell ref="C43:T43"/>
    <mergeCell ref="C44:T44"/>
    <mergeCell ref="C35:T35"/>
    <mergeCell ref="C36:T36"/>
    <mergeCell ref="C37:T37"/>
    <mergeCell ref="C38:T38"/>
    <mergeCell ref="C39:T39"/>
    <mergeCell ref="C40:T40"/>
    <mergeCell ref="C41:T41"/>
    <mergeCell ref="Y20:AB20"/>
    <mergeCell ref="C17:E17"/>
    <mergeCell ref="A19:F19"/>
    <mergeCell ref="G19:H19"/>
    <mergeCell ref="I19:K19"/>
    <mergeCell ref="L19:O19"/>
    <mergeCell ref="P19:Q19"/>
    <mergeCell ref="A20:B20"/>
    <mergeCell ref="O20:Q20"/>
    <mergeCell ref="C20:E20"/>
    <mergeCell ref="G20:I20"/>
    <mergeCell ref="Y17:AB17"/>
    <mergeCell ref="R19:AB19"/>
    <mergeCell ref="A17:B17"/>
    <mergeCell ref="G17:I17"/>
    <mergeCell ref="J17:L17"/>
    <mergeCell ref="M17:N17"/>
    <mergeCell ref="O17:Q17"/>
    <mergeCell ref="R17:U17"/>
    <mergeCell ref="A18:AB18"/>
    <mergeCell ref="W12:Y12"/>
    <mergeCell ref="Z12:AB12"/>
    <mergeCell ref="C14:AB14"/>
    <mergeCell ref="A15:AB15"/>
    <mergeCell ref="R16:AB16"/>
    <mergeCell ref="C10:F10"/>
    <mergeCell ref="A14:B14"/>
    <mergeCell ref="A16:F16"/>
    <mergeCell ref="G16:H16"/>
    <mergeCell ref="I16:K16"/>
    <mergeCell ref="L16:O16"/>
    <mergeCell ref="P16:Q16"/>
    <mergeCell ref="A11:AB11"/>
    <mergeCell ref="A13:AB13"/>
    <mergeCell ref="A7:AB7"/>
    <mergeCell ref="A4:B4"/>
    <mergeCell ref="A8:B8"/>
    <mergeCell ref="C8:F8"/>
    <mergeCell ref="G8:J8"/>
    <mergeCell ref="O8:Q8"/>
    <mergeCell ref="R8:S8"/>
    <mergeCell ref="T8:U8"/>
    <mergeCell ref="R10:S10"/>
    <mergeCell ref="T10:U10"/>
    <mergeCell ref="K8:N8"/>
    <mergeCell ref="A9:U9"/>
    <mergeCell ref="G10:J10"/>
    <mergeCell ref="K10:N10"/>
    <mergeCell ref="O10:Q10"/>
    <mergeCell ref="V8:AA10"/>
    <mergeCell ref="AB8:AB10"/>
    <mergeCell ref="A1:B1"/>
    <mergeCell ref="C2:F2"/>
    <mergeCell ref="G2:H2"/>
    <mergeCell ref="I2:K2"/>
    <mergeCell ref="S2:V2"/>
    <mergeCell ref="W2:Y2"/>
    <mergeCell ref="Z2:AB2"/>
    <mergeCell ref="A6:B6"/>
    <mergeCell ref="C6:U6"/>
    <mergeCell ref="L2:Q2"/>
    <mergeCell ref="A3:AB3"/>
    <mergeCell ref="C4:U4"/>
    <mergeCell ref="V4:W6"/>
    <mergeCell ref="X4:AB6"/>
    <mergeCell ref="A5:U5"/>
    <mergeCell ref="A74:A75"/>
    <mergeCell ref="B74:B75"/>
    <mergeCell ref="C74:U75"/>
    <mergeCell ref="A10:B10"/>
    <mergeCell ref="A12:B12"/>
    <mergeCell ref="C12:F12"/>
    <mergeCell ref="G12:I12"/>
    <mergeCell ref="J12:P12"/>
    <mergeCell ref="Q12:R12"/>
    <mergeCell ref="S12:V12"/>
    <mergeCell ref="V17:X17"/>
    <mergeCell ref="J20:L20"/>
    <mergeCell ref="M20:N20"/>
    <mergeCell ref="R20:U20"/>
    <mergeCell ref="V20:X20"/>
    <mergeCell ref="E21:F21"/>
    <mergeCell ref="M21:N21"/>
    <mergeCell ref="O21:P21"/>
    <mergeCell ref="Q21:R21"/>
    <mergeCell ref="X21:Y21"/>
    <mergeCell ref="Q23:S23"/>
    <mergeCell ref="T23:U23"/>
    <mergeCell ref="W25:Z25"/>
    <mergeCell ref="C42:T42"/>
    <mergeCell ref="C69:U69"/>
    <mergeCell ref="C76:U76"/>
    <mergeCell ref="C77:U77"/>
    <mergeCell ref="C78:U78"/>
    <mergeCell ref="C79:U79"/>
    <mergeCell ref="C80:U80"/>
    <mergeCell ref="C70:U70"/>
    <mergeCell ref="C71:U71"/>
    <mergeCell ref="C72:U72"/>
    <mergeCell ref="C73:U73"/>
    <mergeCell ref="AA66:AB66"/>
    <mergeCell ref="AA67:AB67"/>
    <mergeCell ref="AA68:AB68"/>
    <mergeCell ref="AA69:AB69"/>
    <mergeCell ref="C54:U54"/>
    <mergeCell ref="C55:U55"/>
    <mergeCell ref="AA55:AB55"/>
    <mergeCell ref="C56:U56"/>
    <mergeCell ref="C57:U57"/>
    <mergeCell ref="C58:U58"/>
    <mergeCell ref="C59:U59"/>
    <mergeCell ref="C60:U60"/>
    <mergeCell ref="AA60:AB60"/>
    <mergeCell ref="C61:U61"/>
    <mergeCell ref="AA61:AB61"/>
    <mergeCell ref="C62:U62"/>
    <mergeCell ref="AA62:AB62"/>
    <mergeCell ref="AA63:AB63"/>
    <mergeCell ref="C63:U63"/>
    <mergeCell ref="C64:U64"/>
    <mergeCell ref="C65:U65"/>
    <mergeCell ref="C66:U66"/>
    <mergeCell ref="C67:U67"/>
    <mergeCell ref="C68:U68"/>
    <mergeCell ref="C52:U52"/>
    <mergeCell ref="AA52:AB52"/>
    <mergeCell ref="C53:U53"/>
    <mergeCell ref="AA53:AB53"/>
    <mergeCell ref="AA54:AB54"/>
    <mergeCell ref="AA56:AB56"/>
    <mergeCell ref="AA59:AB59"/>
    <mergeCell ref="AA64:AB64"/>
    <mergeCell ref="AA65:AB65"/>
    <mergeCell ref="AA36:AB36"/>
    <mergeCell ref="AA37:AB37"/>
    <mergeCell ref="AA38:AB38"/>
    <mergeCell ref="AA39:AB39"/>
    <mergeCell ref="AA40:AB40"/>
    <mergeCell ref="AA57:AB57"/>
    <mergeCell ref="AA58:AB58"/>
    <mergeCell ref="AA50:AB50"/>
    <mergeCell ref="AA51:AB51"/>
    <mergeCell ref="AA41:AB41"/>
    <mergeCell ref="AA42:AB42"/>
    <mergeCell ref="AA43:AB43"/>
    <mergeCell ref="AA44:AB44"/>
    <mergeCell ref="C31:T31"/>
    <mergeCell ref="C32:T32"/>
    <mergeCell ref="AA32:AB32"/>
    <mergeCell ref="C33:T33"/>
    <mergeCell ref="AA33:AB33"/>
    <mergeCell ref="C34:T34"/>
    <mergeCell ref="AA34:AB34"/>
    <mergeCell ref="AA35:AB35"/>
    <mergeCell ref="AA28:AB28"/>
    <mergeCell ref="AA31:AB31"/>
    <mergeCell ref="A25:A26"/>
    <mergeCell ref="B25:B26"/>
    <mergeCell ref="U25:U26"/>
    <mergeCell ref="V25:V26"/>
    <mergeCell ref="AA26:AB26"/>
    <mergeCell ref="AA29:AB29"/>
    <mergeCell ref="AA30:AB30"/>
    <mergeCell ref="C25:T26"/>
    <mergeCell ref="C27:T27"/>
    <mergeCell ref="AA27:AB27"/>
    <mergeCell ref="C28:T28"/>
    <mergeCell ref="C29:T29"/>
    <mergeCell ref="C30:T30"/>
    <mergeCell ref="AA25:AB25"/>
    <mergeCell ref="AA21:AB21"/>
    <mergeCell ref="A22:AB22"/>
    <mergeCell ref="A23:B23"/>
    <mergeCell ref="C23:F23"/>
    <mergeCell ref="G23:H23"/>
    <mergeCell ref="I23:K23"/>
    <mergeCell ref="L23:P23"/>
    <mergeCell ref="V23:AB23"/>
    <mergeCell ref="A24:AB24"/>
  </mergeCells>
  <pageMargins left="0.25" right="0.25" top="0.75" bottom="0.75" header="0" footer="0"/>
  <pageSetup paperSize="9"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AB1002"/>
  <sheetViews>
    <sheetView showGridLines="0" workbookViewId="0"/>
  </sheetViews>
  <sheetFormatPr defaultColWidth="14.44140625" defaultRowHeight="15" customHeight="1"/>
  <cols>
    <col min="1" max="1" width="15.88671875" customWidth="1"/>
    <col min="2" max="2" width="17.88671875" customWidth="1"/>
    <col min="3" max="3" width="8.44140625" customWidth="1"/>
    <col min="4" max="4" width="2.33203125" hidden="1" customWidth="1"/>
    <col min="5" max="5" width="4.6640625" customWidth="1"/>
    <col min="6" max="6" width="13.44140625" customWidth="1"/>
    <col min="7" max="7" width="12.6640625" customWidth="1"/>
    <col min="8" max="8" width="10.109375" customWidth="1"/>
    <col min="9" max="9" width="8.88671875" customWidth="1"/>
    <col min="10" max="10" width="5.88671875" customWidth="1"/>
    <col min="11" max="11" width="7" customWidth="1"/>
    <col min="12" max="12" width="8.6640625" customWidth="1"/>
    <col min="13" max="13" width="5.44140625" customWidth="1"/>
    <col min="14" max="14" width="9.5546875" customWidth="1"/>
    <col min="15" max="15" width="7.6640625" customWidth="1"/>
    <col min="16" max="16" width="8.44140625" customWidth="1"/>
    <col min="17" max="17" width="14.44140625" customWidth="1"/>
    <col min="18" max="18" width="24.6640625" customWidth="1"/>
    <col min="19" max="19" width="10.44140625" customWidth="1"/>
    <col min="20" max="20" width="14" customWidth="1"/>
    <col min="21" max="21" width="7.109375" customWidth="1"/>
    <col min="22" max="22" width="17.88671875" customWidth="1"/>
    <col min="23" max="23" width="11.33203125" customWidth="1"/>
    <col min="24" max="24" width="7" customWidth="1"/>
    <col min="25" max="25" width="7.44140625" customWidth="1"/>
    <col min="26" max="26" width="12.6640625" customWidth="1"/>
    <col min="27" max="27" width="15.33203125" customWidth="1"/>
    <col min="28" max="28" width="9.44140625" customWidth="1"/>
  </cols>
  <sheetData>
    <row r="1" spans="1:28" ht="57.75" customHeight="1">
      <c r="A1" s="985"/>
      <c r="B1" s="867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1"/>
    </row>
    <row r="2" spans="1:28" ht="18.75" customHeight="1">
      <c r="A2" s="101" t="s">
        <v>487</v>
      </c>
      <c r="B2" s="102">
        <v>147</v>
      </c>
      <c r="C2" s="908" t="s">
        <v>488</v>
      </c>
      <c r="D2" s="867"/>
      <c r="E2" s="867"/>
      <c r="F2" s="867"/>
      <c r="G2" s="909" t="s">
        <v>483</v>
      </c>
      <c r="H2" s="868"/>
      <c r="I2" s="908" t="s">
        <v>489</v>
      </c>
      <c r="J2" s="867"/>
      <c r="K2" s="867"/>
      <c r="L2" s="909" t="s">
        <v>563</v>
      </c>
      <c r="M2" s="867"/>
      <c r="N2" s="867"/>
      <c r="O2" s="867"/>
      <c r="P2" s="867"/>
      <c r="Q2" s="868"/>
      <c r="R2" s="103" t="s">
        <v>490</v>
      </c>
      <c r="S2" s="909" t="s">
        <v>563</v>
      </c>
      <c r="T2" s="867"/>
      <c r="U2" s="867"/>
      <c r="V2" s="868"/>
      <c r="W2" s="939" t="s">
        <v>491</v>
      </c>
      <c r="X2" s="867"/>
      <c r="Y2" s="867"/>
      <c r="Z2" s="909" t="s">
        <v>492</v>
      </c>
      <c r="AA2" s="867"/>
      <c r="AB2" s="868"/>
    </row>
    <row r="3" spans="1:28" ht="7.5" customHeight="1">
      <c r="A3" s="921"/>
      <c r="B3" s="891"/>
      <c r="C3" s="891"/>
      <c r="D3" s="891"/>
      <c r="E3" s="891"/>
      <c r="F3" s="891"/>
      <c r="G3" s="891"/>
      <c r="H3" s="891"/>
      <c r="I3" s="891"/>
      <c r="J3" s="891"/>
      <c r="K3" s="891"/>
      <c r="L3" s="891"/>
      <c r="M3" s="891"/>
      <c r="N3" s="891"/>
      <c r="O3" s="891"/>
      <c r="P3" s="891"/>
      <c r="Q3" s="891"/>
      <c r="R3" s="891"/>
      <c r="S3" s="891"/>
      <c r="T3" s="891"/>
      <c r="U3" s="891"/>
      <c r="V3" s="891"/>
      <c r="W3" s="891"/>
      <c r="X3" s="891"/>
      <c r="Y3" s="891"/>
      <c r="Z3" s="891"/>
      <c r="AA3" s="891"/>
      <c r="AB3" s="892"/>
    </row>
    <row r="4" spans="1:28" ht="18.75" customHeight="1">
      <c r="A4" s="893" t="s">
        <v>493</v>
      </c>
      <c r="B4" s="867"/>
      <c r="C4" s="986" t="s">
        <v>564</v>
      </c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8"/>
      <c r="V4" s="942" t="s">
        <v>494</v>
      </c>
      <c r="W4" s="884"/>
      <c r="X4" s="987" t="s">
        <v>557</v>
      </c>
      <c r="Y4" s="883"/>
      <c r="Z4" s="883"/>
      <c r="AA4" s="883"/>
      <c r="AB4" s="884"/>
    </row>
    <row r="5" spans="1:28" ht="7.5" customHeight="1">
      <c r="A5" s="921"/>
      <c r="B5" s="891"/>
      <c r="C5" s="891"/>
      <c r="D5" s="891"/>
      <c r="E5" s="891"/>
      <c r="F5" s="891"/>
      <c r="G5" s="891"/>
      <c r="H5" s="891"/>
      <c r="I5" s="891"/>
      <c r="J5" s="891"/>
      <c r="K5" s="891"/>
      <c r="L5" s="891"/>
      <c r="M5" s="891"/>
      <c r="N5" s="891"/>
      <c r="O5" s="891"/>
      <c r="P5" s="891"/>
      <c r="Q5" s="891"/>
      <c r="R5" s="891"/>
      <c r="S5" s="891"/>
      <c r="T5" s="891"/>
      <c r="U5" s="892"/>
      <c r="V5" s="891"/>
      <c r="W5" s="892"/>
      <c r="X5" s="936"/>
      <c r="Y5" s="891"/>
      <c r="Z5" s="891"/>
      <c r="AA5" s="891"/>
      <c r="AB5" s="892"/>
    </row>
    <row r="6" spans="1:28" ht="18.75" customHeight="1">
      <c r="A6" s="893" t="s">
        <v>495</v>
      </c>
      <c r="B6" s="867"/>
      <c r="C6" s="986" t="s">
        <v>553</v>
      </c>
      <c r="D6" s="867"/>
      <c r="E6" s="867"/>
      <c r="F6" s="867"/>
      <c r="G6" s="867"/>
      <c r="H6" s="867"/>
      <c r="I6" s="867"/>
      <c r="J6" s="867"/>
      <c r="K6" s="867"/>
      <c r="L6" s="867"/>
      <c r="M6" s="867"/>
      <c r="N6" s="867"/>
      <c r="O6" s="867"/>
      <c r="P6" s="867"/>
      <c r="Q6" s="867"/>
      <c r="R6" s="867"/>
      <c r="S6" s="867"/>
      <c r="T6" s="867"/>
      <c r="U6" s="868"/>
      <c r="V6" s="886"/>
      <c r="W6" s="887"/>
      <c r="X6" s="885"/>
      <c r="Y6" s="886"/>
      <c r="Z6" s="886"/>
      <c r="AA6" s="886"/>
      <c r="AB6" s="887"/>
    </row>
    <row r="7" spans="1:28" ht="7.5" customHeight="1">
      <c r="A7" s="890"/>
      <c r="B7" s="891"/>
      <c r="C7" s="891"/>
      <c r="D7" s="891"/>
      <c r="E7" s="891"/>
      <c r="F7" s="891"/>
      <c r="G7" s="891"/>
      <c r="H7" s="891"/>
      <c r="I7" s="891"/>
      <c r="J7" s="891"/>
      <c r="K7" s="891"/>
      <c r="L7" s="891"/>
      <c r="M7" s="891"/>
      <c r="N7" s="891"/>
      <c r="O7" s="891"/>
      <c r="P7" s="891"/>
      <c r="Q7" s="891"/>
      <c r="R7" s="891"/>
      <c r="S7" s="891"/>
      <c r="T7" s="891"/>
      <c r="U7" s="891"/>
      <c r="V7" s="891"/>
      <c r="W7" s="891"/>
      <c r="X7" s="891"/>
      <c r="Y7" s="891"/>
      <c r="Z7" s="891"/>
      <c r="AA7" s="891"/>
      <c r="AB7" s="892"/>
    </row>
    <row r="8" spans="1:28" ht="18.75" customHeight="1">
      <c r="A8" s="903" t="s">
        <v>496</v>
      </c>
      <c r="B8" s="867"/>
      <c r="C8" s="988" t="s">
        <v>550</v>
      </c>
      <c r="D8" s="867"/>
      <c r="E8" s="867"/>
      <c r="F8" s="868"/>
      <c r="G8" s="989" t="s">
        <v>497</v>
      </c>
      <c r="H8" s="867"/>
      <c r="I8" s="867"/>
      <c r="J8" s="867"/>
      <c r="K8" s="991">
        <v>0.73958333333333337</v>
      </c>
      <c r="L8" s="867"/>
      <c r="M8" s="867"/>
      <c r="N8" s="868"/>
      <c r="O8" s="990">
        <f>K8-C8</f>
        <v>0.38194444444444448</v>
      </c>
      <c r="P8" s="867"/>
      <c r="Q8" s="868"/>
      <c r="R8" s="908" t="s">
        <v>498</v>
      </c>
      <c r="S8" s="867"/>
      <c r="T8" s="909">
        <v>59600</v>
      </c>
      <c r="U8" s="868"/>
      <c r="V8" s="935">
        <f>T10-T8</f>
        <v>30</v>
      </c>
      <c r="W8" s="883"/>
      <c r="X8" s="883"/>
      <c r="Y8" s="883"/>
      <c r="Z8" s="883"/>
      <c r="AA8" s="883"/>
      <c r="AB8" s="912" t="s">
        <v>105</v>
      </c>
    </row>
    <row r="9" spans="1:28" ht="7.5" customHeight="1">
      <c r="A9" s="911"/>
      <c r="B9" s="891"/>
      <c r="C9" s="891"/>
      <c r="D9" s="891"/>
      <c r="E9" s="891"/>
      <c r="F9" s="891"/>
      <c r="G9" s="891"/>
      <c r="H9" s="891"/>
      <c r="I9" s="891"/>
      <c r="J9" s="891"/>
      <c r="K9" s="891"/>
      <c r="L9" s="891"/>
      <c r="M9" s="891"/>
      <c r="N9" s="891"/>
      <c r="O9" s="891"/>
      <c r="P9" s="891"/>
      <c r="Q9" s="891"/>
      <c r="R9" s="891"/>
      <c r="S9" s="891"/>
      <c r="T9" s="891"/>
      <c r="U9" s="891"/>
      <c r="V9" s="936"/>
      <c r="W9" s="891"/>
      <c r="X9" s="891"/>
      <c r="Y9" s="891"/>
      <c r="Z9" s="891"/>
      <c r="AA9" s="891"/>
      <c r="AB9" s="892"/>
    </row>
    <row r="10" spans="1:28" ht="18.75" customHeight="1">
      <c r="A10" s="903" t="s">
        <v>499</v>
      </c>
      <c r="B10" s="867"/>
      <c r="C10" s="928" t="s">
        <v>551</v>
      </c>
      <c r="D10" s="867"/>
      <c r="E10" s="867"/>
      <c r="F10" s="868"/>
      <c r="G10" s="989" t="s">
        <v>500</v>
      </c>
      <c r="H10" s="867"/>
      <c r="I10" s="867"/>
      <c r="J10" s="867"/>
      <c r="K10" s="992">
        <v>0.50069444444444444</v>
      </c>
      <c r="L10" s="867"/>
      <c r="M10" s="867"/>
      <c r="N10" s="868"/>
      <c r="O10" s="990">
        <f>K10-C10</f>
        <v>5.2777777777777757E-2</v>
      </c>
      <c r="P10" s="867"/>
      <c r="Q10" s="868"/>
      <c r="R10" s="908" t="s">
        <v>501</v>
      </c>
      <c r="S10" s="867"/>
      <c r="T10" s="909">
        <v>59630</v>
      </c>
      <c r="U10" s="868"/>
      <c r="V10" s="885"/>
      <c r="W10" s="886"/>
      <c r="X10" s="886"/>
      <c r="Y10" s="886"/>
      <c r="Z10" s="886"/>
      <c r="AA10" s="886"/>
      <c r="AB10" s="887"/>
    </row>
    <row r="11" spans="1:28" ht="8.25" customHeight="1">
      <c r="A11" s="921"/>
      <c r="B11" s="891"/>
      <c r="C11" s="891"/>
      <c r="D11" s="891"/>
      <c r="E11" s="891"/>
      <c r="F11" s="891"/>
      <c r="G11" s="891"/>
      <c r="H11" s="891"/>
      <c r="I11" s="891"/>
      <c r="J11" s="891"/>
      <c r="K11" s="891"/>
      <c r="L11" s="891"/>
      <c r="M11" s="891"/>
      <c r="N11" s="891"/>
      <c r="O11" s="891"/>
      <c r="P11" s="891"/>
      <c r="Q11" s="891"/>
      <c r="R11" s="891"/>
      <c r="S11" s="891"/>
      <c r="T11" s="891"/>
      <c r="U11" s="891"/>
      <c r="V11" s="891"/>
      <c r="W11" s="891"/>
      <c r="X11" s="891"/>
      <c r="Y11" s="891"/>
      <c r="Z11" s="891"/>
      <c r="AA11" s="891"/>
      <c r="AB11" s="892"/>
    </row>
    <row r="12" spans="1:28" ht="18.75" customHeight="1">
      <c r="A12" s="893" t="s">
        <v>502</v>
      </c>
      <c r="B12" s="867"/>
      <c r="C12" s="928"/>
      <c r="D12" s="867"/>
      <c r="E12" s="867"/>
      <c r="F12" s="868"/>
      <c r="G12" s="893" t="s">
        <v>503</v>
      </c>
      <c r="H12" s="867"/>
      <c r="I12" s="867"/>
      <c r="J12" s="931">
        <v>20222986520197</v>
      </c>
      <c r="K12" s="867"/>
      <c r="L12" s="867"/>
      <c r="M12" s="867"/>
      <c r="N12" s="867"/>
      <c r="O12" s="867"/>
      <c r="P12" s="868"/>
      <c r="Q12" s="893" t="s">
        <v>504</v>
      </c>
      <c r="R12" s="867"/>
      <c r="S12" s="931" t="s">
        <v>559</v>
      </c>
      <c r="T12" s="867"/>
      <c r="U12" s="867"/>
      <c r="V12" s="868"/>
      <c r="W12" s="879" t="s">
        <v>505</v>
      </c>
      <c r="X12" s="867"/>
      <c r="Y12" s="867"/>
      <c r="Z12" s="913"/>
      <c r="AA12" s="867"/>
      <c r="AB12" s="868"/>
    </row>
    <row r="13" spans="1:28" ht="9.75" customHeight="1">
      <c r="A13" s="921"/>
      <c r="B13" s="891"/>
      <c r="C13" s="891"/>
      <c r="D13" s="891"/>
      <c r="E13" s="891"/>
      <c r="F13" s="891"/>
      <c r="G13" s="891"/>
      <c r="H13" s="891"/>
      <c r="I13" s="891"/>
      <c r="J13" s="891"/>
      <c r="K13" s="891"/>
      <c r="L13" s="891"/>
      <c r="M13" s="891"/>
      <c r="N13" s="891"/>
      <c r="O13" s="891"/>
      <c r="P13" s="891"/>
      <c r="Q13" s="891"/>
      <c r="R13" s="891"/>
      <c r="S13" s="891"/>
      <c r="T13" s="891"/>
      <c r="U13" s="891"/>
      <c r="V13" s="891"/>
      <c r="W13" s="891"/>
      <c r="X13" s="891"/>
      <c r="Y13" s="891"/>
      <c r="Z13" s="891"/>
      <c r="AA13" s="891"/>
      <c r="AB13" s="892"/>
    </row>
    <row r="14" spans="1:28" ht="18.75" customHeight="1">
      <c r="A14" s="918" t="s">
        <v>506</v>
      </c>
      <c r="B14" s="867"/>
      <c r="C14" s="914"/>
      <c r="D14" s="867"/>
      <c r="E14" s="867"/>
      <c r="F14" s="867"/>
      <c r="G14" s="867"/>
      <c r="H14" s="867"/>
      <c r="I14" s="867"/>
      <c r="J14" s="867"/>
      <c r="K14" s="867"/>
      <c r="L14" s="867"/>
      <c r="M14" s="867"/>
      <c r="N14" s="867"/>
      <c r="O14" s="867"/>
      <c r="P14" s="867"/>
      <c r="Q14" s="867"/>
      <c r="R14" s="867"/>
      <c r="S14" s="867"/>
      <c r="T14" s="867"/>
      <c r="U14" s="867"/>
      <c r="V14" s="867"/>
      <c r="W14" s="867"/>
      <c r="X14" s="867"/>
      <c r="Y14" s="867"/>
      <c r="Z14" s="867"/>
      <c r="AA14" s="867"/>
      <c r="AB14" s="868"/>
    </row>
    <row r="15" spans="1:28" ht="7.5" customHeight="1">
      <c r="A15" s="890"/>
      <c r="B15" s="891"/>
      <c r="C15" s="891"/>
      <c r="D15" s="891"/>
      <c r="E15" s="891"/>
      <c r="F15" s="891"/>
      <c r="G15" s="891"/>
      <c r="H15" s="891"/>
      <c r="I15" s="891"/>
      <c r="J15" s="891"/>
      <c r="K15" s="891"/>
      <c r="L15" s="891"/>
      <c r="M15" s="891"/>
      <c r="N15" s="891"/>
      <c r="O15" s="891"/>
      <c r="P15" s="891"/>
      <c r="Q15" s="891"/>
      <c r="R15" s="891"/>
      <c r="S15" s="891"/>
      <c r="T15" s="891"/>
      <c r="U15" s="891"/>
      <c r="V15" s="891"/>
      <c r="W15" s="891"/>
      <c r="X15" s="891"/>
      <c r="Y15" s="891"/>
      <c r="Z15" s="891"/>
      <c r="AA15" s="891"/>
      <c r="AB15" s="892"/>
    </row>
    <row r="16" spans="1:28" ht="18.75" customHeight="1">
      <c r="A16" s="908" t="s">
        <v>507</v>
      </c>
      <c r="B16" s="867"/>
      <c r="C16" s="867"/>
      <c r="D16" s="867"/>
      <c r="E16" s="867"/>
      <c r="F16" s="867"/>
      <c r="G16" s="909" t="s">
        <v>546</v>
      </c>
      <c r="H16" s="868"/>
      <c r="I16" s="908" t="s">
        <v>508</v>
      </c>
      <c r="J16" s="867"/>
      <c r="K16" s="867"/>
      <c r="L16" s="931" t="s">
        <v>552</v>
      </c>
      <c r="M16" s="867"/>
      <c r="N16" s="867"/>
      <c r="O16" s="868"/>
      <c r="P16" s="903" t="s">
        <v>509</v>
      </c>
      <c r="Q16" s="867"/>
      <c r="R16" s="993" t="s">
        <v>565</v>
      </c>
      <c r="S16" s="867"/>
      <c r="T16" s="867"/>
      <c r="U16" s="867"/>
      <c r="V16" s="867"/>
      <c r="W16" s="867"/>
      <c r="X16" s="867"/>
      <c r="Y16" s="867"/>
      <c r="Z16" s="867"/>
      <c r="AA16" s="867"/>
      <c r="AB16" s="868"/>
    </row>
    <row r="17" spans="1:28" ht="18.75" customHeight="1">
      <c r="A17" s="952" t="s">
        <v>510</v>
      </c>
      <c r="B17" s="867"/>
      <c r="C17" s="931" t="s">
        <v>544</v>
      </c>
      <c r="D17" s="867"/>
      <c r="E17" s="867"/>
      <c r="F17" s="106" t="s">
        <v>511</v>
      </c>
      <c r="G17" s="952" t="s">
        <v>512</v>
      </c>
      <c r="H17" s="867"/>
      <c r="I17" s="867"/>
      <c r="J17" s="984">
        <v>44786</v>
      </c>
      <c r="K17" s="867"/>
      <c r="L17" s="867"/>
      <c r="M17" s="913" t="s">
        <v>513</v>
      </c>
      <c r="N17" s="868"/>
      <c r="O17" s="908" t="s">
        <v>514</v>
      </c>
      <c r="P17" s="867"/>
      <c r="Q17" s="867"/>
      <c r="R17" s="931">
        <v>81439</v>
      </c>
      <c r="S17" s="867"/>
      <c r="T17" s="867"/>
      <c r="U17" s="868"/>
      <c r="V17" s="908" t="s">
        <v>515</v>
      </c>
      <c r="W17" s="867"/>
      <c r="X17" s="867"/>
      <c r="Y17" s="959" t="s">
        <v>566</v>
      </c>
      <c r="Z17" s="867"/>
      <c r="AA17" s="867"/>
      <c r="AB17" s="868"/>
    </row>
    <row r="18" spans="1:28" ht="9.75" customHeight="1">
      <c r="A18" s="890"/>
      <c r="B18" s="891"/>
      <c r="C18" s="891"/>
      <c r="D18" s="891"/>
      <c r="E18" s="891"/>
      <c r="F18" s="891"/>
      <c r="G18" s="891"/>
      <c r="H18" s="891"/>
      <c r="I18" s="891"/>
      <c r="J18" s="891"/>
      <c r="K18" s="891"/>
      <c r="L18" s="891"/>
      <c r="M18" s="891"/>
      <c r="N18" s="891"/>
      <c r="O18" s="891"/>
      <c r="P18" s="891"/>
      <c r="Q18" s="891"/>
      <c r="R18" s="891"/>
      <c r="S18" s="891"/>
      <c r="T18" s="891"/>
      <c r="U18" s="891"/>
      <c r="V18" s="891"/>
      <c r="W18" s="891"/>
      <c r="X18" s="891"/>
      <c r="Y18" s="891"/>
      <c r="Z18" s="891"/>
      <c r="AA18" s="891"/>
      <c r="AB18" s="892"/>
    </row>
    <row r="19" spans="1:28" ht="18.75" customHeight="1">
      <c r="A19" s="908" t="s">
        <v>516</v>
      </c>
      <c r="B19" s="867"/>
      <c r="C19" s="867"/>
      <c r="D19" s="867"/>
      <c r="E19" s="867"/>
      <c r="F19" s="867"/>
      <c r="G19" s="909" t="s">
        <v>547</v>
      </c>
      <c r="H19" s="868"/>
      <c r="I19" s="908" t="s">
        <v>508</v>
      </c>
      <c r="J19" s="867"/>
      <c r="K19" s="867"/>
      <c r="L19" s="931" t="s">
        <v>548</v>
      </c>
      <c r="M19" s="867"/>
      <c r="N19" s="867"/>
      <c r="O19" s="868"/>
      <c r="P19" s="903" t="s">
        <v>509</v>
      </c>
      <c r="Q19" s="867"/>
      <c r="R19" s="993" t="s">
        <v>567</v>
      </c>
      <c r="S19" s="867"/>
      <c r="T19" s="867"/>
      <c r="U19" s="867"/>
      <c r="V19" s="867"/>
      <c r="W19" s="867"/>
      <c r="X19" s="867"/>
      <c r="Y19" s="867"/>
      <c r="Z19" s="867"/>
      <c r="AA19" s="867"/>
      <c r="AB19" s="868"/>
    </row>
    <row r="20" spans="1:28" ht="18.75" customHeight="1">
      <c r="A20" s="952" t="s">
        <v>510</v>
      </c>
      <c r="B20" s="867"/>
      <c r="C20" s="931" t="s">
        <v>544</v>
      </c>
      <c r="D20" s="867"/>
      <c r="E20" s="867"/>
      <c r="F20" s="106" t="s">
        <v>511</v>
      </c>
      <c r="G20" s="952" t="s">
        <v>512</v>
      </c>
      <c r="H20" s="867"/>
      <c r="I20" s="867"/>
      <c r="J20" s="984">
        <v>44786</v>
      </c>
      <c r="K20" s="867"/>
      <c r="L20" s="867"/>
      <c r="M20" s="913" t="s">
        <v>513</v>
      </c>
      <c r="N20" s="868"/>
      <c r="O20" s="908" t="s">
        <v>514</v>
      </c>
      <c r="P20" s="867"/>
      <c r="Q20" s="867"/>
      <c r="R20" s="931">
        <v>435805</v>
      </c>
      <c r="S20" s="867"/>
      <c r="T20" s="867"/>
      <c r="U20" s="868"/>
      <c r="V20" s="908" t="s">
        <v>515</v>
      </c>
      <c r="W20" s="867"/>
      <c r="X20" s="867"/>
      <c r="Y20" s="955" t="s">
        <v>568</v>
      </c>
      <c r="Z20" s="867"/>
      <c r="AA20" s="867"/>
      <c r="AB20" s="868"/>
    </row>
    <row r="21" spans="1:28" ht="15.75" customHeight="1">
      <c r="A21" s="104" t="s">
        <v>517</v>
      </c>
      <c r="B21" s="107">
        <v>120</v>
      </c>
      <c r="C21" s="105" t="s">
        <v>518</v>
      </c>
      <c r="D21" s="108"/>
      <c r="E21" s="932">
        <v>122</v>
      </c>
      <c r="F21" s="868"/>
      <c r="G21" s="104" t="s">
        <v>519</v>
      </c>
      <c r="H21" s="109" t="s">
        <v>545</v>
      </c>
      <c r="I21" s="105" t="s">
        <v>520</v>
      </c>
      <c r="J21" s="110"/>
      <c r="K21" s="111">
        <v>225</v>
      </c>
      <c r="L21" s="105" t="s">
        <v>521</v>
      </c>
      <c r="M21" s="932">
        <v>215</v>
      </c>
      <c r="N21" s="868"/>
      <c r="O21" s="965" t="s">
        <v>522</v>
      </c>
      <c r="P21" s="867"/>
      <c r="Q21" s="870">
        <v>218</v>
      </c>
      <c r="R21" s="868"/>
      <c r="S21" s="112" t="s">
        <v>523</v>
      </c>
      <c r="T21" s="107">
        <v>38</v>
      </c>
      <c r="U21" s="112" t="s">
        <v>524</v>
      </c>
      <c r="V21" s="107">
        <v>20</v>
      </c>
      <c r="W21" s="113" t="s">
        <v>525</v>
      </c>
      <c r="X21" s="870">
        <v>38</v>
      </c>
      <c r="Y21" s="868"/>
      <c r="Z21" s="113" t="s">
        <v>526</v>
      </c>
      <c r="AA21" s="870">
        <v>16</v>
      </c>
      <c r="AB21" s="868"/>
    </row>
    <row r="22" spans="1:28" ht="8.25" customHeight="1">
      <c r="A22" s="890"/>
      <c r="B22" s="891"/>
      <c r="C22" s="891"/>
      <c r="D22" s="891"/>
      <c r="E22" s="891"/>
      <c r="F22" s="891"/>
      <c r="G22" s="891"/>
      <c r="H22" s="891"/>
      <c r="I22" s="891"/>
      <c r="J22" s="891"/>
      <c r="K22" s="891"/>
      <c r="L22" s="891"/>
      <c r="M22" s="891"/>
      <c r="N22" s="891"/>
      <c r="O22" s="891"/>
      <c r="P22" s="891"/>
      <c r="Q22" s="891"/>
      <c r="R22" s="891"/>
      <c r="S22" s="891"/>
      <c r="T22" s="891"/>
      <c r="U22" s="891"/>
      <c r="V22" s="891"/>
      <c r="W22" s="891"/>
      <c r="X22" s="891"/>
      <c r="Y22" s="891"/>
      <c r="Z22" s="891"/>
      <c r="AA22" s="891"/>
      <c r="AB22" s="892"/>
    </row>
    <row r="23" spans="1:28" ht="15.75" customHeight="1">
      <c r="A23" s="893" t="s">
        <v>527</v>
      </c>
      <c r="B23" s="867"/>
      <c r="C23" s="928"/>
      <c r="D23" s="867"/>
      <c r="E23" s="867"/>
      <c r="F23" s="868"/>
      <c r="G23" s="880" t="s">
        <v>528</v>
      </c>
      <c r="H23" s="867"/>
      <c r="I23" s="928"/>
      <c r="J23" s="867"/>
      <c r="K23" s="868"/>
      <c r="L23" s="962" t="s">
        <v>529</v>
      </c>
      <c r="M23" s="867"/>
      <c r="N23" s="867"/>
      <c r="O23" s="867"/>
      <c r="P23" s="867"/>
      <c r="Q23" s="931">
        <v>5702814005</v>
      </c>
      <c r="R23" s="867"/>
      <c r="S23" s="868"/>
      <c r="T23" s="908" t="s">
        <v>530</v>
      </c>
      <c r="U23" s="867"/>
      <c r="V23" s="909"/>
      <c r="W23" s="867"/>
      <c r="X23" s="867"/>
      <c r="Y23" s="867"/>
      <c r="Z23" s="867"/>
      <c r="AA23" s="867"/>
      <c r="AB23" s="868"/>
    </row>
    <row r="24" spans="1:28" ht="7.5" customHeight="1">
      <c r="A24" s="963"/>
      <c r="B24" s="886"/>
      <c r="C24" s="886"/>
      <c r="D24" s="886"/>
      <c r="E24" s="886"/>
      <c r="F24" s="886"/>
      <c r="G24" s="886"/>
      <c r="H24" s="886"/>
      <c r="I24" s="886"/>
      <c r="J24" s="886"/>
      <c r="K24" s="886"/>
      <c r="L24" s="886"/>
      <c r="M24" s="886"/>
      <c r="N24" s="886"/>
      <c r="O24" s="886"/>
      <c r="P24" s="886"/>
      <c r="Q24" s="886"/>
      <c r="R24" s="886"/>
      <c r="S24" s="886"/>
      <c r="T24" s="886"/>
      <c r="U24" s="886"/>
      <c r="V24" s="886"/>
      <c r="W24" s="886"/>
      <c r="X24" s="886"/>
      <c r="Y24" s="886"/>
      <c r="Z24" s="886"/>
      <c r="AA24" s="886"/>
      <c r="AB24" s="887"/>
    </row>
    <row r="25" spans="1:28" ht="18.75" customHeight="1">
      <c r="A25" s="881" t="s">
        <v>531</v>
      </c>
      <c r="B25" s="881" t="s">
        <v>532</v>
      </c>
      <c r="C25" s="966"/>
      <c r="D25" s="967"/>
      <c r="E25" s="967"/>
      <c r="F25" s="967"/>
      <c r="G25" s="967"/>
      <c r="H25" s="967"/>
      <c r="I25" s="967"/>
      <c r="J25" s="967"/>
      <c r="K25" s="967"/>
      <c r="L25" s="967"/>
      <c r="M25" s="967"/>
      <c r="N25" s="967"/>
      <c r="O25" s="967"/>
      <c r="P25" s="967"/>
      <c r="Q25" s="967"/>
      <c r="R25" s="967"/>
      <c r="S25" s="967"/>
      <c r="T25" s="968"/>
      <c r="U25" s="881" t="s">
        <v>533</v>
      </c>
      <c r="V25" s="881" t="s">
        <v>534</v>
      </c>
      <c r="W25" s="879" t="s">
        <v>535</v>
      </c>
      <c r="X25" s="867"/>
      <c r="Y25" s="867"/>
      <c r="Z25" s="868"/>
      <c r="AA25" s="977"/>
      <c r="AB25" s="978"/>
    </row>
    <row r="26" spans="1:28" ht="18.75" customHeight="1">
      <c r="A26" s="964"/>
      <c r="B26" s="964"/>
      <c r="C26" s="969"/>
      <c r="D26" s="970"/>
      <c r="E26" s="970"/>
      <c r="F26" s="970"/>
      <c r="G26" s="970"/>
      <c r="H26" s="970"/>
      <c r="I26" s="970"/>
      <c r="J26" s="970"/>
      <c r="K26" s="970"/>
      <c r="L26" s="970"/>
      <c r="M26" s="970"/>
      <c r="N26" s="970"/>
      <c r="O26" s="970"/>
      <c r="P26" s="970"/>
      <c r="Q26" s="970"/>
      <c r="R26" s="970"/>
      <c r="S26" s="970"/>
      <c r="T26" s="971"/>
      <c r="U26" s="964"/>
      <c r="V26" s="964"/>
      <c r="W26" s="114"/>
      <c r="X26" s="114" t="s">
        <v>83</v>
      </c>
      <c r="Y26" s="114" t="s">
        <v>84</v>
      </c>
      <c r="Z26" s="115" t="s">
        <v>536</v>
      </c>
      <c r="AA26" s="880" t="s">
        <v>534</v>
      </c>
      <c r="AB26" s="868"/>
    </row>
    <row r="27" spans="1:28" ht="18.75" customHeight="1">
      <c r="A27" s="116">
        <v>1</v>
      </c>
      <c r="B27" s="47">
        <v>6061</v>
      </c>
      <c r="C27" s="866" t="str">
        <f>IF(B27="","",VLOOKUP(B27,'MÃO OBRA'!A$2:G$436,2,FALSE))</f>
        <v>DESAT TRANSF DISTRIBUIC AEREO 3F LM</v>
      </c>
      <c r="D27" s="867"/>
      <c r="E27" s="867"/>
      <c r="F27" s="867"/>
      <c r="G27" s="867"/>
      <c r="H27" s="867"/>
      <c r="I27" s="867"/>
      <c r="J27" s="867"/>
      <c r="K27" s="867"/>
      <c r="L27" s="867"/>
      <c r="M27" s="867"/>
      <c r="N27" s="867"/>
      <c r="O27" s="867"/>
      <c r="P27" s="867"/>
      <c r="Q27" s="867"/>
      <c r="R27" s="867"/>
      <c r="S27" s="867"/>
      <c r="T27" s="868"/>
      <c r="U27" s="117">
        <f>IF(B27="","",VLOOKUP(B27,'MÃO OBRA'!A$2:F$35064,3,FALSE))</f>
        <v>0</v>
      </c>
      <c r="V27" s="118">
        <f>IF(B27="","",VLOOKUP(B27,'MÃO OBRA'!A$2:F$21664,6,FALSE))</f>
        <v>287.17</v>
      </c>
      <c r="W27" s="119">
        <v>1</v>
      </c>
      <c r="X27" s="120">
        <f>IFERROR(VLOOKUP(B27,'MÃO OBRA'!A:H,8,FALSE),"")</f>
        <v>0</v>
      </c>
      <c r="Y27" s="120">
        <f>IFERROR(VLOOKUP(B27,'MÃO OBRA'!A:I,9,FALSE),"")</f>
        <v>0</v>
      </c>
      <c r="Z27" s="121">
        <f t="shared" ref="Z27:Z44" si="0">W27</f>
        <v>1</v>
      </c>
      <c r="AA27" s="894">
        <f t="shared" ref="AA27:AA44" si="1">IF(B27="","",(V27*Z27))</f>
        <v>287.17</v>
      </c>
      <c r="AB27" s="868"/>
    </row>
    <row r="28" spans="1:28" ht="18.75" customHeight="1">
      <c r="A28" s="116">
        <f>A27+1</f>
        <v>2</v>
      </c>
      <c r="B28" s="47">
        <v>6093</v>
      </c>
      <c r="C28" s="866" t="str">
        <f>IF(B28="","",VLOOKUP(B28,'MÃO OBRA'!A$2:G$436,2,FALSE))</f>
        <v>INST TRANSF DISTRIBUIC AEREO TRIF LM</v>
      </c>
      <c r="D28" s="867"/>
      <c r="E28" s="867"/>
      <c r="F28" s="867"/>
      <c r="G28" s="867"/>
      <c r="H28" s="867"/>
      <c r="I28" s="867"/>
      <c r="J28" s="867"/>
      <c r="K28" s="867"/>
      <c r="L28" s="867"/>
      <c r="M28" s="867"/>
      <c r="N28" s="867"/>
      <c r="O28" s="867"/>
      <c r="P28" s="867"/>
      <c r="Q28" s="867"/>
      <c r="R28" s="867"/>
      <c r="S28" s="867"/>
      <c r="T28" s="868"/>
      <c r="U28" s="117" t="str">
        <f>IF(B28="","",VLOOKUP(B28,'MÃO OBRA'!A$2:F$35064,3,FALSE))</f>
        <v>UN</v>
      </c>
      <c r="V28" s="118">
        <f>IF(B28="","",VLOOKUP(B28,'MÃO OBRA'!A$2:F$21664,6,FALSE))</f>
        <v>1052.94</v>
      </c>
      <c r="W28" s="119">
        <v>1</v>
      </c>
      <c r="X28" s="120" t="str">
        <f>IFERROR(VLOOKUP(B28,'MÃO OBRA'!A:H,8,FALSE),"")</f>
        <v>x</v>
      </c>
      <c r="Y28" s="120">
        <f>IFERROR(VLOOKUP(B28,'MÃO OBRA'!A:I,9,FALSE),"")</f>
        <v>0</v>
      </c>
      <c r="Z28" s="121">
        <f t="shared" si="0"/>
        <v>1</v>
      </c>
      <c r="AA28" s="894">
        <f t="shared" si="1"/>
        <v>1052.94</v>
      </c>
      <c r="AB28" s="868"/>
    </row>
    <row r="29" spans="1:28" ht="18.75" customHeight="1">
      <c r="A29" s="116">
        <f>A28+1</f>
        <v>3</v>
      </c>
      <c r="B29" s="47">
        <v>7038</v>
      </c>
      <c r="C29" s="866" t="e">
        <f>IF(B29="","",VLOOKUP(B29,'MÃO OBRA'!A$2:G$436,2,FALSE))</f>
        <v>#N/A</v>
      </c>
      <c r="D29" s="867"/>
      <c r="E29" s="867"/>
      <c r="F29" s="867"/>
      <c r="G29" s="867"/>
      <c r="H29" s="867"/>
      <c r="I29" s="867"/>
      <c r="J29" s="867"/>
      <c r="K29" s="867"/>
      <c r="L29" s="867"/>
      <c r="M29" s="867"/>
      <c r="N29" s="867"/>
      <c r="O29" s="867"/>
      <c r="P29" s="867"/>
      <c r="Q29" s="867"/>
      <c r="R29" s="867"/>
      <c r="S29" s="867"/>
      <c r="T29" s="868"/>
      <c r="U29" s="117" t="str">
        <f>IF(B29="","",VLOOKUP(B29,'MÃO OBRA'!A$2:F$35064,3,FALSE))</f>
        <v>UN</v>
      </c>
      <c r="V29" s="118">
        <f>IF(B29="","",VLOOKUP(B29,'MÃO OBRA'!A$2:F$21664,6,FALSE))</f>
        <v>124.44</v>
      </c>
      <c r="W29" s="119">
        <v>1</v>
      </c>
      <c r="X29" s="120">
        <f>IFERROR(VLOOKUP(B29,'MÃO OBRA'!A:H,8,FALSE),"")</f>
        <v>0</v>
      </c>
      <c r="Y29" s="120" t="str">
        <f>IFERROR(VLOOKUP(B29,'MÃO OBRA'!A:I,9,FALSE),"")</f>
        <v>x</v>
      </c>
      <c r="Z29" s="121">
        <f t="shared" si="0"/>
        <v>1</v>
      </c>
      <c r="AA29" s="894">
        <f t="shared" si="1"/>
        <v>124.44</v>
      </c>
      <c r="AB29" s="868"/>
    </row>
    <row r="30" spans="1:28" ht="18.75" customHeight="1">
      <c r="A30" s="116">
        <f>A29+1</f>
        <v>4</v>
      </c>
      <c r="B30" s="47">
        <v>6171</v>
      </c>
      <c r="C30" s="866" t="str">
        <f>IF(B30="","",VLOOKUP(B30,'MÃO OBRA'!A$2:G$436,2,FALSE))</f>
        <v>OPER CHAVE FUS AB E FC EMERG LM</v>
      </c>
      <c r="D30" s="867"/>
      <c r="E30" s="867"/>
      <c r="F30" s="867"/>
      <c r="G30" s="867"/>
      <c r="H30" s="867"/>
      <c r="I30" s="867"/>
      <c r="J30" s="867"/>
      <c r="K30" s="867"/>
      <c r="L30" s="867"/>
      <c r="M30" s="867"/>
      <c r="N30" s="867"/>
      <c r="O30" s="867"/>
      <c r="P30" s="867"/>
      <c r="Q30" s="867"/>
      <c r="R30" s="867"/>
      <c r="S30" s="867"/>
      <c r="T30" s="868"/>
      <c r="U30" s="117" t="str">
        <f>IF(B30="","",VLOOKUP(B30,'MÃO OBRA'!A$2:F$35064,3,FALSE))</f>
        <v>UN</v>
      </c>
      <c r="V30" s="118">
        <f>IF(B30="","",VLOOKUP(B30,'MÃO OBRA'!A$2:F$21664,6,FALSE))</f>
        <v>47.86</v>
      </c>
      <c r="W30" s="119">
        <v>3</v>
      </c>
      <c r="X30" s="120" t="str">
        <f>IFERROR(VLOOKUP(B30,'MÃO OBRA'!A:H,8,FALSE),"")</f>
        <v>x</v>
      </c>
      <c r="Y30" s="120">
        <f>IFERROR(VLOOKUP(B30,'MÃO OBRA'!A:I,9,FALSE),"")</f>
        <v>0</v>
      </c>
      <c r="Z30" s="121">
        <f t="shared" si="0"/>
        <v>3</v>
      </c>
      <c r="AA30" s="894">
        <f t="shared" si="1"/>
        <v>143.57999999999998</v>
      </c>
      <c r="AB30" s="868"/>
    </row>
    <row r="31" spans="1:28" ht="18.75" customHeight="1">
      <c r="A31" s="116">
        <f>A30+1</f>
        <v>5</v>
      </c>
      <c r="B31" s="47">
        <v>6501</v>
      </c>
      <c r="C31" s="866" t="str">
        <f>IF(B31="","",VLOOKUP(B31,'MÃO OBRA'!A$2:G$436,2,FALSE))</f>
        <v>SUBST ELO FUSIVEL LM</v>
      </c>
      <c r="D31" s="867"/>
      <c r="E31" s="867"/>
      <c r="F31" s="867"/>
      <c r="G31" s="867"/>
      <c r="H31" s="867"/>
      <c r="I31" s="867"/>
      <c r="J31" s="867"/>
      <c r="K31" s="867"/>
      <c r="L31" s="867"/>
      <c r="M31" s="867"/>
      <c r="N31" s="867"/>
      <c r="O31" s="867"/>
      <c r="P31" s="867"/>
      <c r="Q31" s="867"/>
      <c r="R31" s="867"/>
      <c r="S31" s="867"/>
      <c r="T31" s="868"/>
      <c r="U31" s="117">
        <f>IF(B31="","",VLOOKUP(B31,'MÃO OBRA'!A$2:F$35064,3,FALSE))</f>
        <v>0</v>
      </c>
      <c r="V31" s="118">
        <f>IF(B31="","",VLOOKUP(B31,'MÃO OBRA'!A$2:F$21664,6,FALSE))</f>
        <v>47.86</v>
      </c>
      <c r="W31" s="119">
        <v>3</v>
      </c>
      <c r="X31" s="120">
        <f>IFERROR(VLOOKUP(B31,'MÃO OBRA'!A:H,8,FALSE),"")</f>
        <v>0</v>
      </c>
      <c r="Y31" s="120">
        <f>IFERROR(VLOOKUP(B31,'MÃO OBRA'!A:I,9,FALSE),"")</f>
        <v>0</v>
      </c>
      <c r="Z31" s="121">
        <f t="shared" si="0"/>
        <v>3</v>
      </c>
      <c r="AA31" s="894">
        <f t="shared" si="1"/>
        <v>143.57999999999998</v>
      </c>
      <c r="AB31" s="868"/>
    </row>
    <row r="32" spans="1:28" ht="18.75" customHeight="1">
      <c r="A32" s="116">
        <v>6</v>
      </c>
      <c r="B32" s="47">
        <v>6082</v>
      </c>
      <c r="C32" s="866" t="str">
        <f>IF(B32="","",VLOOKUP(B32,'MÃO OBRA'!A$2:G$436,2,FALSE))</f>
        <v>INST PARA-RAIOS RD &lt; 34,5 KV LM</v>
      </c>
      <c r="D32" s="867"/>
      <c r="E32" s="867"/>
      <c r="F32" s="867"/>
      <c r="G32" s="867"/>
      <c r="H32" s="867"/>
      <c r="I32" s="867"/>
      <c r="J32" s="867"/>
      <c r="K32" s="867"/>
      <c r="L32" s="867"/>
      <c r="M32" s="867"/>
      <c r="N32" s="867"/>
      <c r="O32" s="867"/>
      <c r="P32" s="867"/>
      <c r="Q32" s="867"/>
      <c r="R32" s="867"/>
      <c r="S32" s="867"/>
      <c r="T32" s="868"/>
      <c r="U32" s="117" t="str">
        <f>IF(B32="","",VLOOKUP(B32,'MÃO OBRA'!A$2:F$35064,3,FALSE))</f>
        <v>UN</v>
      </c>
      <c r="V32" s="118">
        <f>IF(B32="","",VLOOKUP(B32,'MÃO OBRA'!A$2:F$21664,6,FALSE))</f>
        <v>95.72</v>
      </c>
      <c r="W32" s="133">
        <v>3</v>
      </c>
      <c r="X32" s="120" t="str">
        <f>IFERROR(VLOOKUP(B32,'MÃO OBRA'!A:H,8,FALSE),"")</f>
        <v>x</v>
      </c>
      <c r="Y32" s="120">
        <f>IFERROR(VLOOKUP(B32,'MÃO OBRA'!A:I,9,FALSE),"")</f>
        <v>0</v>
      </c>
      <c r="Z32" s="121">
        <f t="shared" si="0"/>
        <v>3</v>
      </c>
      <c r="AA32" s="894">
        <f t="shared" si="1"/>
        <v>287.15999999999997</v>
      </c>
      <c r="AB32" s="868"/>
    </row>
    <row r="33" spans="1:28" ht="18.75" customHeight="1">
      <c r="A33" s="116">
        <f t="shared" ref="A33:A44" si="2">A32+1</f>
        <v>7</v>
      </c>
      <c r="B33" s="152">
        <v>6083</v>
      </c>
      <c r="C33" s="866" t="str">
        <f>IF(B33="","",VLOOKUP(B33,'MÃO OBRA'!A$2:G$436,2,FALSE))</f>
        <v>INST PARA-RAIOS RD =&gt; 34,5 KV LM</v>
      </c>
      <c r="D33" s="867"/>
      <c r="E33" s="867"/>
      <c r="F33" s="867"/>
      <c r="G33" s="867"/>
      <c r="H33" s="867"/>
      <c r="I33" s="867"/>
      <c r="J33" s="867"/>
      <c r="K33" s="867"/>
      <c r="L33" s="867"/>
      <c r="M33" s="867"/>
      <c r="N33" s="867"/>
      <c r="O33" s="867"/>
      <c r="P33" s="867"/>
      <c r="Q33" s="867"/>
      <c r="R33" s="867"/>
      <c r="S33" s="867"/>
      <c r="T33" s="868"/>
      <c r="U33" s="117" t="str">
        <f>IF(B33="","",VLOOKUP(B33,'MÃO OBRA'!A$2:F$35064,3,FALSE))</f>
        <v>UN</v>
      </c>
      <c r="V33" s="118">
        <f>IF(B33="","",VLOOKUP(B33,'MÃO OBRA'!A$2:F$21664,6,FALSE))</f>
        <v>95.72</v>
      </c>
      <c r="W33" s="153">
        <v>3</v>
      </c>
      <c r="X33" s="120" t="str">
        <f>IFERROR(VLOOKUP(B33,'MÃO OBRA'!A:H,8,FALSE),"")</f>
        <v>x</v>
      </c>
      <c r="Y33" s="120">
        <f>IFERROR(VLOOKUP(B33,'MÃO OBRA'!A:I,9,FALSE),"")</f>
        <v>0</v>
      </c>
      <c r="Z33" s="121">
        <f t="shared" si="0"/>
        <v>3</v>
      </c>
      <c r="AA33" s="894">
        <f t="shared" si="1"/>
        <v>287.15999999999997</v>
      </c>
      <c r="AB33" s="868"/>
    </row>
    <row r="34" spans="1:28" ht="18.75" customHeight="1">
      <c r="A34" s="116">
        <f t="shared" si="2"/>
        <v>8</v>
      </c>
      <c r="B34" s="152">
        <v>6235</v>
      </c>
      <c r="C34" s="866" t="str">
        <f>IF(B34="","",VLOOKUP(B34,'MÃO OBRA'!A$2:G$436,2,FALSE))</f>
        <v>INST CONEC RD SEC LM</v>
      </c>
      <c r="D34" s="867"/>
      <c r="E34" s="867"/>
      <c r="F34" s="867"/>
      <c r="G34" s="867"/>
      <c r="H34" s="867"/>
      <c r="I34" s="867"/>
      <c r="J34" s="867"/>
      <c r="K34" s="867"/>
      <c r="L34" s="867"/>
      <c r="M34" s="867"/>
      <c r="N34" s="867"/>
      <c r="O34" s="867"/>
      <c r="P34" s="867"/>
      <c r="Q34" s="867"/>
      <c r="R34" s="867"/>
      <c r="S34" s="867"/>
      <c r="T34" s="868"/>
      <c r="U34" s="117" t="str">
        <f>IF(B34="","",VLOOKUP(B34,'MÃO OBRA'!A$2:F$35064,3,FALSE))</f>
        <v>UN</v>
      </c>
      <c r="V34" s="118">
        <f>IF(B34="","",VLOOKUP(B34,'MÃO OBRA'!A$2:F$21664,6,FALSE))</f>
        <v>9.58</v>
      </c>
      <c r="W34" s="153">
        <v>8</v>
      </c>
      <c r="X34" s="120" t="str">
        <f>IFERROR(VLOOKUP(B34,'MÃO OBRA'!A:H,8,FALSE),"")</f>
        <v>x</v>
      </c>
      <c r="Y34" s="120">
        <f>IFERROR(VLOOKUP(B34,'MÃO OBRA'!A:I,9,FALSE),"")</f>
        <v>0</v>
      </c>
      <c r="Z34" s="121">
        <f t="shared" si="0"/>
        <v>8</v>
      </c>
      <c r="AA34" s="894">
        <f t="shared" si="1"/>
        <v>76.64</v>
      </c>
      <c r="AB34" s="868"/>
    </row>
    <row r="35" spans="1:28" ht="18.75" customHeight="1">
      <c r="A35" s="116">
        <f t="shared" si="2"/>
        <v>9</v>
      </c>
      <c r="B35" s="152">
        <v>6055</v>
      </c>
      <c r="C35" s="866" t="str">
        <f>IF(B35="","",VLOOKUP(B35,'MÃO OBRA'!A$2:G$436,2,FALSE))</f>
        <v>DESAT PARA-RAIOS RD &lt; 34,5 KV LM</v>
      </c>
      <c r="D35" s="867"/>
      <c r="E35" s="867"/>
      <c r="F35" s="867"/>
      <c r="G35" s="867"/>
      <c r="H35" s="867"/>
      <c r="I35" s="867"/>
      <c r="J35" s="867"/>
      <c r="K35" s="867"/>
      <c r="L35" s="867"/>
      <c r="M35" s="867"/>
      <c r="N35" s="867"/>
      <c r="O35" s="867"/>
      <c r="P35" s="867"/>
      <c r="Q35" s="867"/>
      <c r="R35" s="867"/>
      <c r="S35" s="867"/>
      <c r="T35" s="868"/>
      <c r="U35" s="117">
        <f>IF(B35="","",VLOOKUP(B35,'MÃO OBRA'!A$2:F$35064,3,FALSE))</f>
        <v>0</v>
      </c>
      <c r="V35" s="118">
        <f>IF(B35="","",VLOOKUP(B35,'MÃO OBRA'!A$2:F$21664,6,FALSE))</f>
        <v>28.72</v>
      </c>
      <c r="W35" s="122">
        <v>3</v>
      </c>
      <c r="X35" s="120">
        <f>IFERROR(VLOOKUP(B35,'MÃO OBRA'!A:H,8,FALSE),"")</f>
        <v>0</v>
      </c>
      <c r="Y35" s="120">
        <f>IFERROR(VLOOKUP(B35,'MÃO OBRA'!A:I,9,FALSE),"")</f>
        <v>0</v>
      </c>
      <c r="Z35" s="123">
        <f t="shared" si="0"/>
        <v>3</v>
      </c>
      <c r="AA35" s="894">
        <f t="shared" si="1"/>
        <v>86.16</v>
      </c>
      <c r="AB35" s="868"/>
    </row>
    <row r="36" spans="1:28" ht="18.75" customHeight="1">
      <c r="A36" s="116">
        <f t="shared" si="2"/>
        <v>10</v>
      </c>
      <c r="B36" s="152">
        <v>7640</v>
      </c>
      <c r="C36" s="866" t="e">
        <f>IF(B36="","",VLOOKUP(B36,'MÃO OBRA'!A$2:G$436,2,FALSE))</f>
        <v>#N/A</v>
      </c>
      <c r="D36" s="867"/>
      <c r="E36" s="867"/>
      <c r="F36" s="867"/>
      <c r="G36" s="867"/>
      <c r="H36" s="867"/>
      <c r="I36" s="867"/>
      <c r="J36" s="867"/>
      <c r="K36" s="867"/>
      <c r="L36" s="867"/>
      <c r="M36" s="867"/>
      <c r="N36" s="867"/>
      <c r="O36" s="867"/>
      <c r="P36" s="867"/>
      <c r="Q36" s="867"/>
      <c r="R36" s="867"/>
      <c r="S36" s="867"/>
      <c r="T36" s="868"/>
      <c r="U36" s="117">
        <f>IF(B36="","",VLOOKUP(B36,'MÃO OBRA'!A$2:F$35064,3,FALSE))</f>
        <v>0</v>
      </c>
      <c r="V36" s="118">
        <f>IF(B36="","",VLOOKUP(B36,'MÃO OBRA'!A$2:F$21664,6,FALSE))</f>
        <v>19.14</v>
      </c>
      <c r="W36" s="122">
        <v>8</v>
      </c>
      <c r="X36" s="120">
        <f>IFERROR(VLOOKUP(B36,'MÃO OBRA'!A:H,8,FALSE),"")</f>
        <v>0</v>
      </c>
      <c r="Y36" s="120">
        <f>IFERROR(VLOOKUP(B36,'MÃO OBRA'!A:I,9,FALSE),"")</f>
        <v>0</v>
      </c>
      <c r="Z36" s="123">
        <f t="shared" si="0"/>
        <v>8</v>
      </c>
      <c r="AA36" s="894">
        <f t="shared" si="1"/>
        <v>153.12</v>
      </c>
      <c r="AB36" s="868"/>
    </row>
    <row r="37" spans="1:28" ht="18.75" customHeight="1">
      <c r="A37" s="116">
        <f t="shared" si="2"/>
        <v>11</v>
      </c>
      <c r="B37" s="47"/>
      <c r="C37" s="866" t="str">
        <f>IF(B37="","",VLOOKUP(B37,'MÃO OBRA'!A$2:G$436,2,FALSE))</f>
        <v/>
      </c>
      <c r="D37" s="867"/>
      <c r="E37" s="867"/>
      <c r="F37" s="867"/>
      <c r="G37" s="867"/>
      <c r="H37" s="867"/>
      <c r="I37" s="867"/>
      <c r="J37" s="867"/>
      <c r="K37" s="867"/>
      <c r="L37" s="867"/>
      <c r="M37" s="867"/>
      <c r="N37" s="867"/>
      <c r="O37" s="867"/>
      <c r="P37" s="867"/>
      <c r="Q37" s="867"/>
      <c r="R37" s="867"/>
      <c r="S37" s="867"/>
      <c r="T37" s="868"/>
      <c r="U37" s="117" t="str">
        <f>IF(B37="","",VLOOKUP(B37,'MÃO OBRA'!A$2:F$35064,3,FALSE))</f>
        <v/>
      </c>
      <c r="V37" s="118" t="str">
        <f>IF(B37="","",VLOOKUP(B37,'MÃO OBRA'!A$2:F$21664,6,FALSE))</f>
        <v/>
      </c>
      <c r="W37" s="124"/>
      <c r="X37" s="120" t="str">
        <f>IFERROR(VLOOKUP(B37,'MÃO OBRA'!A:H,8,FALSE),"")</f>
        <v/>
      </c>
      <c r="Y37" s="120" t="str">
        <f>IFERROR(VLOOKUP(B37,'MÃO OBRA'!A:I,9,FALSE),"")</f>
        <v/>
      </c>
      <c r="Z37" s="123">
        <f t="shared" si="0"/>
        <v>0</v>
      </c>
      <c r="AA37" s="894" t="str">
        <f t="shared" si="1"/>
        <v/>
      </c>
      <c r="AB37" s="868"/>
    </row>
    <row r="38" spans="1:28" ht="18.75" customHeight="1">
      <c r="A38" s="116">
        <f t="shared" si="2"/>
        <v>12</v>
      </c>
      <c r="B38" s="47"/>
      <c r="C38" s="866" t="str">
        <f>IF(B38="","",VLOOKUP(B38,'MÃO OBRA'!A$2:G$436,2,FALSE))</f>
        <v/>
      </c>
      <c r="D38" s="867"/>
      <c r="E38" s="867"/>
      <c r="F38" s="867"/>
      <c r="G38" s="867"/>
      <c r="H38" s="867"/>
      <c r="I38" s="867"/>
      <c r="J38" s="867"/>
      <c r="K38" s="867"/>
      <c r="L38" s="867"/>
      <c r="M38" s="867"/>
      <c r="N38" s="867"/>
      <c r="O38" s="867"/>
      <c r="P38" s="867"/>
      <c r="Q38" s="867"/>
      <c r="R38" s="867"/>
      <c r="S38" s="867"/>
      <c r="T38" s="868"/>
      <c r="U38" s="117" t="str">
        <f>IF(B38="","",VLOOKUP(B38,'MÃO OBRA'!A$2:F$35064,3,FALSE))</f>
        <v/>
      </c>
      <c r="V38" s="118" t="str">
        <f>IF(B38="","",VLOOKUP(B38,'MÃO OBRA'!A$2:F$21664,6,FALSE))</f>
        <v/>
      </c>
      <c r="W38" s="124"/>
      <c r="X38" s="120" t="str">
        <f>IFERROR(VLOOKUP(B38,'MÃO OBRA'!A:H,8,FALSE),"")</f>
        <v/>
      </c>
      <c r="Y38" s="120" t="str">
        <f>IFERROR(VLOOKUP(B38,'MÃO OBRA'!A:I,9,FALSE),"")</f>
        <v/>
      </c>
      <c r="Z38" s="123">
        <f t="shared" si="0"/>
        <v>0</v>
      </c>
      <c r="AA38" s="894" t="str">
        <f t="shared" si="1"/>
        <v/>
      </c>
      <c r="AB38" s="868"/>
    </row>
    <row r="39" spans="1:28" ht="18.75" customHeight="1">
      <c r="A39" s="116">
        <f t="shared" si="2"/>
        <v>13</v>
      </c>
      <c r="B39" s="47"/>
      <c r="C39" s="866" t="str">
        <f>IF(B39="","",VLOOKUP(B39,'MÃO OBRA'!A$2:G$436,2,FALSE))</f>
        <v/>
      </c>
      <c r="D39" s="867"/>
      <c r="E39" s="867"/>
      <c r="F39" s="867"/>
      <c r="G39" s="867"/>
      <c r="H39" s="867"/>
      <c r="I39" s="867"/>
      <c r="J39" s="867"/>
      <c r="K39" s="867"/>
      <c r="L39" s="867"/>
      <c r="M39" s="867"/>
      <c r="N39" s="867"/>
      <c r="O39" s="867"/>
      <c r="P39" s="867"/>
      <c r="Q39" s="867"/>
      <c r="R39" s="867"/>
      <c r="S39" s="867"/>
      <c r="T39" s="868"/>
      <c r="U39" s="117" t="str">
        <f>IF(B39="","",VLOOKUP(B39,'MÃO OBRA'!A$2:F$35064,3,FALSE))</f>
        <v/>
      </c>
      <c r="V39" s="118" t="str">
        <f>IF(B39="","",VLOOKUP(B39,'MÃO OBRA'!A$2:F$21664,6,FALSE))</f>
        <v/>
      </c>
      <c r="W39" s="124"/>
      <c r="X39" s="120" t="str">
        <f>IFERROR(VLOOKUP(B39,'MÃO OBRA'!A:H,8,FALSE),"")</f>
        <v/>
      </c>
      <c r="Y39" s="120" t="str">
        <f>IFERROR(VLOOKUP(B39,'MÃO OBRA'!A:I,9,FALSE),"")</f>
        <v/>
      </c>
      <c r="Z39" s="123">
        <f t="shared" si="0"/>
        <v>0</v>
      </c>
      <c r="AA39" s="894" t="str">
        <f t="shared" si="1"/>
        <v/>
      </c>
      <c r="AB39" s="868"/>
    </row>
    <row r="40" spans="1:28" ht="18.75" customHeight="1">
      <c r="A40" s="116">
        <f t="shared" si="2"/>
        <v>14</v>
      </c>
      <c r="B40" s="47"/>
      <c r="C40" s="866" t="str">
        <f>IF(B40="","",VLOOKUP(B40,'MÃO OBRA'!A$2:G$436,2,FALSE))</f>
        <v/>
      </c>
      <c r="D40" s="867"/>
      <c r="E40" s="867"/>
      <c r="F40" s="867"/>
      <c r="G40" s="867"/>
      <c r="H40" s="867"/>
      <c r="I40" s="867"/>
      <c r="J40" s="867"/>
      <c r="K40" s="867"/>
      <c r="L40" s="867"/>
      <c r="M40" s="867"/>
      <c r="N40" s="867"/>
      <c r="O40" s="867"/>
      <c r="P40" s="867"/>
      <c r="Q40" s="867"/>
      <c r="R40" s="867"/>
      <c r="S40" s="867"/>
      <c r="T40" s="868"/>
      <c r="U40" s="117"/>
      <c r="V40" s="118" t="str">
        <f>IF(B40="","",VLOOKUP(B40,'MÃO OBRA'!A$2:F$21664,6,FALSE))</f>
        <v/>
      </c>
      <c r="W40" s="120"/>
      <c r="X40" s="120" t="str">
        <f>IFERROR(VLOOKUP(B40,'MÃO OBRA'!A:H,8,FALSE),"")</f>
        <v/>
      </c>
      <c r="Y40" s="120" t="str">
        <f>IFERROR(VLOOKUP(B40,'MÃO OBRA'!A:I,9,FALSE),"")</f>
        <v/>
      </c>
      <c r="Z40" s="123">
        <f t="shared" si="0"/>
        <v>0</v>
      </c>
      <c r="AA40" s="894" t="str">
        <f t="shared" si="1"/>
        <v/>
      </c>
      <c r="AB40" s="868"/>
    </row>
    <row r="41" spans="1:28" ht="18.75" customHeight="1">
      <c r="A41" s="116">
        <f t="shared" si="2"/>
        <v>15</v>
      </c>
      <c r="B41" s="47"/>
      <c r="C41" s="866" t="str">
        <f>IF(B41="","",VLOOKUP(B41,'MÃO OBRA'!A$2:G$436,2,FALSE))</f>
        <v/>
      </c>
      <c r="D41" s="867"/>
      <c r="E41" s="867"/>
      <c r="F41" s="867"/>
      <c r="G41" s="867"/>
      <c r="H41" s="867"/>
      <c r="I41" s="867"/>
      <c r="J41" s="867"/>
      <c r="K41" s="867"/>
      <c r="L41" s="867"/>
      <c r="M41" s="867"/>
      <c r="N41" s="867"/>
      <c r="O41" s="867"/>
      <c r="P41" s="867"/>
      <c r="Q41" s="867"/>
      <c r="R41" s="867"/>
      <c r="S41" s="867"/>
      <c r="T41" s="868"/>
      <c r="U41" s="117" t="str">
        <f>IF(B41="","",VLOOKUP(B41,'MÃO OBRA'!A$2:F$35064,3,FALSE))</f>
        <v/>
      </c>
      <c r="V41" s="118" t="str">
        <f>IF(B41="","",VLOOKUP(B41,'MÃO OBRA'!A$2:F$21664,6,FALSE))</f>
        <v/>
      </c>
      <c r="W41" s="120"/>
      <c r="X41" s="120" t="str">
        <f>IFERROR(VLOOKUP(B41,'MÃO OBRA'!A:H,8,FALSE),"")</f>
        <v/>
      </c>
      <c r="Y41" s="120" t="str">
        <f>IFERROR(VLOOKUP(B41,'MÃO OBRA'!A:I,9,FALSE),"")</f>
        <v/>
      </c>
      <c r="Z41" s="123">
        <f t="shared" si="0"/>
        <v>0</v>
      </c>
      <c r="AA41" s="894" t="str">
        <f t="shared" si="1"/>
        <v/>
      </c>
      <c r="AB41" s="868"/>
    </row>
    <row r="42" spans="1:28" ht="18.75" customHeight="1">
      <c r="A42" s="116">
        <f t="shared" si="2"/>
        <v>16</v>
      </c>
      <c r="B42" s="125"/>
      <c r="C42" s="866" t="str">
        <f>IF(B42="","",VLOOKUP(B42,'MÃO OBRA'!A$2:G$436,2,FALSE))</f>
        <v/>
      </c>
      <c r="D42" s="867"/>
      <c r="E42" s="867"/>
      <c r="F42" s="867"/>
      <c r="G42" s="867"/>
      <c r="H42" s="867"/>
      <c r="I42" s="867"/>
      <c r="J42" s="867"/>
      <c r="K42" s="867"/>
      <c r="L42" s="867"/>
      <c r="M42" s="867"/>
      <c r="N42" s="867"/>
      <c r="O42" s="867"/>
      <c r="P42" s="867"/>
      <c r="Q42" s="867"/>
      <c r="R42" s="867"/>
      <c r="S42" s="867"/>
      <c r="T42" s="868"/>
      <c r="U42" s="117" t="str">
        <f>IF(B42="","",VLOOKUP(B42,'MÃO OBRA'!A$2:F$35064,3,FALSE))</f>
        <v/>
      </c>
      <c r="V42" s="118" t="str">
        <f>IF(B42="","",VLOOKUP(B42,'MÃO OBRA'!A$2:F$21664,6,FALSE))</f>
        <v/>
      </c>
      <c r="W42" s="120"/>
      <c r="X42" s="120" t="str">
        <f>IFERROR(VLOOKUP(B42,'MÃO OBRA'!A:H,8,FALSE),"")</f>
        <v/>
      </c>
      <c r="Y42" s="120" t="str">
        <f>IFERROR(VLOOKUP(B42,'MÃO OBRA'!A:I,9,FALSE),"")</f>
        <v/>
      </c>
      <c r="Z42" s="123">
        <f t="shared" si="0"/>
        <v>0</v>
      </c>
      <c r="AA42" s="894" t="str">
        <f t="shared" si="1"/>
        <v/>
      </c>
      <c r="AB42" s="868"/>
    </row>
    <row r="43" spans="1:28" ht="18.75" customHeight="1">
      <c r="A43" s="116">
        <f t="shared" si="2"/>
        <v>17</v>
      </c>
      <c r="B43" s="125"/>
      <c r="C43" s="866" t="str">
        <f>IF(B43="","",VLOOKUP(B43,'MÃO OBRA'!A$2:G$436,2,FALSE))</f>
        <v/>
      </c>
      <c r="D43" s="867"/>
      <c r="E43" s="867"/>
      <c r="F43" s="867"/>
      <c r="G43" s="867"/>
      <c r="H43" s="867"/>
      <c r="I43" s="867"/>
      <c r="J43" s="867"/>
      <c r="K43" s="867"/>
      <c r="L43" s="867"/>
      <c r="M43" s="867"/>
      <c r="N43" s="867"/>
      <c r="O43" s="867"/>
      <c r="P43" s="867"/>
      <c r="Q43" s="867"/>
      <c r="R43" s="867"/>
      <c r="S43" s="867"/>
      <c r="T43" s="868"/>
      <c r="U43" s="117" t="str">
        <f>IF(B43="","",VLOOKUP(B43,'MÃO OBRA'!A$2:F$35064,3,FALSE))</f>
        <v/>
      </c>
      <c r="V43" s="118" t="str">
        <f>IF(B43="","",VLOOKUP(B43,'MÃO OBRA'!A$2:F$21664,6,FALSE))</f>
        <v/>
      </c>
      <c r="W43" s="120"/>
      <c r="X43" s="120" t="str">
        <f>IFERROR(VLOOKUP(B43,'MÃO OBRA'!A:H,8,FALSE),"")</f>
        <v/>
      </c>
      <c r="Y43" s="120" t="str">
        <f>IFERROR(VLOOKUP(B43,'MÃO OBRA'!A:I,9,FALSE),"")</f>
        <v/>
      </c>
      <c r="Z43" s="123">
        <f t="shared" si="0"/>
        <v>0</v>
      </c>
      <c r="AA43" s="894" t="str">
        <f t="shared" si="1"/>
        <v/>
      </c>
      <c r="AB43" s="868"/>
    </row>
    <row r="44" spans="1:28" ht="18.75" customHeight="1">
      <c r="A44" s="116">
        <f t="shared" si="2"/>
        <v>18</v>
      </c>
      <c r="B44" s="125"/>
      <c r="C44" s="866" t="str">
        <f>IF(B44="","",VLOOKUP(B44,'MÃO OBRA'!A$2:G$436,2,FALSE))</f>
        <v/>
      </c>
      <c r="D44" s="867"/>
      <c r="E44" s="867"/>
      <c r="F44" s="867"/>
      <c r="G44" s="867"/>
      <c r="H44" s="867"/>
      <c r="I44" s="867"/>
      <c r="J44" s="867"/>
      <c r="K44" s="867"/>
      <c r="L44" s="867"/>
      <c r="M44" s="867"/>
      <c r="N44" s="867"/>
      <c r="O44" s="867"/>
      <c r="P44" s="867"/>
      <c r="Q44" s="867"/>
      <c r="R44" s="867"/>
      <c r="S44" s="867"/>
      <c r="T44" s="868"/>
      <c r="U44" s="117" t="str">
        <f>IF(B44="","",VLOOKUP(B44,'MÃO OBRA'!A$2:F$35064,3,FALSE))</f>
        <v/>
      </c>
      <c r="V44" s="118" t="str">
        <f>IF(B44="","",VLOOKUP(B44,'MÃO OBRA'!A$2:F$21664,6,FALSE))</f>
        <v/>
      </c>
      <c r="W44" s="120"/>
      <c r="X44" s="120" t="str">
        <f>IFERROR(VLOOKUP(B44,'MÃO OBRA'!A:H,8,FALSE),"")</f>
        <v/>
      </c>
      <c r="Y44" s="120" t="str">
        <f>IFERROR(VLOOKUP(B44,'MÃO OBRA'!A:I,9,FALSE),"")</f>
        <v/>
      </c>
      <c r="Z44" s="123">
        <f t="shared" si="0"/>
        <v>0</v>
      </c>
      <c r="AA44" s="894" t="str">
        <f t="shared" si="1"/>
        <v/>
      </c>
      <c r="AB44" s="868"/>
    </row>
    <row r="45" spans="1:28" ht="18.75" customHeight="1">
      <c r="A45" s="872" t="s">
        <v>537</v>
      </c>
      <c r="B45" s="867"/>
      <c r="C45" s="867"/>
      <c r="D45" s="867"/>
      <c r="E45" s="867"/>
      <c r="F45" s="867"/>
      <c r="G45" s="867"/>
      <c r="H45" s="867"/>
      <c r="I45" s="867"/>
      <c r="J45" s="867"/>
      <c r="K45" s="867"/>
      <c r="L45" s="867"/>
      <c r="M45" s="867"/>
      <c r="N45" s="867"/>
      <c r="O45" s="867"/>
      <c r="P45" s="867"/>
      <c r="Q45" s="867"/>
      <c r="R45" s="867"/>
      <c r="S45" s="867"/>
      <c r="T45" s="867"/>
      <c r="U45" s="867"/>
      <c r="V45" s="867"/>
      <c r="W45" s="867"/>
      <c r="X45" s="867"/>
      <c r="Y45" s="867"/>
      <c r="Z45" s="868"/>
      <c r="AA45" s="895">
        <f>SUM(AA27:AB44)</f>
        <v>2641.9499999999994</v>
      </c>
      <c r="AB45" s="868"/>
    </row>
    <row r="46" spans="1:28" ht="18.75" customHeight="1">
      <c r="A46" s="897">
        <v>26378</v>
      </c>
      <c r="B46" s="868"/>
      <c r="C46" s="866" t="s">
        <v>453</v>
      </c>
      <c r="D46" s="867"/>
      <c r="E46" s="867"/>
      <c r="F46" s="867"/>
      <c r="G46" s="867"/>
      <c r="H46" s="867"/>
      <c r="I46" s="867"/>
      <c r="J46" s="867"/>
      <c r="K46" s="867"/>
      <c r="L46" s="867"/>
      <c r="M46" s="867"/>
      <c r="N46" s="867"/>
      <c r="O46" s="867"/>
      <c r="P46" s="867"/>
      <c r="Q46" s="867"/>
      <c r="R46" s="867"/>
      <c r="S46" s="867"/>
      <c r="T46" s="868"/>
      <c r="U46" s="117" t="s">
        <v>190</v>
      </c>
      <c r="V46" s="126" t="str">
        <f>IF(W46&gt;0,(243.02),"")</f>
        <v/>
      </c>
      <c r="W46" s="974"/>
      <c r="X46" s="867"/>
      <c r="Y46" s="868"/>
      <c r="Z46" s="123"/>
      <c r="AA46" s="895" t="e">
        <f>V46*W46</f>
        <v>#VALUE!</v>
      </c>
      <c r="AB46" s="868"/>
    </row>
    <row r="47" spans="1:28" ht="18.75" customHeight="1">
      <c r="A47" s="889">
        <v>26376</v>
      </c>
      <c r="B47" s="868"/>
      <c r="C47" s="866" t="s">
        <v>452</v>
      </c>
      <c r="D47" s="867"/>
      <c r="E47" s="867"/>
      <c r="F47" s="867"/>
      <c r="G47" s="867"/>
      <c r="H47" s="867"/>
      <c r="I47" s="867"/>
      <c r="J47" s="867"/>
      <c r="K47" s="867"/>
      <c r="L47" s="867"/>
      <c r="M47" s="867"/>
      <c r="N47" s="867"/>
      <c r="O47" s="867"/>
      <c r="P47" s="867"/>
      <c r="Q47" s="867"/>
      <c r="R47" s="867"/>
      <c r="S47" s="867"/>
      <c r="T47" s="868"/>
      <c r="U47" s="117" t="s">
        <v>451</v>
      </c>
      <c r="V47" s="127" t="str">
        <f>IF(W47&gt;0,(AA45*0.3),"")</f>
        <v/>
      </c>
      <c r="W47" s="900"/>
      <c r="X47" s="867"/>
      <c r="Y47" s="868"/>
      <c r="Z47" s="123"/>
      <c r="AA47" s="895" t="e">
        <f>V47*W47</f>
        <v>#VALUE!</v>
      </c>
      <c r="AB47" s="868"/>
    </row>
    <row r="48" spans="1:28" ht="18.75" customHeight="1">
      <c r="A48" s="889">
        <v>26377</v>
      </c>
      <c r="B48" s="868"/>
      <c r="C48" s="866" t="s">
        <v>450</v>
      </c>
      <c r="D48" s="867"/>
      <c r="E48" s="867"/>
      <c r="F48" s="867"/>
      <c r="G48" s="867"/>
      <c r="H48" s="867"/>
      <c r="I48" s="867"/>
      <c r="J48" s="867"/>
      <c r="K48" s="867"/>
      <c r="L48" s="867"/>
      <c r="M48" s="867"/>
      <c r="N48" s="867"/>
      <c r="O48" s="867"/>
      <c r="P48" s="867"/>
      <c r="Q48" s="867"/>
      <c r="R48" s="867"/>
      <c r="S48" s="867"/>
      <c r="T48" s="868"/>
      <c r="U48" s="117" t="s">
        <v>451</v>
      </c>
      <c r="V48" s="128" t="str">
        <f>IF(W48&gt;0,(AA45*0.5),"")</f>
        <v/>
      </c>
      <c r="W48" s="972"/>
      <c r="X48" s="867"/>
      <c r="Y48" s="868"/>
      <c r="Z48" s="123"/>
      <c r="AA48" s="895" t="e">
        <f>V48*W48</f>
        <v>#VALUE!</v>
      </c>
      <c r="AB48" s="868"/>
    </row>
    <row r="49" spans="1:28" ht="18.75" customHeight="1">
      <c r="A49" s="872" t="s">
        <v>536</v>
      </c>
      <c r="B49" s="867"/>
      <c r="C49" s="867"/>
      <c r="D49" s="867"/>
      <c r="E49" s="867"/>
      <c r="F49" s="867"/>
      <c r="G49" s="867"/>
      <c r="H49" s="867"/>
      <c r="I49" s="867"/>
      <c r="J49" s="867"/>
      <c r="K49" s="867"/>
      <c r="L49" s="867"/>
      <c r="M49" s="867"/>
      <c r="N49" s="867"/>
      <c r="O49" s="867"/>
      <c r="P49" s="867"/>
      <c r="Q49" s="867"/>
      <c r="R49" s="867"/>
      <c r="S49" s="867"/>
      <c r="T49" s="867"/>
      <c r="U49" s="867"/>
      <c r="V49" s="867"/>
      <c r="W49" s="867"/>
      <c r="X49" s="867"/>
      <c r="Y49" s="867"/>
      <c r="Z49" s="868"/>
      <c r="AA49" s="895" t="e">
        <f>SUM(AA45:AB48)</f>
        <v>#VALUE!</v>
      </c>
      <c r="AB49" s="868"/>
    </row>
    <row r="50" spans="1:28" ht="18.75" customHeight="1">
      <c r="A50" s="881" t="s">
        <v>531</v>
      </c>
      <c r="B50" s="876" t="s">
        <v>532</v>
      </c>
      <c r="C50" s="882" t="s">
        <v>538</v>
      </c>
      <c r="D50" s="883"/>
      <c r="E50" s="883"/>
      <c r="F50" s="883"/>
      <c r="G50" s="883"/>
      <c r="H50" s="883"/>
      <c r="I50" s="883"/>
      <c r="J50" s="883"/>
      <c r="K50" s="883"/>
      <c r="L50" s="883"/>
      <c r="M50" s="883"/>
      <c r="N50" s="883"/>
      <c r="O50" s="883"/>
      <c r="P50" s="883"/>
      <c r="Q50" s="883"/>
      <c r="R50" s="883"/>
      <c r="S50" s="883"/>
      <c r="T50" s="883"/>
      <c r="U50" s="884"/>
      <c r="V50" s="876" t="s">
        <v>13</v>
      </c>
      <c r="W50" s="899" t="s">
        <v>535</v>
      </c>
      <c r="X50" s="891"/>
      <c r="Y50" s="891"/>
      <c r="Z50" s="891"/>
      <c r="AA50" s="977"/>
      <c r="AB50" s="978"/>
    </row>
    <row r="51" spans="1:28" ht="18.75" customHeight="1">
      <c r="A51" s="877"/>
      <c r="B51" s="877"/>
      <c r="C51" s="885"/>
      <c r="D51" s="886"/>
      <c r="E51" s="886"/>
      <c r="F51" s="886"/>
      <c r="G51" s="886"/>
      <c r="H51" s="886"/>
      <c r="I51" s="886"/>
      <c r="J51" s="886"/>
      <c r="K51" s="886"/>
      <c r="L51" s="886"/>
      <c r="M51" s="886"/>
      <c r="N51" s="886"/>
      <c r="O51" s="886"/>
      <c r="P51" s="886"/>
      <c r="Q51" s="886"/>
      <c r="R51" s="886"/>
      <c r="S51" s="886"/>
      <c r="T51" s="886"/>
      <c r="U51" s="887"/>
      <c r="V51" s="877"/>
      <c r="W51" s="129"/>
      <c r="X51" s="129"/>
      <c r="Y51" s="129" t="str">
        <f>Y26</f>
        <v>Ret.</v>
      </c>
      <c r="Z51" s="130" t="s">
        <v>536</v>
      </c>
      <c r="AA51" s="880"/>
      <c r="AB51" s="868"/>
    </row>
    <row r="52" spans="1:28" ht="18.75" customHeight="1">
      <c r="A52" s="116">
        <v>1</v>
      </c>
      <c r="B52" s="131">
        <v>90055</v>
      </c>
      <c r="C52" s="866" t="str">
        <f>IF(B52="","",VLOOKUP(B52,MATERIAL!A:C,2,FALSE))</f>
        <v>TRANSF DISTR AER OMI 3F 13,8KV 220/127V 75KVA CL2 4TP</v>
      </c>
      <c r="D52" s="867"/>
      <c r="E52" s="867"/>
      <c r="F52" s="867"/>
      <c r="G52" s="867"/>
      <c r="H52" s="867"/>
      <c r="I52" s="867"/>
      <c r="J52" s="867"/>
      <c r="K52" s="867"/>
      <c r="L52" s="867"/>
      <c r="M52" s="867"/>
      <c r="N52" s="867"/>
      <c r="O52" s="867"/>
      <c r="P52" s="867"/>
      <c r="Q52" s="867"/>
      <c r="R52" s="867"/>
      <c r="S52" s="867"/>
      <c r="T52" s="867"/>
      <c r="U52" s="868"/>
      <c r="V52" s="132" t="e">
        <f>IF(B52="","",VLOOKUP(B52,MATERIAL!A$3:C$531,3,FALSE))</f>
        <v>#N/A</v>
      </c>
      <c r="W52" s="133">
        <v>1</v>
      </c>
      <c r="X52" s="134"/>
      <c r="Y52" s="134"/>
      <c r="Z52" s="135">
        <f t="shared" ref="Z52:Z73" si="3">SUM(W52:Y52)</f>
        <v>1</v>
      </c>
      <c r="AA52" s="894" t="e">
        <f t="shared" ref="AA52:AA69" si="4">IF(B52="","",(V52*Z52))</f>
        <v>#N/A</v>
      </c>
      <c r="AB52" s="868"/>
    </row>
    <row r="53" spans="1:28" ht="18.75" customHeight="1">
      <c r="A53" s="116">
        <v>2</v>
      </c>
      <c r="B53" s="131">
        <v>90210</v>
      </c>
      <c r="C53" s="866" t="str">
        <f>IF(B53="","",VLOOKUP(B53,MATERIAL!A:C,2,FALSE))</f>
        <v>PARA-RAIOS DISTR MT POLIM 12KV 10KA OX ZN S/CENT S/FERR</v>
      </c>
      <c r="D53" s="867"/>
      <c r="E53" s="867"/>
      <c r="F53" s="867"/>
      <c r="G53" s="867"/>
      <c r="H53" s="867"/>
      <c r="I53" s="867"/>
      <c r="J53" s="867"/>
      <c r="K53" s="867"/>
      <c r="L53" s="867"/>
      <c r="M53" s="867"/>
      <c r="N53" s="867"/>
      <c r="O53" s="867"/>
      <c r="P53" s="867"/>
      <c r="Q53" s="867"/>
      <c r="R53" s="867"/>
      <c r="S53" s="867"/>
      <c r="T53" s="867"/>
      <c r="U53" s="868"/>
      <c r="V53" s="132" t="str">
        <f>IF(B53="","",VLOOKUP(B53,MATERIAL!A$3:C$531,3,FALSE))</f>
        <v>UN</v>
      </c>
      <c r="W53" s="133">
        <v>3</v>
      </c>
      <c r="X53" s="134"/>
      <c r="Y53" s="134"/>
      <c r="Z53" s="135">
        <f t="shared" si="3"/>
        <v>3</v>
      </c>
      <c r="AA53" s="894" t="e">
        <f t="shared" si="4"/>
        <v>#VALUE!</v>
      </c>
      <c r="AB53" s="868"/>
    </row>
    <row r="54" spans="1:28" ht="18.75" customHeight="1">
      <c r="A54" s="116">
        <v>3</v>
      </c>
      <c r="B54" s="131">
        <v>90207</v>
      </c>
      <c r="C54" s="866" t="str">
        <f>IF(B54="","",VLOOKUP(B54,MATERIAL!A:C,2,FALSE))</f>
        <v>PARA-RAIOS DISTR BT POLIM 127V 10KA OX MT S/CENT RSI</v>
      </c>
      <c r="D54" s="867"/>
      <c r="E54" s="867"/>
      <c r="F54" s="867"/>
      <c r="G54" s="867"/>
      <c r="H54" s="867"/>
      <c r="I54" s="867"/>
      <c r="J54" s="867"/>
      <c r="K54" s="867"/>
      <c r="L54" s="867"/>
      <c r="M54" s="867"/>
      <c r="N54" s="867"/>
      <c r="O54" s="867"/>
      <c r="P54" s="867"/>
      <c r="Q54" s="867"/>
      <c r="R54" s="867"/>
      <c r="S54" s="867"/>
      <c r="T54" s="867"/>
      <c r="U54" s="868"/>
      <c r="V54" s="132" t="str">
        <f>IF(B54="","",VLOOKUP(B54,MATERIAL!A$3:C$531,3,FALSE))</f>
        <v>PC</v>
      </c>
      <c r="W54" s="133">
        <v>3</v>
      </c>
      <c r="X54" s="134"/>
      <c r="Y54" s="134"/>
      <c r="Z54" s="135">
        <f t="shared" si="3"/>
        <v>3</v>
      </c>
      <c r="AA54" s="894" t="e">
        <f t="shared" si="4"/>
        <v>#VALUE!</v>
      </c>
      <c r="AB54" s="868"/>
    </row>
    <row r="55" spans="1:28" ht="18.75" customHeight="1">
      <c r="A55" s="116">
        <v>4</v>
      </c>
      <c r="B55" s="131">
        <v>90500</v>
      </c>
      <c r="C55" s="866" t="str">
        <f>IF(B55="","",VLOOKUP(B55,MATERIAL!A:C,2,FALSE))</f>
        <v>ELO FUSIVEL DISTRIBUICAO TIPO H 3A 500MM</v>
      </c>
      <c r="D55" s="867"/>
      <c r="E55" s="867"/>
      <c r="F55" s="867"/>
      <c r="G55" s="867"/>
      <c r="H55" s="867"/>
      <c r="I55" s="867"/>
      <c r="J55" s="867"/>
      <c r="K55" s="867"/>
      <c r="L55" s="867"/>
      <c r="M55" s="867"/>
      <c r="N55" s="867"/>
      <c r="O55" s="867"/>
      <c r="P55" s="867"/>
      <c r="Q55" s="867"/>
      <c r="R55" s="867"/>
      <c r="S55" s="867"/>
      <c r="T55" s="867"/>
      <c r="U55" s="868"/>
      <c r="V55" s="132" t="str">
        <f>IF(B55="","",VLOOKUP(B55,MATERIAL!A$3:C$531,3,FALSE))</f>
        <v>PÇ</v>
      </c>
      <c r="W55" s="133">
        <v>3</v>
      </c>
      <c r="X55" s="134"/>
      <c r="Y55" s="134"/>
      <c r="Z55" s="135">
        <f t="shared" si="3"/>
        <v>3</v>
      </c>
      <c r="AA55" s="894" t="e">
        <f t="shared" si="4"/>
        <v>#VALUE!</v>
      </c>
      <c r="AB55" s="868"/>
    </row>
    <row r="56" spans="1:28" ht="18.75" customHeight="1">
      <c r="A56" s="116">
        <v>5</v>
      </c>
      <c r="B56" s="131">
        <v>90342</v>
      </c>
      <c r="C56" s="866" t="str">
        <f>IF(B56="","",VLOOKUP(B56,MATERIAL!A:C,2,FALSE))</f>
        <v>CONECT TERM ESTRANG CB/BAR ALUM 2F 123X25MM 11.20-12.30MM</v>
      </c>
      <c r="D56" s="867"/>
      <c r="E56" s="867"/>
      <c r="F56" s="867"/>
      <c r="G56" s="867"/>
      <c r="H56" s="867"/>
      <c r="I56" s="867"/>
      <c r="J56" s="867"/>
      <c r="K56" s="867"/>
      <c r="L56" s="867"/>
      <c r="M56" s="867"/>
      <c r="N56" s="867"/>
      <c r="O56" s="867"/>
      <c r="P56" s="867"/>
      <c r="Q56" s="867"/>
      <c r="R56" s="867"/>
      <c r="S56" s="867"/>
      <c r="T56" s="867"/>
      <c r="U56" s="868"/>
      <c r="V56" s="132" t="s">
        <v>13</v>
      </c>
      <c r="W56" s="133">
        <v>4</v>
      </c>
      <c r="X56" s="134"/>
      <c r="Y56" s="134"/>
      <c r="Z56" s="135">
        <f t="shared" si="3"/>
        <v>4</v>
      </c>
      <c r="AA56" s="894" t="e">
        <f t="shared" si="4"/>
        <v>#VALUE!</v>
      </c>
      <c r="AB56" s="868"/>
    </row>
    <row r="57" spans="1:28" ht="18.75" customHeight="1">
      <c r="A57" s="116">
        <v>6</v>
      </c>
      <c r="B57" s="131">
        <v>90294</v>
      </c>
      <c r="C57" s="866" t="str">
        <f>IF(B57="","",VLOOKUP(B57,MATERIAL!A:C,2,FALSE))</f>
        <v>CABO COBR PROT SPL XLPE 1F 15,0KV 16MM2 BLOQ CNZ</v>
      </c>
      <c r="D57" s="867"/>
      <c r="E57" s="867"/>
      <c r="F57" s="867"/>
      <c r="G57" s="867"/>
      <c r="H57" s="867"/>
      <c r="I57" s="867"/>
      <c r="J57" s="867"/>
      <c r="K57" s="867"/>
      <c r="L57" s="867"/>
      <c r="M57" s="867"/>
      <c r="N57" s="867"/>
      <c r="O57" s="867"/>
      <c r="P57" s="867"/>
      <c r="Q57" s="867"/>
      <c r="R57" s="867"/>
      <c r="S57" s="867"/>
      <c r="T57" s="867"/>
      <c r="U57" s="868"/>
      <c r="V57" s="132" t="str">
        <f>IF(B57="","",VLOOKUP(B57,MATERIAL!A$3:C$531,3,FALSE))</f>
        <v>M</v>
      </c>
      <c r="W57" s="133">
        <v>6</v>
      </c>
      <c r="X57" s="134"/>
      <c r="Y57" s="134"/>
      <c r="Z57" s="135">
        <f t="shared" si="3"/>
        <v>6</v>
      </c>
      <c r="AA57" s="894" t="e">
        <f t="shared" si="4"/>
        <v>#VALUE!</v>
      </c>
      <c r="AB57" s="868"/>
    </row>
    <row r="58" spans="1:28" ht="18.75" customHeight="1">
      <c r="A58" s="116">
        <v>7</v>
      </c>
      <c r="B58" s="131">
        <v>91462</v>
      </c>
      <c r="C58" s="866" t="str">
        <f>IF(B58="","",VLOOKUP(B58,MATERIAL!A:C,2,FALSE))</f>
        <v>CABO COBRE ISOLAD 450/750V BWF/PVC 120MM2 CL2/4/5 PRT</v>
      </c>
      <c r="D58" s="867"/>
      <c r="E58" s="867"/>
      <c r="F58" s="867"/>
      <c r="G58" s="867"/>
      <c r="H58" s="867"/>
      <c r="I58" s="867"/>
      <c r="J58" s="867"/>
      <c r="K58" s="867"/>
      <c r="L58" s="867"/>
      <c r="M58" s="867"/>
      <c r="N58" s="867"/>
      <c r="O58" s="867"/>
      <c r="P58" s="867"/>
      <c r="Q58" s="867"/>
      <c r="R58" s="867"/>
      <c r="S58" s="867"/>
      <c r="T58" s="867"/>
      <c r="U58" s="868"/>
      <c r="V58" s="132" t="str">
        <f>IF(B58="","",VLOOKUP(B58,MATERIAL!A$3:C$531,3,FALSE))</f>
        <v>M</v>
      </c>
      <c r="W58" s="149">
        <v>6</v>
      </c>
      <c r="X58" s="136"/>
      <c r="Y58" s="136"/>
      <c r="Z58" s="135">
        <f t="shared" si="3"/>
        <v>6</v>
      </c>
      <c r="AA58" s="894" t="e">
        <f t="shared" si="4"/>
        <v>#VALUE!</v>
      </c>
      <c r="AB58" s="868"/>
    </row>
    <row r="59" spans="1:28" ht="18.75" customHeight="1">
      <c r="A59" s="116">
        <v>8</v>
      </c>
      <c r="B59" s="131">
        <v>3098</v>
      </c>
      <c r="C59" s="866" t="str">
        <f>IF(B59="","",VLOOKUP(B59,MATERIAL!A:C,2,FALSE))</f>
        <v>CABO ISOL 750V COBRE PVC/BWF 10MM2 1F CL2 PT</v>
      </c>
      <c r="D59" s="867"/>
      <c r="E59" s="867"/>
      <c r="F59" s="867"/>
      <c r="G59" s="867"/>
      <c r="H59" s="867"/>
      <c r="I59" s="867"/>
      <c r="J59" s="867"/>
      <c r="K59" s="867"/>
      <c r="L59" s="867"/>
      <c r="M59" s="867"/>
      <c r="N59" s="867"/>
      <c r="O59" s="867"/>
      <c r="P59" s="867"/>
      <c r="Q59" s="867"/>
      <c r="R59" s="867"/>
      <c r="S59" s="867"/>
      <c r="T59" s="867"/>
      <c r="U59" s="868"/>
      <c r="V59" s="132" t="str">
        <f>IF(B59="","",VLOOKUP(B59,MATERIAL!A$3:C$531,3,FALSE))</f>
        <v>M</v>
      </c>
      <c r="W59" s="149">
        <v>5</v>
      </c>
      <c r="X59" s="136"/>
      <c r="Y59" s="136"/>
      <c r="Z59" s="135">
        <f t="shared" si="3"/>
        <v>5</v>
      </c>
      <c r="AA59" s="894" t="e">
        <f t="shared" si="4"/>
        <v>#VALUE!</v>
      </c>
      <c r="AB59" s="868"/>
    </row>
    <row r="60" spans="1:28" ht="18.75" customHeight="1">
      <c r="A60" s="116">
        <v>9</v>
      </c>
      <c r="B60" s="131">
        <v>90355</v>
      </c>
      <c r="C60" s="866" t="str">
        <f>IF(B60="","",VLOOKUP(B60,MATERIAL!A:C,2,FALSE))</f>
        <v xml:space="preserve">CONECTOR DERIV PERFURAT C/C 1,0KV 16-120MM2/4-35MM2 </v>
      </c>
      <c r="D60" s="867"/>
      <c r="E60" s="867"/>
      <c r="F60" s="867"/>
      <c r="G60" s="867"/>
      <c r="H60" s="867"/>
      <c r="I60" s="867"/>
      <c r="J60" s="867"/>
      <c r="K60" s="867"/>
      <c r="L60" s="867"/>
      <c r="M60" s="867"/>
      <c r="N60" s="867"/>
      <c r="O60" s="867"/>
      <c r="P60" s="867"/>
      <c r="Q60" s="867"/>
      <c r="R60" s="867"/>
      <c r="S60" s="867"/>
      <c r="T60" s="867"/>
      <c r="U60" s="868"/>
      <c r="V60" s="132" t="str">
        <f>IF(B60="","",VLOOKUP(B60,MATERIAL!A$3:C$531,3,FALSE))</f>
        <v>UN</v>
      </c>
      <c r="W60" s="149">
        <v>4</v>
      </c>
      <c r="X60" s="136"/>
      <c r="Y60" s="136"/>
      <c r="Z60" s="135">
        <f t="shared" si="3"/>
        <v>4</v>
      </c>
      <c r="AA60" s="894" t="e">
        <f t="shared" si="4"/>
        <v>#VALUE!</v>
      </c>
      <c r="AB60" s="868"/>
    </row>
    <row r="61" spans="1:28" ht="18.75" customHeight="1">
      <c r="A61" s="116">
        <v>10</v>
      </c>
      <c r="B61" s="47">
        <v>90357</v>
      </c>
      <c r="C61" s="866" t="str">
        <f>IF(B61="","",VLOOKUP(B61,MATERIAL!A:C,2,FALSE))</f>
        <v xml:space="preserve">CONECTOR DERIV PERFURAT C/C 1,0KV 70-240MM2/70-240MM2 </v>
      </c>
      <c r="D61" s="867"/>
      <c r="E61" s="867"/>
      <c r="F61" s="867"/>
      <c r="G61" s="867"/>
      <c r="H61" s="867"/>
      <c r="I61" s="867"/>
      <c r="J61" s="867"/>
      <c r="K61" s="867"/>
      <c r="L61" s="867"/>
      <c r="M61" s="867"/>
      <c r="N61" s="867"/>
      <c r="O61" s="867"/>
      <c r="P61" s="867"/>
      <c r="Q61" s="867"/>
      <c r="R61" s="867"/>
      <c r="S61" s="867"/>
      <c r="T61" s="867"/>
      <c r="U61" s="868"/>
      <c r="V61" s="132" t="str">
        <f>IF(B61="","",VLOOKUP(B61,MATERIAL!A$3:C$531,3,FALSE))</f>
        <v>PC</v>
      </c>
      <c r="W61" s="149">
        <v>4</v>
      </c>
      <c r="X61" s="136"/>
      <c r="Y61" s="136"/>
      <c r="Z61" s="135">
        <f t="shared" si="3"/>
        <v>4</v>
      </c>
      <c r="AA61" s="894" t="e">
        <f t="shared" si="4"/>
        <v>#VALUE!</v>
      </c>
      <c r="AB61" s="868"/>
    </row>
    <row r="62" spans="1:28" ht="18.75" customHeight="1">
      <c r="A62" s="116">
        <v>11</v>
      </c>
      <c r="B62" s="47">
        <v>90586</v>
      </c>
      <c r="C62" s="866" t="str">
        <f>IF(B62="","",VLOOKUP(B62,MATERIAL!A:C,2,FALSE))</f>
        <v>CAPA PROT PEAD TRANSF MT 15/36,2KV 135X110MM</v>
      </c>
      <c r="D62" s="867"/>
      <c r="E62" s="867"/>
      <c r="F62" s="867"/>
      <c r="G62" s="867"/>
      <c r="H62" s="867"/>
      <c r="I62" s="867"/>
      <c r="J62" s="867"/>
      <c r="K62" s="867"/>
      <c r="L62" s="867"/>
      <c r="M62" s="867"/>
      <c r="N62" s="867"/>
      <c r="O62" s="867"/>
      <c r="P62" s="867"/>
      <c r="Q62" s="867"/>
      <c r="R62" s="867"/>
      <c r="S62" s="867"/>
      <c r="T62" s="867"/>
      <c r="U62" s="868"/>
      <c r="V62" s="132" t="str">
        <f>IF(B62="","",VLOOKUP(B62,MATERIAL!A$3:C$531,3,FALSE))</f>
        <v>UN</v>
      </c>
      <c r="W62" s="137">
        <v>6</v>
      </c>
      <c r="X62" s="136"/>
      <c r="Y62" s="136"/>
      <c r="Z62" s="135">
        <f t="shared" si="3"/>
        <v>6</v>
      </c>
      <c r="AA62" s="894" t="e">
        <f t="shared" si="4"/>
        <v>#VALUE!</v>
      </c>
      <c r="AB62" s="868"/>
    </row>
    <row r="63" spans="1:28" ht="18.75" customHeight="1">
      <c r="A63" s="116">
        <v>12</v>
      </c>
      <c r="B63" s="47"/>
      <c r="C63" s="866" t="str">
        <f>IF(B63="","",VLOOKUP(B63,MATERIAL!A:C,2,FALSE))</f>
        <v/>
      </c>
      <c r="D63" s="867"/>
      <c r="E63" s="867"/>
      <c r="F63" s="867"/>
      <c r="G63" s="867"/>
      <c r="H63" s="867"/>
      <c r="I63" s="867"/>
      <c r="J63" s="867"/>
      <c r="K63" s="867"/>
      <c r="L63" s="867"/>
      <c r="M63" s="867"/>
      <c r="N63" s="867"/>
      <c r="O63" s="867"/>
      <c r="P63" s="867"/>
      <c r="Q63" s="867"/>
      <c r="R63" s="867"/>
      <c r="S63" s="867"/>
      <c r="T63" s="867"/>
      <c r="U63" s="868"/>
      <c r="V63" s="132" t="str">
        <f>IF(B63="","",VLOOKUP(B63,MATERIAL!A$3:C$531,3,FALSE))</f>
        <v/>
      </c>
      <c r="W63" s="137"/>
      <c r="X63" s="136"/>
      <c r="Y63" s="136"/>
      <c r="Z63" s="135">
        <f t="shared" si="3"/>
        <v>0</v>
      </c>
      <c r="AA63" s="894" t="str">
        <f t="shared" si="4"/>
        <v/>
      </c>
      <c r="AB63" s="868"/>
    </row>
    <row r="64" spans="1:28" ht="18.75" customHeight="1">
      <c r="A64" s="116">
        <v>13</v>
      </c>
      <c r="B64" s="47"/>
      <c r="C64" s="866" t="str">
        <f>IF(B64="","",VLOOKUP(B64,MATERIAL!A:C,2,FALSE))</f>
        <v/>
      </c>
      <c r="D64" s="867"/>
      <c r="E64" s="867"/>
      <c r="F64" s="867"/>
      <c r="G64" s="867"/>
      <c r="H64" s="867"/>
      <c r="I64" s="867"/>
      <c r="J64" s="867"/>
      <c r="K64" s="867"/>
      <c r="L64" s="867"/>
      <c r="M64" s="867"/>
      <c r="N64" s="867"/>
      <c r="O64" s="867"/>
      <c r="P64" s="867"/>
      <c r="Q64" s="867"/>
      <c r="R64" s="867"/>
      <c r="S64" s="867"/>
      <c r="T64" s="867"/>
      <c r="U64" s="868"/>
      <c r="V64" s="132" t="str">
        <f>IF(B64="","",VLOOKUP(B64,MATERIAL!A$3:C$531,3,FALSE))</f>
        <v/>
      </c>
      <c r="W64" s="136"/>
      <c r="X64" s="136"/>
      <c r="Y64" s="136"/>
      <c r="Z64" s="135">
        <f t="shared" si="3"/>
        <v>0</v>
      </c>
      <c r="AA64" s="894" t="str">
        <f t="shared" si="4"/>
        <v/>
      </c>
      <c r="AB64" s="868"/>
    </row>
    <row r="65" spans="1:28" ht="18.75" customHeight="1">
      <c r="A65" s="116">
        <v>14</v>
      </c>
      <c r="B65" s="138"/>
      <c r="C65" s="866" t="str">
        <f>IF(B65="","",VLOOKUP(B65,MATERIAL!A:C,2,FALSE))</f>
        <v/>
      </c>
      <c r="D65" s="867"/>
      <c r="E65" s="867"/>
      <c r="F65" s="867"/>
      <c r="G65" s="867"/>
      <c r="H65" s="867"/>
      <c r="I65" s="867"/>
      <c r="J65" s="867"/>
      <c r="K65" s="867"/>
      <c r="L65" s="867"/>
      <c r="M65" s="867"/>
      <c r="N65" s="867"/>
      <c r="O65" s="867"/>
      <c r="P65" s="867"/>
      <c r="Q65" s="867"/>
      <c r="R65" s="867"/>
      <c r="S65" s="867"/>
      <c r="T65" s="867"/>
      <c r="U65" s="868"/>
      <c r="V65" s="132" t="str">
        <f>IF(B65="","",VLOOKUP(B65,MATERIAL!A$3:C$531,3,FALSE))</f>
        <v/>
      </c>
      <c r="W65" s="137"/>
      <c r="X65" s="136"/>
      <c r="Y65" s="136"/>
      <c r="Z65" s="135">
        <f t="shared" si="3"/>
        <v>0</v>
      </c>
      <c r="AA65" s="894" t="str">
        <f t="shared" si="4"/>
        <v/>
      </c>
      <c r="AB65" s="868"/>
    </row>
    <row r="66" spans="1:28" ht="18.75" customHeight="1">
      <c r="A66" s="116">
        <v>15</v>
      </c>
      <c r="B66" s="138"/>
      <c r="C66" s="866" t="str">
        <f>IF(B66="","",VLOOKUP(B66,MATERIAL!A:C,2,FALSE))</f>
        <v/>
      </c>
      <c r="D66" s="867"/>
      <c r="E66" s="867"/>
      <c r="F66" s="867"/>
      <c r="G66" s="867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8"/>
      <c r="V66" s="132" t="str">
        <f>IF(B66="","",VLOOKUP(B66,MATERIAL!A$3:C$531,3,FALSE))</f>
        <v/>
      </c>
      <c r="W66" s="137"/>
      <c r="X66" s="136"/>
      <c r="Y66" s="136"/>
      <c r="Z66" s="135">
        <f t="shared" si="3"/>
        <v>0</v>
      </c>
      <c r="AA66" s="894" t="str">
        <f t="shared" si="4"/>
        <v/>
      </c>
      <c r="AB66" s="868"/>
    </row>
    <row r="67" spans="1:28" ht="18.75" customHeight="1">
      <c r="A67" s="116">
        <v>16</v>
      </c>
      <c r="B67" s="138"/>
      <c r="C67" s="866" t="str">
        <f>IF(B67="","",VLOOKUP(B67,MATERIAL!A:C,2,FALSE))</f>
        <v/>
      </c>
      <c r="D67" s="867"/>
      <c r="E67" s="867"/>
      <c r="F67" s="867"/>
      <c r="G67" s="867"/>
      <c r="H67" s="867"/>
      <c r="I67" s="867"/>
      <c r="J67" s="867"/>
      <c r="K67" s="867"/>
      <c r="L67" s="867"/>
      <c r="M67" s="867"/>
      <c r="N67" s="867"/>
      <c r="O67" s="867"/>
      <c r="P67" s="867"/>
      <c r="Q67" s="867"/>
      <c r="R67" s="867"/>
      <c r="S67" s="867"/>
      <c r="T67" s="867"/>
      <c r="U67" s="868"/>
      <c r="V67" s="132" t="str">
        <f>IF(B67="","",VLOOKUP(B67,MATERIAL!A$3:C$531,3,FALSE))</f>
        <v/>
      </c>
      <c r="W67" s="137"/>
      <c r="X67" s="136"/>
      <c r="Y67" s="136"/>
      <c r="Z67" s="135">
        <f t="shared" si="3"/>
        <v>0</v>
      </c>
      <c r="AA67" s="894" t="str">
        <f t="shared" si="4"/>
        <v/>
      </c>
      <c r="AB67" s="868"/>
    </row>
    <row r="68" spans="1:28" ht="18.75" customHeight="1">
      <c r="A68" s="116">
        <v>17</v>
      </c>
      <c r="B68" s="138"/>
      <c r="C68" s="866" t="str">
        <f>IF(B68="","",VLOOKUP(B68,MATERIAL!A:C,2,FALSE))</f>
        <v/>
      </c>
      <c r="D68" s="867"/>
      <c r="E68" s="867"/>
      <c r="F68" s="867"/>
      <c r="G68" s="867"/>
      <c r="H68" s="867"/>
      <c r="I68" s="867"/>
      <c r="J68" s="867"/>
      <c r="K68" s="867"/>
      <c r="L68" s="867"/>
      <c r="M68" s="867"/>
      <c r="N68" s="867"/>
      <c r="O68" s="867"/>
      <c r="P68" s="867"/>
      <c r="Q68" s="867"/>
      <c r="R68" s="867"/>
      <c r="S68" s="867"/>
      <c r="T68" s="867"/>
      <c r="U68" s="868"/>
      <c r="V68" s="132" t="str">
        <f>IF(B68="","",VLOOKUP(B68,MATERIAL!A$3:C$531,3,FALSE))</f>
        <v/>
      </c>
      <c r="W68" s="136"/>
      <c r="X68" s="136"/>
      <c r="Y68" s="136"/>
      <c r="Z68" s="135">
        <f t="shared" si="3"/>
        <v>0</v>
      </c>
      <c r="AA68" s="894" t="str">
        <f t="shared" si="4"/>
        <v/>
      </c>
      <c r="AB68" s="868"/>
    </row>
    <row r="69" spans="1:28" ht="18.75" customHeight="1">
      <c r="A69" s="116">
        <v>18</v>
      </c>
      <c r="B69" s="139"/>
      <c r="C69" s="866" t="str">
        <f>IF(B69="","",VLOOKUP(B69,MATERIAL!A:C,2,FALSE))</f>
        <v/>
      </c>
      <c r="D69" s="867"/>
      <c r="E69" s="867"/>
      <c r="F69" s="867"/>
      <c r="G69" s="867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8"/>
      <c r="V69" s="132" t="str">
        <f>IF(B69="","",VLOOKUP(B69,MATERIAL!A$3:C$531,3,FALSE))</f>
        <v/>
      </c>
      <c r="W69" s="136"/>
      <c r="X69" s="136"/>
      <c r="Y69" s="136"/>
      <c r="Z69" s="135">
        <f t="shared" si="3"/>
        <v>0</v>
      </c>
      <c r="AA69" s="894" t="str">
        <f t="shared" si="4"/>
        <v/>
      </c>
      <c r="AB69" s="868"/>
    </row>
    <row r="70" spans="1:28" ht="18.75" customHeight="1">
      <c r="A70" s="116">
        <v>19</v>
      </c>
      <c r="B70" s="139"/>
      <c r="C70" s="866" t="str">
        <f>IF(B70="","",VLOOKUP(B70,MATERIAL!A:C,2,FALSE))</f>
        <v/>
      </c>
      <c r="D70" s="867"/>
      <c r="E70" s="867"/>
      <c r="F70" s="867"/>
      <c r="G70" s="867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8"/>
      <c r="V70" s="132" t="str">
        <f>IF(B70="","",VLOOKUP(B70,MATERIAL!A$3:C$531,3,FALSE))</f>
        <v/>
      </c>
      <c r="W70" s="136"/>
      <c r="X70" s="136"/>
      <c r="Y70" s="136"/>
      <c r="Z70" s="135">
        <f t="shared" si="3"/>
        <v>0</v>
      </c>
      <c r="AA70" s="140"/>
      <c r="AB70" s="141"/>
    </row>
    <row r="71" spans="1:28" ht="18.75" customHeight="1">
      <c r="A71" s="116">
        <v>20</v>
      </c>
      <c r="B71" s="139"/>
      <c r="C71" s="866" t="str">
        <f>IF(B71="","",VLOOKUP(B71,MATERIAL!A:C,2,FALSE))</f>
        <v/>
      </c>
      <c r="D71" s="867"/>
      <c r="E71" s="867"/>
      <c r="F71" s="867"/>
      <c r="G71" s="867"/>
      <c r="H71" s="867"/>
      <c r="I71" s="867"/>
      <c r="J71" s="867"/>
      <c r="K71" s="867"/>
      <c r="L71" s="867"/>
      <c r="M71" s="867"/>
      <c r="N71" s="867"/>
      <c r="O71" s="867"/>
      <c r="P71" s="867"/>
      <c r="Q71" s="867"/>
      <c r="R71" s="867"/>
      <c r="S71" s="867"/>
      <c r="T71" s="867"/>
      <c r="U71" s="868"/>
      <c r="V71" s="132" t="str">
        <f>IF(B71="","",VLOOKUP(B71,MATERIAL!A$3:C$531,3,FALSE))</f>
        <v/>
      </c>
      <c r="W71" s="136"/>
      <c r="X71" s="136"/>
      <c r="Y71" s="136"/>
      <c r="Z71" s="135">
        <f t="shared" si="3"/>
        <v>0</v>
      </c>
      <c r="AA71" s="140"/>
      <c r="AB71" s="141"/>
    </row>
    <row r="72" spans="1:28" ht="18.75" customHeight="1">
      <c r="A72" s="116">
        <v>21</v>
      </c>
      <c r="B72" s="139"/>
      <c r="C72" s="866" t="str">
        <f>IF(B72="","",VLOOKUP(B72,MATERIAL!A:C,2,FALSE))</f>
        <v/>
      </c>
      <c r="D72" s="867"/>
      <c r="E72" s="867"/>
      <c r="F72" s="867"/>
      <c r="G72" s="867"/>
      <c r="H72" s="867"/>
      <c r="I72" s="867"/>
      <c r="J72" s="867"/>
      <c r="K72" s="867"/>
      <c r="L72" s="867"/>
      <c r="M72" s="867"/>
      <c r="N72" s="867"/>
      <c r="O72" s="867"/>
      <c r="P72" s="867"/>
      <c r="Q72" s="867"/>
      <c r="R72" s="867"/>
      <c r="S72" s="867"/>
      <c r="T72" s="867"/>
      <c r="U72" s="868"/>
      <c r="V72" s="132" t="str">
        <f>IF(B72="","",VLOOKUP(B72,MATERIAL!A$3:C$531,3,FALSE))</f>
        <v/>
      </c>
      <c r="W72" s="136"/>
      <c r="X72" s="136"/>
      <c r="Y72" s="136"/>
      <c r="Z72" s="135">
        <f t="shared" si="3"/>
        <v>0</v>
      </c>
      <c r="AA72" s="140"/>
      <c r="AB72" s="141"/>
    </row>
    <row r="73" spans="1:28" ht="18.75" customHeight="1">
      <c r="A73" s="116">
        <v>22</v>
      </c>
      <c r="B73" s="139"/>
      <c r="C73" s="866" t="str">
        <f>IF(B73="","",VLOOKUP(B73,MATERIAL!A:C,2,FALSE))</f>
        <v/>
      </c>
      <c r="D73" s="867"/>
      <c r="E73" s="867"/>
      <c r="F73" s="867"/>
      <c r="G73" s="867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867"/>
      <c r="S73" s="867"/>
      <c r="T73" s="867"/>
      <c r="U73" s="868"/>
      <c r="V73" s="132" t="str">
        <f>IF(B73="","",VLOOKUP(B73,MATERIAL!A$3:C$531,3,FALSE))</f>
        <v/>
      </c>
      <c r="W73" s="136"/>
      <c r="X73" s="136"/>
      <c r="Y73" s="136"/>
      <c r="Z73" s="135">
        <f t="shared" si="3"/>
        <v>0</v>
      </c>
      <c r="AA73" s="140"/>
      <c r="AB73" s="141"/>
    </row>
    <row r="74" spans="1:28" ht="18.75" customHeight="1">
      <c r="A74" s="881" t="s">
        <v>531</v>
      </c>
      <c r="B74" s="876" t="s">
        <v>532</v>
      </c>
      <c r="C74" s="882" t="s">
        <v>539</v>
      </c>
      <c r="D74" s="883"/>
      <c r="E74" s="883"/>
      <c r="F74" s="883"/>
      <c r="G74" s="883"/>
      <c r="H74" s="883"/>
      <c r="I74" s="883"/>
      <c r="J74" s="883"/>
      <c r="K74" s="883"/>
      <c r="L74" s="883"/>
      <c r="M74" s="883"/>
      <c r="N74" s="883"/>
      <c r="O74" s="883"/>
      <c r="P74" s="883"/>
      <c r="Q74" s="883"/>
      <c r="R74" s="883"/>
      <c r="S74" s="883"/>
      <c r="T74" s="883"/>
      <c r="U74" s="884"/>
      <c r="V74" s="876" t="s">
        <v>13</v>
      </c>
      <c r="W74" s="879" t="s">
        <v>535</v>
      </c>
      <c r="X74" s="867"/>
      <c r="Y74" s="867"/>
      <c r="Z74" s="867"/>
      <c r="AA74" s="868"/>
      <c r="AB74" s="876" t="s">
        <v>536</v>
      </c>
    </row>
    <row r="75" spans="1:28" ht="18.75" customHeight="1">
      <c r="A75" s="877"/>
      <c r="B75" s="877"/>
      <c r="C75" s="885"/>
      <c r="D75" s="886"/>
      <c r="E75" s="886"/>
      <c r="F75" s="886"/>
      <c r="G75" s="886"/>
      <c r="H75" s="886"/>
      <c r="I75" s="886"/>
      <c r="J75" s="886"/>
      <c r="K75" s="886"/>
      <c r="L75" s="886"/>
      <c r="M75" s="886"/>
      <c r="N75" s="886"/>
      <c r="O75" s="886"/>
      <c r="P75" s="886"/>
      <c r="Q75" s="886"/>
      <c r="R75" s="886"/>
      <c r="S75" s="886"/>
      <c r="T75" s="886"/>
      <c r="U75" s="887"/>
      <c r="V75" s="877"/>
      <c r="W75" s="142" t="s">
        <v>540</v>
      </c>
      <c r="X75" s="880" t="s">
        <v>541</v>
      </c>
      <c r="Y75" s="868"/>
      <c r="Z75" s="143" t="s">
        <v>542</v>
      </c>
      <c r="AA75" s="115" t="s">
        <v>543</v>
      </c>
      <c r="AB75" s="877"/>
    </row>
    <row r="76" spans="1:28" ht="18.75" customHeight="1">
      <c r="A76" s="116">
        <v>1</v>
      </c>
      <c r="B76" s="131">
        <v>90054</v>
      </c>
      <c r="C76" s="983" t="str">
        <f>IF(B76="","",VLOOKUP(B76,MATERIAL!A:C,2,FALSE))</f>
        <v>TRANSF DISTR AER OMI 3F 13,8KV 220/127V 45KVA CL2 4TP</v>
      </c>
      <c r="D76" s="867"/>
      <c r="E76" s="867"/>
      <c r="F76" s="867"/>
      <c r="G76" s="867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8"/>
      <c r="V76" s="132" t="e">
        <f>IF(B76="","",VLOOKUP(B76,MATERIAL!A$3:C$531,3,FALSE))</f>
        <v>#N/A</v>
      </c>
      <c r="W76" s="119"/>
      <c r="X76" s="869">
        <v>1</v>
      </c>
      <c r="Y76" s="868"/>
      <c r="Z76" s="144"/>
      <c r="AA76" s="139"/>
      <c r="AB76" s="145">
        <f t="shared" ref="AB76:AB87" si="5">SUM(W76:AA76)</f>
        <v>1</v>
      </c>
    </row>
    <row r="77" spans="1:28" ht="18.75" customHeight="1">
      <c r="A77" s="116">
        <v>2</v>
      </c>
      <c r="B77" s="131">
        <v>90210</v>
      </c>
      <c r="C77" s="983" t="str">
        <f>IF(B77="","",VLOOKUP(B77,MATERIAL!A:C,2,FALSE))</f>
        <v>PARA-RAIOS DISTR MT POLIM 12KV 10KA OX ZN S/CENT S/FERR</v>
      </c>
      <c r="D77" s="867"/>
      <c r="E77" s="867"/>
      <c r="F77" s="867"/>
      <c r="G77" s="867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8"/>
      <c r="V77" s="132" t="str">
        <f>IF(B77="","",VLOOKUP(B77,MATERIAL!A$3:C$531,3,FALSE))</f>
        <v>UN</v>
      </c>
      <c r="W77" s="119">
        <v>3</v>
      </c>
      <c r="X77" s="869"/>
      <c r="Y77" s="868"/>
      <c r="Z77" s="144"/>
      <c r="AA77" s="139"/>
      <c r="AB77" s="146">
        <f t="shared" si="5"/>
        <v>3</v>
      </c>
    </row>
    <row r="78" spans="1:28" ht="18.75" customHeight="1">
      <c r="A78" s="116">
        <v>3</v>
      </c>
      <c r="B78" s="131">
        <v>90500</v>
      </c>
      <c r="C78" s="983" t="str">
        <f>IF(B78="","",VLOOKUP(B78,MATERIAL!A:C,2,FALSE))</f>
        <v>ELO FUSIVEL DISTRIBUICAO TIPO H 3A 500MM</v>
      </c>
      <c r="D78" s="867"/>
      <c r="E78" s="867"/>
      <c r="F78" s="867"/>
      <c r="G78" s="867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8"/>
      <c r="V78" s="132" t="str">
        <f>IF(B78="","",VLOOKUP(B78,MATERIAL!A$3:C$531,3,FALSE))</f>
        <v>PÇ</v>
      </c>
      <c r="W78" s="119">
        <v>3</v>
      </c>
      <c r="X78" s="869"/>
      <c r="Y78" s="868"/>
      <c r="Z78" s="144"/>
      <c r="AA78" s="139"/>
      <c r="AB78" s="146">
        <f t="shared" si="5"/>
        <v>3</v>
      </c>
    </row>
    <row r="79" spans="1:28" ht="18.75" customHeight="1">
      <c r="A79" s="116">
        <v>4</v>
      </c>
      <c r="B79" s="154">
        <v>90586</v>
      </c>
      <c r="C79" s="983" t="str">
        <f>IF(B79="","",VLOOKUP(B79,MATERIAL!A:C,2,FALSE))</f>
        <v>CAPA PROT PEAD TRANSF MT 15/36,2KV 135X110MM</v>
      </c>
      <c r="D79" s="867"/>
      <c r="E79" s="867"/>
      <c r="F79" s="867"/>
      <c r="G79" s="867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8"/>
      <c r="V79" s="132" t="str">
        <f>IF(B79="","",VLOOKUP(B79,MATERIAL!A$3:C$531,3,FALSE))</f>
        <v>UN</v>
      </c>
      <c r="W79" s="119">
        <v>6</v>
      </c>
      <c r="X79" s="869"/>
      <c r="Y79" s="868"/>
      <c r="Z79" s="144"/>
      <c r="AA79" s="139"/>
      <c r="AB79" s="146">
        <f t="shared" si="5"/>
        <v>6</v>
      </c>
    </row>
    <row r="80" spans="1:28" ht="18.75" customHeight="1">
      <c r="A80" s="116">
        <v>5</v>
      </c>
      <c r="B80" s="154"/>
      <c r="C80" s="983" t="str">
        <f>IF(B80="","",VLOOKUP(B80,MATERIAL!A:C,2,FALSE))</f>
        <v/>
      </c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8"/>
      <c r="V80" s="132" t="str">
        <f>IF(B80="","",VLOOKUP(B80,MATERIAL!A$3:C$531,3,FALSE))</f>
        <v/>
      </c>
      <c r="W80" s="119"/>
      <c r="X80" s="869"/>
      <c r="Y80" s="868"/>
      <c r="Z80" s="144"/>
      <c r="AA80" s="139"/>
      <c r="AB80" s="146">
        <f t="shared" si="5"/>
        <v>0</v>
      </c>
    </row>
    <row r="81" spans="1:28" ht="18.75" customHeight="1">
      <c r="A81" s="116">
        <v>6</v>
      </c>
      <c r="B81" s="154"/>
      <c r="C81" s="983" t="str">
        <f>IF(B81="","",VLOOKUP(B81,MATERIAL!A:C,2,FALSE))</f>
        <v/>
      </c>
      <c r="D81" s="867"/>
      <c r="E81" s="867"/>
      <c r="F81" s="867"/>
      <c r="G81" s="867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8"/>
      <c r="V81" s="132" t="str">
        <f>IF(B81="","",VLOOKUP(B81,MATERIAL!A$3:C$531,3,FALSE))</f>
        <v/>
      </c>
      <c r="W81" s="119"/>
      <c r="X81" s="869"/>
      <c r="Y81" s="868"/>
      <c r="Z81" s="144"/>
      <c r="AA81" s="139"/>
      <c r="AB81" s="146">
        <f t="shared" si="5"/>
        <v>0</v>
      </c>
    </row>
    <row r="82" spans="1:28" ht="18.75" customHeight="1">
      <c r="A82" s="116">
        <v>7</v>
      </c>
      <c r="B82" s="152"/>
      <c r="C82" s="983" t="str">
        <f>IF(B82="","",VLOOKUP(B82,MATERIAL!A:C,2,FALSE))</f>
        <v/>
      </c>
      <c r="D82" s="867"/>
      <c r="E82" s="867"/>
      <c r="F82" s="867"/>
      <c r="G82" s="867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8"/>
      <c r="V82" s="132" t="str">
        <f>IF(B82="","",VLOOKUP(B82,MATERIAL!A$3:C$531,3,FALSE))</f>
        <v/>
      </c>
      <c r="W82" s="119"/>
      <c r="X82" s="994"/>
      <c r="Y82" s="868"/>
      <c r="Z82" s="144"/>
      <c r="AA82" s="139"/>
      <c r="AB82" s="146">
        <f t="shared" si="5"/>
        <v>0</v>
      </c>
    </row>
    <row r="83" spans="1:28" ht="18.75" customHeight="1">
      <c r="A83" s="116">
        <v>8</v>
      </c>
      <c r="B83" s="131"/>
      <c r="C83" s="983" t="str">
        <f>IF(B83="","",VLOOKUP(B83,MATERIAL!A:C,2,FALSE))</f>
        <v/>
      </c>
      <c r="D83" s="867"/>
      <c r="E83" s="867"/>
      <c r="F83" s="867"/>
      <c r="G83" s="867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8"/>
      <c r="V83" s="132" t="str">
        <f>IF(B83="","",VLOOKUP(B83,MATERIAL!A$3:C$531,3,FALSE))</f>
        <v/>
      </c>
      <c r="W83" s="122"/>
      <c r="X83" s="994"/>
      <c r="Y83" s="868"/>
      <c r="Z83" s="144"/>
      <c r="AA83" s="139"/>
      <c r="AB83" s="145">
        <f t="shared" si="5"/>
        <v>0</v>
      </c>
    </row>
    <row r="84" spans="1:28" ht="18.75" customHeight="1">
      <c r="A84" s="116">
        <v>9</v>
      </c>
      <c r="B84" s="131"/>
      <c r="C84" s="983" t="str">
        <f>IF(B84="","",VLOOKUP(B84,MATERIAL!A:C,2,FALSE))</f>
        <v/>
      </c>
      <c r="D84" s="867"/>
      <c r="E84" s="867"/>
      <c r="F84" s="867"/>
      <c r="G84" s="867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8"/>
      <c r="V84" s="132" t="str">
        <f>IF(B84="","",VLOOKUP(B84,MATERIAL!A$3:C$531,3,FALSE))</f>
        <v/>
      </c>
      <c r="W84" s="122"/>
      <c r="X84" s="994"/>
      <c r="Y84" s="868"/>
      <c r="Z84" s="144"/>
      <c r="AA84" s="139"/>
      <c r="AB84" s="146">
        <f t="shared" si="5"/>
        <v>0</v>
      </c>
    </row>
    <row r="85" spans="1:28" ht="18.75" customHeight="1">
      <c r="A85" s="116">
        <v>10</v>
      </c>
      <c r="B85" s="47"/>
      <c r="C85" s="983" t="str">
        <f>IF(B85="","",VLOOKUP(B85,MATERIAL!A:C,2,FALSE))</f>
        <v/>
      </c>
      <c r="D85" s="867"/>
      <c r="E85" s="867"/>
      <c r="F85" s="867"/>
      <c r="G85" s="867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8"/>
      <c r="V85" s="132" t="str">
        <f>IF(B85="","",VLOOKUP(B85,MATERIAL!A$3:C$531,3,FALSE))</f>
        <v/>
      </c>
      <c r="W85" s="122"/>
      <c r="X85" s="994"/>
      <c r="Y85" s="868"/>
      <c r="Z85" s="144"/>
      <c r="AA85" s="139"/>
      <c r="AB85" s="146">
        <f t="shared" si="5"/>
        <v>0</v>
      </c>
    </row>
    <row r="86" spans="1:28" ht="18.75" customHeight="1">
      <c r="A86" s="116">
        <v>11</v>
      </c>
      <c r="B86" s="47"/>
      <c r="C86" s="983" t="str">
        <f>IF(B86="","",VLOOKUP(B86,MATERIAL!A:C,2,FALSE))</f>
        <v/>
      </c>
      <c r="D86" s="867"/>
      <c r="E86" s="867"/>
      <c r="F86" s="867"/>
      <c r="G86" s="867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8"/>
      <c r="V86" s="132" t="str">
        <f>IF(B86="","",VLOOKUP(B86,MATERIAL!A$3:C$531,3,FALSE))</f>
        <v/>
      </c>
      <c r="W86" s="147"/>
      <c r="X86" s="994"/>
      <c r="Y86" s="868"/>
      <c r="Z86" s="144"/>
      <c r="AA86" s="139"/>
      <c r="AB86" s="146">
        <f t="shared" si="5"/>
        <v>0</v>
      </c>
    </row>
    <row r="87" spans="1:28" ht="18.75" customHeight="1">
      <c r="A87" s="116">
        <v>12</v>
      </c>
      <c r="B87" s="47"/>
      <c r="C87" s="983" t="str">
        <f>IF(B87="","",VLOOKUP(B87,MATERIAL!A:C,2,FALSE))</f>
        <v/>
      </c>
      <c r="D87" s="867"/>
      <c r="E87" s="867"/>
      <c r="F87" s="867"/>
      <c r="G87" s="867"/>
      <c r="H87" s="867"/>
      <c r="I87" s="867"/>
      <c r="J87" s="867"/>
      <c r="K87" s="867"/>
      <c r="L87" s="867"/>
      <c r="M87" s="867"/>
      <c r="N87" s="867"/>
      <c r="O87" s="867"/>
      <c r="P87" s="867"/>
      <c r="Q87" s="867"/>
      <c r="R87" s="867"/>
      <c r="S87" s="867"/>
      <c r="T87" s="867"/>
      <c r="U87" s="868"/>
      <c r="V87" s="132" t="str">
        <f>IF(B87="","",VLOOKUP(B87,MATERIAL!A$3:C$531,3,FALSE))</f>
        <v/>
      </c>
      <c r="W87" s="147"/>
      <c r="X87" s="994"/>
      <c r="Y87" s="868"/>
      <c r="Z87" s="144"/>
      <c r="AA87" s="139"/>
      <c r="AB87" s="146">
        <f t="shared" si="5"/>
        <v>0</v>
      </c>
    </row>
    <row r="88" spans="1:28" ht="18.75" customHeight="1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 spans="1:28" ht="18.75" customHeight="1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 spans="1:28" ht="18.75" customHeight="1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 spans="1:28" ht="18.75" customHeight="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 spans="1:28" ht="18.75" customHeight="1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 spans="1:28" ht="18.75" customHeight="1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 spans="1:28" ht="18.75" customHeight="1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 spans="1:28" ht="18.75" customHeight="1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 spans="1:28" ht="18.75" customHeight="1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 spans="1:28" ht="18.75" customHeight="1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 spans="1:28" ht="18.75" customHeight="1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 spans="1:28" ht="18.75" customHeight="1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 spans="1:28" ht="18.75" customHeight="1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 spans="1:28" ht="18.75" customHeight="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 spans="1:28" ht="18.75" customHeight="1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 spans="1:28" ht="18.75" customHeight="1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 spans="1:28" ht="18.75" customHeight="1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 spans="1:28" ht="18.75" customHeight="1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 spans="1:28" ht="18.75" customHeight="1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 spans="1:28" ht="18.75" customHeight="1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 spans="1:28" ht="18.75" customHeight="1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 spans="1:28" ht="18.75" customHeight="1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 spans="1:28" ht="18.75" customHeight="1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 spans="1:28" ht="18.75" customHeight="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 spans="1:28" ht="18.75" customHeight="1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 spans="1:28" ht="18.75" customHeight="1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 spans="1:28" ht="18.75" customHeight="1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 spans="1:28" ht="18.75" customHeight="1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 spans="1:28" ht="18.75" customHeight="1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 spans="1:28" ht="18.75" customHeight="1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 spans="1:28" ht="18.75" customHeight="1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 spans="1:28" ht="18.75" customHeight="1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 spans="1:28" ht="18.75" customHeight="1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 spans="1:28" ht="18.75" customHeight="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 spans="1:28" ht="18.75" customHeight="1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 spans="1:28" ht="18.75" customHeight="1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 spans="1:28" ht="18.75" customHeight="1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 spans="1:28" ht="18.75" customHeight="1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 spans="1:28" ht="18.75" customHeight="1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 spans="1:28" ht="18.75" customHeight="1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 spans="1:28" ht="18.75" customHeight="1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 spans="1:28" ht="18.75" customHeight="1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 spans="1:28" ht="18.75" customHeight="1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 spans="1:28" ht="18.75" customHeight="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 spans="1:28" ht="18.75" customHeight="1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 spans="1:28" ht="18.75" customHeight="1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 spans="1:28" ht="18.75" customHeight="1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 spans="1:28" ht="18.75" customHeight="1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 spans="1:28" ht="18.75" customHeight="1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 spans="1:28" ht="18.75" customHeight="1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 spans="1:28" ht="18.75" customHeight="1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 spans="1:28" ht="18.75" customHeight="1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 spans="1:28" ht="18.75" customHeight="1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 spans="1:28" ht="18.75" customHeight="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 spans="1:28" ht="18.75" customHeight="1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 spans="1:28" ht="18.75" customHeight="1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 spans="1:28" ht="18.75" customHeight="1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 spans="1:28" ht="18.75" customHeight="1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 spans="1:28" ht="18.75" customHeight="1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 spans="1:28" ht="18.75" customHeight="1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 spans="1:28" ht="18.75" customHeight="1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 spans="1:28" ht="18.75" customHeight="1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 spans="1:28" ht="18.75" customHeight="1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 spans="1:28" ht="18.75" customHeight="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 spans="1:28" ht="18.75" customHeight="1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 spans="1:28" ht="18.75" customHeight="1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 spans="1:28" ht="18.75" customHeight="1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 spans="1:28" ht="18.75" customHeight="1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 spans="1:28" ht="18.75" customHeight="1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 spans="1:28" ht="18.75" customHeight="1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 spans="1:28" ht="18.75" customHeight="1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 spans="1:28" ht="18.75" customHeight="1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 spans="1:28" ht="18.75" customHeight="1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 spans="1:28" ht="18.75" customHeight="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 spans="1:28" ht="18.75" customHeight="1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 spans="1:28" ht="18.75" customHeight="1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 spans="1:28" ht="18.75" customHeight="1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 spans="1:28" ht="18.75" customHeight="1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 spans="1:28" ht="18.75" customHeight="1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 spans="1:28" ht="18.75" customHeight="1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 spans="1:28" ht="18.75" customHeight="1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 spans="1:28" ht="18.75" customHeight="1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 spans="1:28" ht="18.75" customHeight="1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 spans="1:28" ht="18.75" customHeight="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 spans="1:28" ht="18.75" customHeight="1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 spans="1:28" ht="18.75" customHeight="1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 spans="1:28" ht="18.75" customHeight="1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 spans="1:28" ht="18.75" customHeight="1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 spans="1:28" ht="18.75" customHeight="1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 spans="1:28" ht="18.75" customHeight="1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 spans="1:28" ht="18.75" customHeight="1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 spans="1:28" ht="18.75" customHeight="1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 spans="1:28" ht="18.75" customHeight="1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 spans="1:28" ht="18.75" customHeight="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 spans="1:28" ht="18.75" customHeight="1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 spans="1:28" ht="18.75" customHeight="1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 spans="1:28" ht="18.75" customHeight="1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 spans="1:28" ht="18.75" customHeight="1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 spans="1:28" ht="18.75" customHeight="1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 spans="1:28" ht="18.75" customHeight="1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 spans="1:28" ht="18.75" customHeight="1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 spans="1:28" ht="18.75" customHeight="1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 spans="1:28" ht="18.75" customHeight="1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 spans="1:28" ht="18.75" customHeight="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 spans="1:28" ht="18.75" customHeight="1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 spans="1:28" ht="18.75" customHeight="1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 spans="1:28" ht="18.75" customHeight="1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 spans="1:28" ht="18.75" customHeight="1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 spans="1:28" ht="18.75" customHeight="1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 spans="1:28" ht="18.75" customHeight="1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 spans="1:28" ht="18.75" customHeight="1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 spans="1:28" ht="18.75" customHeight="1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 spans="1:28" ht="18.75" customHeight="1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 spans="1:28" ht="18.75" customHeight="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 spans="1:28" ht="18.75" customHeight="1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 spans="1:28" ht="18.75" customHeight="1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 spans="1:28" ht="18.75" customHeight="1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 spans="1:28" ht="18.75" customHeight="1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 spans="1:28" ht="18.75" customHeight="1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 spans="1:28" ht="18.75" customHeight="1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 spans="1:28" ht="18.75" customHeight="1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 spans="1:28" ht="18.75" customHeight="1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 spans="1:28" ht="18.75" customHeight="1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 spans="1:28" ht="18.75" customHeight="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 spans="1:28" ht="18.75" customHeight="1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 spans="1:28" ht="18.75" customHeight="1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 spans="1:28" ht="18.75" customHeight="1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 spans="1:28" ht="18.75" customHeight="1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 spans="1:28" ht="18.75" customHeight="1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 spans="1:28" ht="18.75" customHeight="1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 spans="1:28" ht="18.75" customHeight="1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 spans="1:28" ht="18.75" customHeight="1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 spans="1:28" ht="18.75" customHeight="1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 spans="1:28" ht="18.75" customHeight="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 spans="1:28" ht="18.75" customHeight="1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 spans="1:28" ht="18.75" customHeight="1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 spans="1:28" ht="18.75" customHeight="1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 spans="1:28" ht="18.75" customHeight="1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 spans="1:28" ht="18.75" customHeight="1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 spans="1:28" ht="18.75" customHeight="1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 spans="1:28" ht="18.75" customHeight="1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 spans="1:28" ht="18.75" customHeight="1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 spans="1:28" ht="18.75" customHeight="1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 spans="1:28" ht="18.75" customHeight="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 spans="1:28" ht="18.75" customHeight="1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 spans="1:28" ht="18.75" customHeight="1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 spans="1:28" ht="18.75" customHeight="1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 spans="1:28" ht="18.75" customHeight="1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 spans="1:28" ht="18.75" customHeight="1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 spans="1:28" ht="18.75" customHeight="1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 spans="1:28" ht="18.75" customHeight="1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 spans="1:28" ht="18.75" customHeight="1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 spans="1:28" ht="18.75" customHeight="1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 spans="1:28" ht="18.75" customHeight="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 spans="1:28" ht="18.75" customHeight="1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 spans="1:28" ht="18.75" customHeight="1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 spans="1:28" ht="18.75" customHeight="1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 spans="1:28" ht="18.75" customHeight="1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 spans="1:28" ht="18.75" customHeight="1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 spans="1:28" ht="18.75" customHeight="1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 spans="1:28" ht="18.75" customHeight="1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 spans="1:28" ht="18.75" customHeight="1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 spans="1:28" ht="18.75" customHeight="1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 spans="1:28" ht="18.75" customHeight="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 spans="1:28" ht="18.75" customHeight="1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 spans="1:28" ht="18.75" customHeight="1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 spans="1:28" ht="18.75" customHeight="1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 spans="1:28" ht="18.75" customHeight="1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 spans="1:28" ht="18.75" customHeight="1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 spans="1:28" ht="18.75" customHeight="1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 spans="1:28" ht="18.75" customHeight="1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 spans="1:28" ht="18.75" customHeight="1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 spans="1:28" ht="18.75" customHeight="1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 spans="1:28" ht="18.75" customHeight="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 spans="1:28" ht="18.75" customHeight="1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 spans="1:28" ht="18.75" customHeight="1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 spans="1:28" ht="18.75" customHeight="1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 spans="1:28" ht="18.75" customHeight="1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 spans="1:28" ht="18.75" customHeight="1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 spans="1:28" ht="18.75" customHeight="1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 spans="1:28" ht="18.75" customHeight="1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 spans="1:28" ht="18.75" customHeight="1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 spans="1:28" ht="18.75" customHeight="1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 spans="1:28" ht="18.75" customHeight="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 spans="1:28" ht="18.75" customHeight="1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 spans="1:28" ht="18.75" customHeight="1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 spans="1:28" ht="18.75" customHeight="1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 spans="1:28" ht="18.75" customHeight="1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 spans="1:28" ht="18.75" customHeight="1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 spans="1:28" ht="18.75" customHeight="1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 spans="1:28" ht="18.75" customHeight="1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 spans="1:28" ht="18.75" customHeight="1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 spans="1:28" ht="18.75" customHeight="1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 spans="1:28" ht="18.75" customHeight="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 spans="1:28" ht="18.75" customHeight="1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 spans="1:28" ht="18.75" customHeight="1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 spans="1:28" ht="15.75" customHeight="1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 spans="1:28" ht="15.75" customHeight="1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 spans="1:28" ht="15.75" customHeight="1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 spans="1:28" ht="15.75" customHeight="1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 spans="1:28" ht="15.75" customHeight="1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 spans="1:28" ht="15.75" customHeight="1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 spans="1:28" ht="15.75" customHeight="1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 spans="1:28" ht="15.75" customHeight="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 spans="1:28" ht="15.75" customHeight="1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 spans="1:28" ht="15.75" customHeight="1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 spans="1:28" ht="15.75" customHeight="1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 spans="1:28" ht="15.75" customHeight="1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 spans="1:28" ht="15.75" customHeight="1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 spans="1:28" ht="15.75" customHeight="1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 spans="1:28" ht="15.75" customHeight="1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 spans="1:28" ht="15.75" customHeight="1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 spans="1:28" ht="15.75" customHeight="1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 spans="1:28" ht="15.75" customHeight="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 spans="1:28" ht="15.75" customHeight="1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 spans="1:28" ht="15.75" customHeight="1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 spans="1:28" ht="15.75" customHeight="1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 spans="1:28" ht="15.75" customHeight="1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 spans="1:28" ht="15.75" customHeight="1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 spans="1:28" ht="15.75" customHeight="1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 spans="1:28" ht="15.75" customHeight="1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 spans="1:28" ht="15.75" customHeight="1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 spans="1:28" ht="15.75" customHeight="1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 spans="1:28" ht="15.75" customHeight="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 spans="1:28" ht="15.75" customHeight="1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 spans="1:28" ht="15.75" customHeight="1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 spans="1:28" ht="15.75" customHeight="1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 spans="1:28" ht="15.75" customHeight="1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 spans="1:28" ht="15.75" customHeight="1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 spans="1:28" ht="15.75" customHeight="1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 spans="1:28" ht="15.75" customHeight="1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 spans="1:28" ht="15.75" customHeight="1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 spans="1:28" ht="15.75" customHeight="1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 spans="1:28" ht="15.75" customHeight="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 spans="1:28" ht="15.75" customHeight="1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 spans="1:28" ht="15.75" customHeight="1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 spans="1:28" ht="15.75" customHeight="1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 spans="1:28" ht="15.75" customHeight="1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 spans="1:28" ht="15.75" customHeight="1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 spans="1:28" ht="15.75" customHeight="1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 spans="1:28" ht="15.75" customHeight="1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 spans="1:28" ht="15.75" customHeight="1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 spans="1:28" ht="15.75" customHeight="1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 spans="1:28" ht="15.75" customHeight="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 spans="1:28" ht="15.75" customHeight="1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 spans="1:28" ht="15.75" customHeight="1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 spans="1:28" ht="15.75" customHeight="1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 spans="1:28" ht="15.75" customHeight="1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 spans="1:28" ht="15.75" customHeight="1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 spans="1:28" ht="15.75" customHeight="1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 spans="1:28" ht="15.75" customHeight="1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 spans="1:28" ht="15.75" customHeight="1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 spans="1:28" ht="15.75" customHeight="1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 spans="1:28" ht="15.75" customHeight="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 spans="1:28" ht="15.75" customHeight="1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 spans="1:28" ht="15.75" customHeight="1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 spans="1:28" ht="15.75" customHeight="1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 spans="1:28" ht="15.75" customHeight="1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 spans="1:28" ht="15.75" customHeight="1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 spans="1:28" ht="15.75" customHeight="1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 spans="1:28" ht="15.75" customHeight="1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 spans="1:28" ht="15.75" customHeight="1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 spans="1:28" ht="15.75" customHeight="1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 spans="1:28" ht="15.75" customHeight="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 spans="1:28" ht="15.75" customHeight="1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 spans="1:28" ht="15.75" customHeight="1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 spans="1:28" ht="15.75" customHeight="1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 spans="1:28" ht="15.75" customHeight="1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 spans="1:28" ht="15.75" customHeight="1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 spans="1:28" ht="15.75" customHeight="1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 spans="1:28" ht="15.75" customHeight="1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 spans="1:28" ht="15.75" customHeight="1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 spans="1:28" ht="15.75" customHeight="1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 spans="1:28" ht="15.75" customHeight="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 spans="1:28" ht="15.75" customHeight="1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 spans="1:28" ht="15.75" customHeight="1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 spans="1:28" ht="15.75" customHeight="1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 spans="1:28" ht="15.75" customHeight="1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 spans="1:28" ht="15.75" customHeight="1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 spans="1:28" ht="15.75" customHeight="1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 spans="1:28" ht="15.75" customHeight="1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 spans="1:28" ht="15.75" customHeight="1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 spans="1:28" ht="15.75" customHeight="1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 spans="1:28" ht="15.75" customHeight="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 spans="1:28" ht="15.75" customHeight="1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 spans="1:28" ht="15.75" customHeight="1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 spans="1:28" ht="15.75" customHeight="1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 spans="1:28" ht="15.75" customHeight="1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 spans="1:28" ht="15.75" customHeight="1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 spans="1:28" ht="15.75" customHeight="1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 spans="1:28" ht="15.75" customHeight="1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 spans="1:28" ht="15.75" customHeight="1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 spans="1:28" ht="15.75" customHeight="1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 spans="1:28" ht="15.75" customHeight="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 spans="1:28" ht="15.75" customHeight="1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 spans="1:28" ht="15.75" customHeight="1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 spans="1:28" ht="15.75" customHeight="1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 spans="1:28" ht="15.75" customHeight="1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 spans="1:28" ht="15.75" customHeight="1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 spans="1:28" ht="15.75" customHeight="1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 spans="1:28" ht="15.75" customHeight="1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 spans="1:28" ht="15.75" customHeight="1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 spans="1:28" ht="15.75" customHeight="1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 spans="1:28" ht="15.75" customHeight="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 spans="1:28" ht="15.75" customHeight="1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 spans="1:28" ht="15.75" customHeight="1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 spans="1:28" ht="15.75" customHeight="1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 spans="1:28" ht="15.75" customHeight="1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 spans="1:28" ht="15.75" customHeight="1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 spans="1:28" ht="15.75" customHeight="1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 spans="1:28" ht="15.75" customHeight="1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 spans="1:28" ht="15.75" customHeight="1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 spans="1:28" ht="15.75" customHeight="1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 spans="1:28" ht="15.75" customHeight="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 spans="1:28" ht="15.75" customHeight="1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 spans="1:28" ht="15.75" customHeight="1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 spans="1:28" ht="15.75" customHeight="1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 spans="1:28" ht="15.75" customHeight="1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 spans="1:28" ht="15.75" customHeight="1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 spans="1:28" ht="15.75" customHeight="1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 spans="1:28" ht="15.75" customHeight="1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 spans="1:28" ht="15.75" customHeight="1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 spans="1:28" ht="15.75" customHeight="1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 spans="1:28" ht="15.75" customHeight="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 spans="1:28" ht="15.75" customHeight="1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 spans="1:28" ht="15.75" customHeight="1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 spans="1:28" ht="15.75" customHeight="1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 spans="1:28" ht="15.75" customHeight="1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 spans="1:28" ht="15.75" customHeight="1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 spans="1:28" ht="15.75" customHeight="1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 spans="1:28" ht="15.75" customHeight="1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 spans="1:28" ht="15.75" customHeight="1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 spans="1:28" ht="15.75" customHeight="1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 spans="1:28" ht="15.75" customHeight="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 spans="1:28" ht="15.75" customHeight="1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 spans="1:28" ht="15.75" customHeight="1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 spans="1:28" ht="15.75" customHeight="1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 spans="1:28" ht="15.75" customHeight="1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 spans="1:28" ht="15.75" customHeight="1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 spans="1:28" ht="15.75" customHeight="1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 spans="1:28" ht="15.75" customHeight="1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 spans="1:28" ht="15.75" customHeight="1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 spans="1:28" ht="15.75" customHeight="1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 spans="1:28" ht="15.75" customHeight="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 spans="1:28" ht="15.75" customHeight="1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 spans="1:28" ht="15.75" customHeight="1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 spans="1:28" ht="15.75" customHeight="1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 spans="1:28" ht="15.75" customHeight="1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 spans="1:28" ht="15.75" customHeight="1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 spans="1:28" ht="15.75" customHeight="1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 spans="1:28" ht="15.75" customHeight="1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 spans="1:28" ht="15.75" customHeight="1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 spans="1:28" ht="15.75" customHeight="1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 spans="1:28" ht="15.75" customHeight="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 spans="1:28" ht="15.75" customHeight="1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 spans="1:28" ht="15.75" customHeight="1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 spans="1:28" ht="15.75" customHeight="1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 spans="1:28" ht="15.75" customHeight="1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 spans="1:28" ht="15.75" customHeight="1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 spans="1:28" ht="15.75" customHeight="1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 spans="1:28" ht="15.75" customHeight="1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 spans="1:28" ht="15.75" customHeight="1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 spans="1:28" ht="15.75" customHeight="1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 spans="1:28" ht="15.75" customHeight="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 spans="1:28" ht="15.75" customHeight="1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 spans="1:28" ht="15.75" customHeight="1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 spans="1:28" ht="15.75" customHeight="1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 spans="1:28" ht="15.75" customHeight="1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 spans="1:28" ht="15.75" customHeight="1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 spans="1:28" ht="15.75" customHeight="1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 spans="1:28" ht="15.75" customHeight="1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 spans="1:28" ht="15.75" customHeight="1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 spans="1:28" ht="15.75" customHeight="1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 spans="1:28" ht="15.75" customHeight="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 spans="1:28" ht="15.75" customHeight="1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 spans="1:28" ht="15.75" customHeight="1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 spans="1:28" ht="15.75" customHeight="1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 spans="1:28" ht="15.75" customHeight="1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 spans="1:28" ht="15.75" customHeight="1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 spans="1:28" ht="15.75" customHeight="1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 spans="1:28" ht="15.75" customHeight="1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 spans="1:28" ht="15.75" customHeight="1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 spans="1:28" ht="15.75" customHeight="1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 spans="1:28" ht="15.75" customHeight="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 spans="1:28" ht="15.75" customHeight="1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 spans="1:28" ht="15.75" customHeight="1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 spans="1:28" ht="15.75" customHeight="1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 spans="1:28" ht="15.75" customHeight="1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 spans="1:28" ht="15.75" customHeight="1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 spans="1:28" ht="15.75" customHeight="1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 spans="1:28" ht="15.75" customHeight="1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 spans="1:28" ht="15.75" customHeight="1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 spans="1:28" ht="15.75" customHeight="1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 spans="1:28" ht="15.75" customHeight="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 spans="1:28" ht="15.75" customHeight="1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 spans="1:28" ht="15.75" customHeight="1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 spans="1:28" ht="15.75" customHeight="1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 spans="1:28" ht="15.75" customHeight="1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 spans="1:28" ht="15.75" customHeight="1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 spans="1:28" ht="15.75" customHeight="1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 spans="1:28" ht="15.75" customHeight="1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 spans="1:28" ht="15.75" customHeight="1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 spans="1:28" ht="15.75" customHeight="1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 spans="1:28" ht="15.75" customHeight="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 spans="1:28" ht="15.75" customHeight="1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 spans="1:28" ht="15.75" customHeight="1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 spans="1:28" ht="15.75" customHeight="1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 spans="1:28" ht="15.75" customHeight="1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 spans="1:28" ht="15.75" customHeight="1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 spans="1:28" ht="15.75" customHeight="1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 spans="1:28" ht="15.75" customHeight="1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 spans="1:28" ht="15.75" customHeight="1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 spans="1:28" ht="15.75" customHeight="1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 spans="1:28" ht="15.75" customHeight="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 spans="1:28" ht="15.75" customHeight="1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 spans="1:28" ht="15.75" customHeight="1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 spans="1:28" ht="15.75" customHeight="1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 spans="1:28" ht="15.75" customHeight="1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 spans="1:28" ht="15.75" customHeight="1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 spans="1:28" ht="15.75" customHeight="1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 spans="1:28" ht="15.75" customHeight="1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 spans="1:28" ht="15.75" customHeight="1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 spans="1:28" ht="15.75" customHeight="1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 spans="1:28" ht="15.75" customHeight="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 spans="1:28" ht="15.75" customHeight="1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 spans="1:28" ht="15.75" customHeight="1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 spans="1:28" ht="15.75" customHeight="1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 spans="1:28" ht="15.75" customHeight="1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 spans="1:28" ht="15.75" customHeight="1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 spans="1:28" ht="15.75" customHeight="1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 spans="1:28" ht="15.75" customHeight="1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 spans="1:28" ht="15.75" customHeight="1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 spans="1:28" ht="15.75" customHeight="1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 spans="1:28" ht="15.75" customHeight="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 spans="1:28" ht="15.75" customHeight="1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 spans="1:28" ht="15.75" customHeight="1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 spans="1:28" ht="15.75" customHeight="1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 spans="1:28" ht="15.75" customHeight="1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 spans="1:28" ht="15.75" customHeight="1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 spans="1:28" ht="15.75" customHeight="1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 spans="1:28" ht="15.75" customHeight="1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 spans="1:28" ht="15.75" customHeight="1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 spans="1:28" ht="15.75" customHeight="1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 spans="1:28" ht="15.75" customHeight="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 spans="1:28" ht="15.75" customHeight="1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 spans="1:28" ht="15.75" customHeight="1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 spans="1:28" ht="15.75" customHeight="1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 spans="1:28" ht="15.75" customHeight="1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 spans="1:28" ht="15.75" customHeight="1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 spans="1:28" ht="15.75" customHeight="1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 spans="1:28" ht="15.75" customHeight="1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 spans="1:28" ht="15.75" customHeight="1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 spans="1:28" ht="15.75" customHeight="1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 spans="1:28" ht="15.75" customHeight="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 spans="1:28" ht="15.75" customHeight="1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 spans="1:28" ht="15.75" customHeight="1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 spans="1:28" ht="15.75" customHeight="1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 spans="1:28" ht="15.75" customHeight="1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 spans="1:28" ht="15.75" customHeight="1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 spans="1:28" ht="15.75" customHeight="1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 spans="1:28" ht="15.75" customHeight="1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 spans="1:28" ht="15.75" customHeight="1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 spans="1:28" ht="15.75" customHeight="1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 spans="1:28" ht="15.75" customHeight="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 spans="1:28" ht="15.75" customHeight="1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 spans="1:28" ht="15.75" customHeight="1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 spans="1:28" ht="15.75" customHeight="1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 spans="1:28" ht="15.75" customHeight="1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 spans="1:28" ht="15.75" customHeight="1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 spans="1:28" ht="15.75" customHeight="1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 spans="1:28" ht="15.75" customHeight="1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 spans="1:28" ht="15.75" customHeight="1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 spans="1:28" ht="15.75" customHeight="1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 spans="1:28" ht="15.75" customHeight="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 spans="1:28" ht="15.75" customHeight="1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 spans="1:28" ht="15.75" customHeight="1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 spans="1:28" ht="15.75" customHeight="1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 spans="1:28" ht="15.75" customHeight="1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 spans="1:28" ht="15.75" customHeight="1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 spans="1:28" ht="15.75" customHeight="1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 spans="1:28" ht="15.75" customHeight="1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 spans="1:28" ht="15.75" customHeight="1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 spans="1:28" ht="15.75" customHeight="1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 spans="1:28" ht="15.75" customHeight="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 spans="1:28" ht="15.75" customHeight="1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 spans="1:28" ht="15.75" customHeight="1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 spans="1:28" ht="15.75" customHeight="1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 spans="1:28" ht="15.75" customHeight="1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 spans="1:28" ht="15.75" customHeight="1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 spans="1:28" ht="15.75" customHeight="1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 spans="1:28" ht="15.75" customHeight="1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 spans="1:28" ht="15.75" customHeight="1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 spans="1:28" ht="15.75" customHeight="1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 spans="1:28" ht="15.75" customHeight="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 spans="1:28" ht="15.75" customHeight="1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 spans="1:28" ht="15.75" customHeight="1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 spans="1:28" ht="15.75" customHeight="1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 spans="1:28" ht="15.75" customHeight="1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 spans="1:28" ht="15.75" customHeight="1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 spans="1:28" ht="15.75" customHeight="1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 spans="1:28" ht="15.75" customHeight="1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 spans="1:28" ht="15.75" customHeight="1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 spans="1:28" ht="15.75" customHeight="1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 spans="1:28" ht="15.75" customHeight="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 spans="1:28" ht="15.75" customHeight="1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 spans="1:28" ht="15.75" customHeight="1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 spans="1:28" ht="15.75" customHeight="1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 spans="1:28" ht="15.75" customHeight="1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 spans="1:28" ht="15.75" customHeight="1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 spans="1:28" ht="15.75" customHeight="1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 spans="1:28" ht="15.75" customHeight="1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 spans="1:28" ht="15.75" customHeight="1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 spans="1:28" ht="15.75" customHeight="1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 spans="1:28" ht="15.75" customHeight="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 spans="1:28" ht="15.75" customHeight="1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 spans="1:28" ht="15.75" customHeight="1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 spans="1:28" ht="15.75" customHeight="1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 spans="1:28" ht="15.75" customHeight="1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 spans="1:28" ht="15.75" customHeight="1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 spans="1:28" ht="15.75" customHeight="1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 spans="1:28" ht="15.75" customHeight="1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 spans="1:28" ht="15.75" customHeight="1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 spans="1:28" ht="15.75" customHeight="1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 spans="1:28" ht="15.75" customHeight="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 spans="1:28" ht="15.75" customHeight="1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 spans="1:28" ht="15.75" customHeight="1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 spans="1:28" ht="15.75" customHeight="1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 spans="1:28" ht="15.75" customHeight="1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 spans="1:28" ht="15.75" customHeight="1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 spans="1:28" ht="15.75" customHeight="1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 spans="1:28" ht="15.75" customHeight="1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 spans="1:28" ht="15.75" customHeight="1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 spans="1:28" ht="15.75" customHeight="1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 spans="1:28" ht="15.75" customHeight="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 spans="1:28" ht="15.75" customHeight="1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 spans="1:28" ht="15.75" customHeight="1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 spans="1:28" ht="15.75" customHeight="1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 spans="1:28" ht="15.75" customHeight="1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 spans="1:28" ht="15.75" customHeight="1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 spans="1:28" ht="15.75" customHeight="1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 spans="1:28" ht="15.75" customHeight="1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 spans="1:28" ht="15.75" customHeight="1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 spans="1:28" ht="15.75" customHeight="1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 spans="1:28" ht="15.75" customHeight="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 spans="1:28" ht="15.75" customHeight="1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 spans="1:28" ht="15.75" customHeight="1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 spans="1:28" ht="15.75" customHeight="1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 spans="1:28" ht="15.75" customHeight="1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 spans="1:28" ht="15.75" customHeight="1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 spans="1:28" ht="15.75" customHeight="1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 spans="1:28" ht="15.75" customHeight="1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 spans="1:28" ht="15.75" customHeight="1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 spans="1:28" ht="15.75" customHeight="1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 spans="1:28" ht="15.75" customHeight="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 spans="1:28" ht="15.75" customHeight="1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 spans="1:28" ht="15.75" customHeight="1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 spans="1:28" ht="15.75" customHeight="1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 spans="1:28" ht="15.75" customHeight="1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 spans="1:28" ht="15.75" customHeight="1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 spans="1:28" ht="15.75" customHeight="1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 spans="1:28" ht="15.75" customHeight="1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 spans="1:28" ht="15.75" customHeight="1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 spans="1:28" ht="15.75" customHeight="1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 spans="1:28" ht="15.75" customHeight="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 spans="1:28" ht="15.75" customHeight="1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 spans="1:28" ht="15.75" customHeight="1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 spans="1:28" ht="15.75" customHeight="1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 spans="1:28" ht="15.75" customHeight="1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 spans="1:28" ht="15.75" customHeight="1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 spans="1:28" ht="15.75" customHeight="1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 spans="1:28" ht="15.75" customHeight="1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 spans="1:28" ht="15.75" customHeight="1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 spans="1:28" ht="15.75" customHeight="1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 spans="1:28" ht="15.75" customHeight="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 spans="1:28" ht="15.75" customHeight="1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 spans="1:28" ht="15.75" customHeight="1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 spans="1:28" ht="15.75" customHeight="1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 spans="1:28" ht="15.75" customHeight="1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 spans="1:28" ht="15.75" customHeight="1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 spans="1:28" ht="15.75" customHeight="1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 spans="1:28" ht="15.75" customHeight="1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 spans="1:28" ht="15.75" customHeight="1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 spans="1:28" ht="15.75" customHeight="1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 spans="1:28" ht="15.75" customHeight="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 spans="1:28" ht="15.75" customHeight="1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 spans="1:28" ht="15.75" customHeight="1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 spans="1:28" ht="15.75" customHeight="1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 spans="1:28" ht="15.75" customHeight="1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 spans="1:28" ht="15.75" customHeight="1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 spans="1:28" ht="15.75" customHeight="1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 spans="1:28" ht="15.75" customHeight="1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 spans="1:28" ht="15.75" customHeight="1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 spans="1:28" ht="15.75" customHeight="1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 spans="1:28" ht="15.75" customHeight="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 spans="1:28" ht="15.75" customHeight="1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 spans="1:28" ht="15.75" customHeight="1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 spans="1:28" ht="15.75" customHeight="1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 spans="1:28" ht="15.75" customHeight="1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 spans="1:28" ht="15.75" customHeight="1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 spans="1:28" ht="15.75" customHeight="1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 spans="1:28" ht="15.75" customHeight="1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 spans="1:28" ht="15.75" customHeight="1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 spans="1:28" ht="15.75" customHeight="1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 spans="1:28" ht="15.75" customHeight="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 spans="1:28" ht="15.75" customHeight="1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 spans="1:28" ht="15.75" customHeight="1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 spans="1:28" ht="15.75" customHeight="1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 spans="1:28" ht="15.75" customHeight="1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 spans="1:28" ht="15.75" customHeight="1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 spans="1:28" ht="15.75" customHeight="1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 spans="1:28" ht="15.75" customHeight="1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 spans="1:28" ht="15.75" customHeight="1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 spans="1:28" ht="15.75" customHeight="1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 spans="1:28" ht="15.75" customHeight="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 spans="1:28" ht="15.75" customHeight="1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 spans="1:28" ht="15.75" customHeight="1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 spans="1:28" ht="15.75" customHeight="1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 spans="1:28" ht="15.75" customHeight="1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 spans="1:28" ht="15.75" customHeight="1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 spans="1:28" ht="15.75" customHeight="1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 spans="1:28" ht="15.75" customHeight="1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 spans="1:28" ht="15.75" customHeight="1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 spans="1:28" ht="15.75" customHeight="1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 spans="1:28" ht="15.75" customHeight="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 spans="1:28" ht="15.75" customHeight="1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 spans="1:28" ht="15.75" customHeight="1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 spans="1:28" ht="15.75" customHeight="1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 spans="1:28" ht="15.75" customHeight="1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 spans="1:28" ht="15.75" customHeight="1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 spans="1:28" ht="15.75" customHeight="1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 spans="1:28" ht="15.75" customHeight="1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 spans="1:28" ht="15.75" customHeight="1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 spans="1:28" ht="15.75" customHeight="1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 spans="1:28" ht="15.75" customHeight="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 spans="1:28" ht="15.75" customHeight="1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 spans="1:28" ht="15.75" customHeight="1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 spans="1:28" ht="15.75" customHeight="1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 spans="1:28" ht="15.75" customHeight="1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 spans="1:28" ht="15.75" customHeight="1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 spans="1:28" ht="15.75" customHeight="1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 spans="1:28" ht="15.75" customHeight="1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 spans="1:28" ht="15.75" customHeight="1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 spans="1:28" ht="15.75" customHeight="1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 spans="1:28" ht="15.75" customHeight="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 spans="1:28" ht="15.75" customHeight="1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 spans="1:28" ht="15.75" customHeight="1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 spans="1:28" ht="15.75" customHeight="1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 spans="1:28" ht="15.75" customHeight="1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 spans="1:28" ht="15.75" customHeight="1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 spans="1:28" ht="15.75" customHeight="1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 spans="1:28" ht="15.75" customHeight="1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 spans="1:28" ht="15.75" customHeight="1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 spans="1:28" ht="15.75" customHeight="1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 spans="1:28" ht="15.75" customHeight="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 spans="1:28" ht="15.75" customHeight="1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 spans="1:28" ht="15.75" customHeight="1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 spans="1:28" ht="15.75" customHeight="1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 spans="1:28" ht="15.75" customHeight="1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 spans="1:28" ht="15.75" customHeight="1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 spans="1:28" ht="15.75" customHeight="1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 spans="1:28" ht="15.75" customHeight="1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 spans="1:28" ht="15.75" customHeight="1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 spans="1:28" ht="15.75" customHeight="1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 spans="1:28" ht="15.75" customHeight="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 spans="1:28" ht="15.75" customHeight="1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 spans="1:28" ht="15.75" customHeight="1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 spans="1:28" ht="15.75" customHeight="1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 spans="1:28" ht="15.75" customHeight="1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 spans="1:28" ht="15.75" customHeight="1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 spans="1:28" ht="15.75" customHeight="1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 spans="1:28" ht="15.75" customHeight="1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 spans="1:28" ht="15.75" customHeight="1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 spans="1:28" ht="15.75" customHeight="1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 spans="1:28" ht="15.75" customHeight="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 spans="1:28" ht="15.75" customHeight="1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 spans="1:28" ht="15.75" customHeight="1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 spans="1:28" ht="15.75" customHeight="1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 spans="1:28" ht="15.75" customHeight="1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 spans="1:28" ht="15.75" customHeight="1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 spans="1:28" ht="15.75" customHeight="1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 spans="1:28" ht="15.75" customHeight="1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 spans="1:28" ht="15.75" customHeight="1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 spans="1:28" ht="15.75" customHeight="1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 spans="1:28" ht="15.75" customHeight="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 spans="1:28" ht="15.75" customHeight="1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 spans="1:28" ht="15.75" customHeight="1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 spans="1:28" ht="15.75" customHeight="1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 spans="1:28" ht="15.75" customHeight="1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 spans="1:28" ht="15.75" customHeight="1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 spans="1:28" ht="15.75" customHeight="1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 spans="1:28" ht="15.75" customHeight="1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 spans="1:28" ht="15.75" customHeight="1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 spans="1:28" ht="15.75" customHeight="1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 spans="1:28" ht="15.75" customHeight="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 spans="1:28" ht="15.75" customHeight="1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 spans="1:28" ht="15.75" customHeight="1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 spans="1:28" ht="15.75" customHeight="1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 spans="1:28" ht="15.75" customHeight="1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 spans="1:28" ht="15.75" customHeight="1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 spans="1:28" ht="15.75" customHeight="1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 spans="1:28" ht="15.75" customHeight="1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 spans="1:28" ht="15.75" customHeight="1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 spans="1:28" ht="15.75" customHeight="1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 spans="1:28" ht="15.75" customHeight="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 spans="1:28" ht="15.75" customHeight="1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 spans="1:28" ht="15.75" customHeight="1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 spans="1:28" ht="15.75" customHeight="1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 spans="1:28" ht="15.75" customHeight="1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 spans="1:28" ht="15.75" customHeight="1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 spans="1:28" ht="15.75" customHeight="1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 spans="1:28" ht="15.75" customHeight="1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 spans="1:28" ht="15.75" customHeight="1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 spans="1:28" ht="15.75" customHeight="1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 spans="1:28" ht="15.75" customHeight="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 spans="1:28" ht="15.75" customHeight="1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 spans="1:28" ht="15.75" customHeight="1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 spans="1:28" ht="15.75" customHeight="1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 spans="1:28" ht="15.75" customHeight="1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 spans="1:28" ht="15.75" customHeight="1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 spans="1:28" ht="15.75" customHeight="1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 spans="1:28" ht="15.75" customHeight="1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 spans="1:28" ht="15.75" customHeight="1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 spans="1:28" ht="15.75" customHeight="1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 spans="1:28" ht="15.75" customHeight="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 spans="1:28" ht="15.75" customHeight="1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 spans="1:28" ht="15.75" customHeight="1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 spans="1:28" ht="15.75" customHeight="1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 spans="1:28" ht="15.75" customHeight="1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 spans="1:28" ht="15.75" customHeight="1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 spans="1:28" ht="15.75" customHeight="1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 spans="1:28" ht="15.75" customHeight="1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 spans="1:28" ht="15.75" customHeight="1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 spans="1:28" ht="15.75" customHeight="1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 spans="1:28" ht="15.75" customHeight="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 spans="1:28" ht="15.75" customHeight="1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 spans="1:28" ht="15.75" customHeight="1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 spans="1:28" ht="15.75" customHeight="1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 spans="1:28" ht="15.75" customHeight="1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 spans="1:28" ht="15.75" customHeight="1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 spans="1:28" ht="15.75" customHeight="1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 spans="1:28" ht="15.75" customHeight="1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 spans="1:28" ht="15.75" customHeight="1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 spans="1:28" ht="15.75" customHeight="1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 spans="1:28" ht="15.75" customHeight="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 spans="1:28" ht="15.75" customHeight="1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 spans="1:28" ht="15.75" customHeight="1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 spans="1:28" ht="15.75" customHeight="1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 spans="1:28" ht="15.75" customHeight="1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 spans="1:28" ht="15.75" customHeight="1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 spans="1:28" ht="15.75" customHeight="1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 spans="1:28" ht="15.75" customHeight="1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 spans="1:28" ht="15.75" customHeight="1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 spans="1:28" ht="15.75" customHeight="1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 spans="1:28" ht="15.75" customHeight="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 spans="1:28" ht="15.75" customHeight="1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 spans="1:28" ht="15.75" customHeight="1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 spans="1:28" ht="15.75" customHeight="1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 spans="1:28" ht="15.75" customHeight="1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 spans="1:28" ht="15.75" customHeight="1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 spans="1:28" ht="15.75" customHeight="1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 spans="1:28" ht="15.75" customHeight="1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 spans="1:28" ht="15.75" customHeight="1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 spans="1:28" ht="15.75" customHeight="1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 spans="1:28" ht="15.75" customHeight="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 spans="1:28" ht="15.75" customHeight="1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 spans="1:28" ht="15.75" customHeight="1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 spans="1:28" ht="15.75" customHeight="1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 spans="1:28" ht="15.75" customHeight="1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 spans="1:28" ht="15.75" customHeight="1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 spans="1:28" ht="15.75" customHeight="1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 spans="1:28" ht="15.75" customHeight="1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 spans="1:28" ht="15.75" customHeight="1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 spans="1:28" ht="15.75" customHeight="1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 spans="1:28" ht="15.75" customHeight="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 spans="1:28" ht="15.75" customHeight="1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 spans="1:28" ht="15.75" customHeight="1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 spans="1:28" ht="15.75" customHeight="1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 spans="1:28" ht="15.75" customHeight="1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 spans="1:28" ht="15.75" customHeight="1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 spans="1:28" ht="15.75" customHeight="1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 spans="1:28" ht="15.75" customHeight="1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 spans="1:28" ht="15.75" customHeight="1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 spans="1:28" ht="15.75" customHeight="1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 spans="1:28" ht="15.75" customHeight="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 spans="1:28" ht="15.75" customHeight="1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 spans="1:28" ht="15.75" customHeight="1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 spans="1:28" ht="15.75" customHeight="1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 spans="1:28" ht="15.75" customHeight="1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 spans="1:28" ht="15.75" customHeight="1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 spans="1:28" ht="15.75" customHeight="1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 spans="1:28" ht="15.75" customHeight="1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 spans="1:28" ht="15.75" customHeight="1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 spans="1:28" ht="15.75" customHeight="1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 spans="1:28" ht="15.75" customHeight="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 spans="1:28" ht="15.75" customHeight="1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 spans="1:28" ht="15.75" customHeight="1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 spans="1:28" ht="15.75" customHeight="1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 spans="1:28" ht="15.75" customHeight="1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 spans="1:28" ht="15.75" customHeight="1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 spans="1:28" ht="15.75" customHeight="1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 spans="1:28" ht="15.75" customHeight="1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 spans="1:28" ht="15.75" customHeight="1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 spans="1:28" ht="15.75" customHeight="1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 spans="1:28" ht="15.75" customHeight="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 spans="1:28" ht="15.75" customHeight="1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 spans="1:28" ht="15.75" customHeight="1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 spans="1:28" ht="15.75" customHeight="1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 spans="1:28" ht="15.75" customHeight="1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 spans="1:28" ht="15.75" customHeight="1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 spans="1:28" ht="15.75" customHeight="1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 spans="1:28" ht="15.75" customHeight="1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 spans="1:28" ht="15.75" customHeight="1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 spans="1:28" ht="15.75" customHeight="1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 spans="1:28" ht="15.75" customHeight="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 spans="1:28" ht="15.75" customHeight="1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 spans="1:28" ht="15.75" customHeight="1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 spans="1:28" ht="15.75" customHeight="1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 spans="1:28" ht="15.75" customHeight="1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 spans="1:28" ht="15.75" customHeight="1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 spans="1:28" ht="15.75" customHeight="1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 spans="1:28" ht="15.75" customHeight="1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 spans="1:28" ht="15.75" customHeight="1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 spans="1:28" ht="15.75" customHeight="1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 spans="1:28" ht="15.75" customHeight="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 spans="1:28" ht="15.75" customHeight="1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 spans="1:28" ht="15.75" customHeight="1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 spans="1:28" ht="15.75" customHeight="1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 spans="1:28" ht="15.75" customHeight="1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 spans="1:28" ht="15.75" customHeight="1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 spans="1:28" ht="15.75" customHeight="1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 spans="1:28" ht="15.75" customHeight="1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 spans="1:28" ht="15.75" customHeight="1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 spans="1:28" ht="15.75" customHeight="1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 spans="1:28" ht="15.75" customHeight="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 spans="1:28" ht="15.75" customHeight="1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 spans="1:28" ht="15.75" customHeight="1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 spans="1:28" ht="15.75" customHeight="1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 spans="1:28" ht="15.75" customHeight="1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 spans="1:28" ht="15.75" customHeight="1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 spans="1:28" ht="15.75" customHeight="1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 spans="1:28" ht="15.75" customHeight="1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 spans="1:28" ht="15.75" customHeight="1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 spans="1:28" ht="15.75" customHeight="1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 spans="1:28" ht="15.75" customHeight="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 spans="1:28" ht="15.75" customHeight="1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 spans="1:28" ht="15.75" customHeight="1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 spans="1:28" ht="15.75" customHeight="1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 spans="1:28" ht="15.75" customHeight="1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 spans="1:28" ht="15.75" customHeight="1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 spans="1:28" ht="15.75" customHeight="1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 spans="1:28" ht="15.75" customHeight="1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 spans="1:28" ht="15.75" customHeight="1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 spans="1:28" ht="15.75" customHeight="1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 spans="1:28" ht="15.75" customHeight="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 spans="1:28" ht="15.75" customHeight="1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 spans="1:28" ht="15.75" customHeight="1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 spans="1:28" ht="15.75" customHeight="1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 spans="1:28" ht="15.75" customHeight="1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 spans="1:28" ht="15.75" customHeight="1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 spans="1:28" ht="15.75" customHeight="1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 spans="1:28" ht="15.75" customHeight="1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 spans="1:28" ht="15.75" customHeight="1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 spans="1:28" ht="15.75" customHeight="1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 spans="1:28" ht="15.75" customHeight="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 spans="1:28" ht="15.75" customHeight="1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 spans="1:28" ht="15.75" customHeight="1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 spans="1:28" ht="15.75" customHeight="1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 spans="1:28" ht="15.75" customHeight="1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 spans="1:28" ht="15.75" customHeight="1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 spans="1:28" ht="15.75" customHeight="1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 spans="1:28" ht="15.75" customHeight="1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 spans="1:28" ht="15.75" customHeight="1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 spans="1:28" ht="15.75" customHeight="1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 spans="1:28" ht="15.75" customHeight="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 spans="1:28" ht="15.75" customHeight="1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 spans="1:28" ht="15.75" customHeight="1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 spans="1:28" ht="15.75" customHeight="1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 spans="1:28" ht="15.75" customHeight="1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 spans="1:28" ht="15.75" customHeight="1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 spans="1:28" ht="15.75" customHeight="1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 spans="1:28" ht="15.75" customHeight="1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 spans="1:28" ht="15.75" customHeight="1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 spans="1:28" ht="15.75" customHeight="1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 spans="1:28" ht="15.75" customHeight="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 spans="1:28" ht="15.75" customHeight="1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 spans="1:28" ht="15.75" customHeight="1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 spans="1:28" ht="15.75" customHeight="1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 spans="1:28" ht="15.75" customHeight="1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 spans="1:28" ht="15.75" customHeight="1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 spans="1:28" ht="15.75" customHeight="1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  <row r="978" spans="1:28" ht="15.75" customHeight="1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</row>
    <row r="979" spans="1:28" ht="15.75" customHeight="1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</row>
    <row r="980" spans="1:28" ht="15.75" customHeight="1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</row>
    <row r="981" spans="1:28" ht="15.75" customHeight="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</row>
    <row r="982" spans="1:28" ht="15.75" customHeight="1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</row>
    <row r="983" spans="1:28" ht="15.75" customHeight="1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</row>
    <row r="984" spans="1:28" ht="15.75" customHeight="1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</row>
    <row r="985" spans="1:28" ht="15.75" customHeight="1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</row>
    <row r="986" spans="1:28" ht="15.75" customHeight="1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</row>
    <row r="987" spans="1:28" ht="15.75" customHeight="1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</row>
    <row r="988" spans="1:28" ht="15.75" customHeight="1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</row>
    <row r="989" spans="1:28" ht="15.75" customHeight="1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</row>
    <row r="990" spans="1:28" ht="15.75" customHeight="1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</row>
    <row r="991" spans="1:28" ht="15.75" customHeight="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</row>
    <row r="992" spans="1:28" ht="15.75" customHeight="1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</row>
    <row r="993" spans="1:28" ht="15.75" customHeight="1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</row>
    <row r="994" spans="1:28" ht="15.75" customHeight="1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</row>
    <row r="995" spans="1:28" ht="15.75" customHeight="1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</row>
    <row r="996" spans="1:28" ht="15.75" customHeight="1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</row>
    <row r="997" spans="1:28" ht="15.75" customHeight="1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</row>
    <row r="998" spans="1:28" ht="15.75" customHeight="1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</row>
    <row r="999" spans="1:28" ht="15.75" customHeight="1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</row>
    <row r="1000" spans="1:28" ht="15.75" customHeight="1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  <c r="AB1000" s="148"/>
    </row>
    <row r="1001" spans="1:28" ht="15.75" customHeight="1">
      <c r="A1001" s="148"/>
      <c r="B1001" s="148"/>
      <c r="C1001" s="148"/>
      <c r="D1001" s="148"/>
      <c r="E1001" s="148"/>
      <c r="F1001" s="148"/>
      <c r="G1001" s="148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  <c r="Z1001" s="148"/>
      <c r="AA1001" s="148"/>
      <c r="AB1001" s="148"/>
    </row>
    <row r="1002" spans="1:28" ht="15.75" customHeight="1">
      <c r="A1002" s="148"/>
      <c r="B1002" s="148"/>
      <c r="C1002" s="148"/>
      <c r="D1002" s="148"/>
      <c r="E1002" s="148"/>
      <c r="F1002" s="148"/>
      <c r="G1002" s="148"/>
      <c r="H1002" s="148"/>
      <c r="I1002" s="148"/>
      <c r="J1002" s="148"/>
      <c r="K1002" s="148"/>
      <c r="L1002" s="148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  <c r="Z1002" s="148"/>
      <c r="AA1002" s="148"/>
      <c r="AB1002" s="148"/>
    </row>
  </sheetData>
  <mergeCells count="232">
    <mergeCell ref="C81:U81"/>
    <mergeCell ref="X81:Y81"/>
    <mergeCell ref="C82:U82"/>
    <mergeCell ref="X82:Y82"/>
    <mergeCell ref="X83:Y83"/>
    <mergeCell ref="X86:Y86"/>
    <mergeCell ref="X87:Y87"/>
    <mergeCell ref="C83:U83"/>
    <mergeCell ref="C84:U84"/>
    <mergeCell ref="X84:Y84"/>
    <mergeCell ref="C85:U85"/>
    <mergeCell ref="X85:Y85"/>
    <mergeCell ref="C86:U86"/>
    <mergeCell ref="C87:U87"/>
    <mergeCell ref="V74:V75"/>
    <mergeCell ref="W74:AA74"/>
    <mergeCell ref="AB74:AB75"/>
    <mergeCell ref="X75:Y75"/>
    <mergeCell ref="X76:Y76"/>
    <mergeCell ref="X77:Y77"/>
    <mergeCell ref="X78:Y78"/>
    <mergeCell ref="X79:Y79"/>
    <mergeCell ref="X80:Y80"/>
    <mergeCell ref="A48:B48"/>
    <mergeCell ref="C48:T48"/>
    <mergeCell ref="AA48:AB48"/>
    <mergeCell ref="V50:V51"/>
    <mergeCell ref="W50:Z50"/>
    <mergeCell ref="W47:Y47"/>
    <mergeCell ref="W48:Y48"/>
    <mergeCell ref="A49:Z49"/>
    <mergeCell ref="AA49:AB49"/>
    <mergeCell ref="A50:A51"/>
    <mergeCell ref="B50:B51"/>
    <mergeCell ref="C50:U51"/>
    <mergeCell ref="A45:Z45"/>
    <mergeCell ref="AA45:AB45"/>
    <mergeCell ref="A46:B46"/>
    <mergeCell ref="AA46:AB46"/>
    <mergeCell ref="C46:T46"/>
    <mergeCell ref="W46:Y46"/>
    <mergeCell ref="A47:B47"/>
    <mergeCell ref="C47:T47"/>
    <mergeCell ref="AA47:AB47"/>
    <mergeCell ref="C43:T43"/>
    <mergeCell ref="C44:T44"/>
    <mergeCell ref="C35:T35"/>
    <mergeCell ref="C36:T36"/>
    <mergeCell ref="C37:T37"/>
    <mergeCell ref="C38:T38"/>
    <mergeCell ref="C39:T39"/>
    <mergeCell ref="C40:T40"/>
    <mergeCell ref="C41:T41"/>
    <mergeCell ref="Y20:AB20"/>
    <mergeCell ref="C17:E17"/>
    <mergeCell ref="A19:F19"/>
    <mergeCell ref="G19:H19"/>
    <mergeCell ref="I19:K19"/>
    <mergeCell ref="L19:O19"/>
    <mergeCell ref="P19:Q19"/>
    <mergeCell ref="A20:B20"/>
    <mergeCell ref="O20:Q20"/>
    <mergeCell ref="C20:E20"/>
    <mergeCell ref="G20:I20"/>
    <mergeCell ref="Y17:AB17"/>
    <mergeCell ref="R19:AB19"/>
    <mergeCell ref="A17:B17"/>
    <mergeCell ref="G17:I17"/>
    <mergeCell ref="J17:L17"/>
    <mergeCell ref="M17:N17"/>
    <mergeCell ref="O17:Q17"/>
    <mergeCell ref="R17:U17"/>
    <mergeCell ref="A18:AB18"/>
    <mergeCell ref="W12:Y12"/>
    <mergeCell ref="Z12:AB12"/>
    <mergeCell ref="C14:AB14"/>
    <mergeCell ref="A15:AB15"/>
    <mergeCell ref="R16:AB16"/>
    <mergeCell ref="C10:F10"/>
    <mergeCell ref="A14:B14"/>
    <mergeCell ref="A16:F16"/>
    <mergeCell ref="G16:H16"/>
    <mergeCell ref="I16:K16"/>
    <mergeCell ref="L16:O16"/>
    <mergeCell ref="P16:Q16"/>
    <mergeCell ref="A11:AB11"/>
    <mergeCell ref="A13:AB13"/>
    <mergeCell ref="A7:AB7"/>
    <mergeCell ref="A4:B4"/>
    <mergeCell ref="A8:B8"/>
    <mergeCell ref="C8:F8"/>
    <mergeCell ref="G8:J8"/>
    <mergeCell ref="O8:Q8"/>
    <mergeCell ref="R8:S8"/>
    <mergeCell ref="T8:U8"/>
    <mergeCell ref="R10:S10"/>
    <mergeCell ref="T10:U10"/>
    <mergeCell ref="K8:N8"/>
    <mergeCell ref="A9:U9"/>
    <mergeCell ref="G10:J10"/>
    <mergeCell ref="K10:N10"/>
    <mergeCell ref="O10:Q10"/>
    <mergeCell ref="V8:AA10"/>
    <mergeCell ref="AB8:AB10"/>
    <mergeCell ref="A1:B1"/>
    <mergeCell ref="C2:F2"/>
    <mergeCell ref="G2:H2"/>
    <mergeCell ref="I2:K2"/>
    <mergeCell ref="S2:V2"/>
    <mergeCell ref="W2:Y2"/>
    <mergeCell ref="Z2:AB2"/>
    <mergeCell ref="A6:B6"/>
    <mergeCell ref="C6:U6"/>
    <mergeCell ref="L2:Q2"/>
    <mergeCell ref="A3:AB3"/>
    <mergeCell ref="C4:U4"/>
    <mergeCell ref="V4:W6"/>
    <mergeCell ref="X4:AB6"/>
    <mergeCell ref="A5:U5"/>
    <mergeCell ref="A74:A75"/>
    <mergeCell ref="B74:B75"/>
    <mergeCell ref="C74:U75"/>
    <mergeCell ref="A10:B10"/>
    <mergeCell ref="A12:B12"/>
    <mergeCell ref="C12:F12"/>
    <mergeCell ref="G12:I12"/>
    <mergeCell ref="J12:P12"/>
    <mergeCell ref="Q12:R12"/>
    <mergeCell ref="S12:V12"/>
    <mergeCell ref="V17:X17"/>
    <mergeCell ref="J20:L20"/>
    <mergeCell ref="M20:N20"/>
    <mergeCell ref="R20:U20"/>
    <mergeCell ref="V20:X20"/>
    <mergeCell ref="E21:F21"/>
    <mergeCell ref="M21:N21"/>
    <mergeCell ref="O21:P21"/>
    <mergeCell ref="Q21:R21"/>
    <mergeCell ref="X21:Y21"/>
    <mergeCell ref="Q23:S23"/>
    <mergeCell ref="T23:U23"/>
    <mergeCell ref="W25:Z25"/>
    <mergeCell ref="C42:T42"/>
    <mergeCell ref="C69:U69"/>
    <mergeCell ref="C76:U76"/>
    <mergeCell ref="C77:U77"/>
    <mergeCell ref="C78:U78"/>
    <mergeCell ref="C79:U79"/>
    <mergeCell ref="C80:U80"/>
    <mergeCell ref="C70:U70"/>
    <mergeCell ref="C71:U71"/>
    <mergeCell ref="C72:U72"/>
    <mergeCell ref="C73:U73"/>
    <mergeCell ref="AA66:AB66"/>
    <mergeCell ref="AA67:AB67"/>
    <mergeCell ref="AA68:AB68"/>
    <mergeCell ref="AA69:AB69"/>
    <mergeCell ref="C54:U54"/>
    <mergeCell ref="C55:U55"/>
    <mergeCell ref="AA55:AB55"/>
    <mergeCell ref="C56:U56"/>
    <mergeCell ref="C57:U57"/>
    <mergeCell ref="C58:U58"/>
    <mergeCell ref="C59:U59"/>
    <mergeCell ref="C60:U60"/>
    <mergeCell ref="AA60:AB60"/>
    <mergeCell ref="C61:U61"/>
    <mergeCell ref="AA61:AB61"/>
    <mergeCell ref="C62:U62"/>
    <mergeCell ref="AA62:AB62"/>
    <mergeCell ref="AA63:AB63"/>
    <mergeCell ref="C63:U63"/>
    <mergeCell ref="C64:U64"/>
    <mergeCell ref="C65:U65"/>
    <mergeCell ref="C66:U66"/>
    <mergeCell ref="C67:U67"/>
    <mergeCell ref="C68:U68"/>
    <mergeCell ref="C52:U52"/>
    <mergeCell ref="AA52:AB52"/>
    <mergeCell ref="C53:U53"/>
    <mergeCell ref="AA53:AB53"/>
    <mergeCell ref="AA54:AB54"/>
    <mergeCell ref="AA56:AB56"/>
    <mergeCell ref="AA59:AB59"/>
    <mergeCell ref="AA64:AB64"/>
    <mergeCell ref="AA65:AB65"/>
    <mergeCell ref="AA36:AB36"/>
    <mergeCell ref="AA37:AB37"/>
    <mergeCell ref="AA38:AB38"/>
    <mergeCell ref="AA39:AB39"/>
    <mergeCell ref="AA40:AB40"/>
    <mergeCell ref="AA57:AB57"/>
    <mergeCell ref="AA58:AB58"/>
    <mergeCell ref="AA50:AB50"/>
    <mergeCell ref="AA51:AB51"/>
    <mergeCell ref="AA41:AB41"/>
    <mergeCell ref="AA42:AB42"/>
    <mergeCell ref="AA43:AB43"/>
    <mergeCell ref="AA44:AB44"/>
    <mergeCell ref="C31:T31"/>
    <mergeCell ref="C32:T32"/>
    <mergeCell ref="AA32:AB32"/>
    <mergeCell ref="C33:T33"/>
    <mergeCell ref="AA33:AB33"/>
    <mergeCell ref="C34:T34"/>
    <mergeCell ref="AA34:AB34"/>
    <mergeCell ref="AA35:AB35"/>
    <mergeCell ref="AA28:AB28"/>
    <mergeCell ref="AA31:AB31"/>
    <mergeCell ref="A25:A26"/>
    <mergeCell ref="B25:B26"/>
    <mergeCell ref="U25:U26"/>
    <mergeCell ref="V25:V26"/>
    <mergeCell ref="AA26:AB26"/>
    <mergeCell ref="AA29:AB29"/>
    <mergeCell ref="AA30:AB30"/>
    <mergeCell ref="C25:T26"/>
    <mergeCell ref="C27:T27"/>
    <mergeCell ref="AA27:AB27"/>
    <mergeCell ref="C28:T28"/>
    <mergeCell ref="C29:T29"/>
    <mergeCell ref="C30:T30"/>
    <mergeCell ref="AA25:AB25"/>
    <mergeCell ref="AA21:AB21"/>
    <mergeCell ref="A22:AB22"/>
    <mergeCell ref="A23:B23"/>
    <mergeCell ref="C23:F23"/>
    <mergeCell ref="G23:H23"/>
    <mergeCell ref="I23:K23"/>
    <mergeCell ref="L23:P23"/>
    <mergeCell ref="V23:AB23"/>
    <mergeCell ref="A24:AB24"/>
  </mergeCells>
  <pageMargins left="0.25" right="0.25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MATERIAL</vt:lpstr>
      <vt:lpstr>RELAÇAO DE MATERIAL</vt:lpstr>
      <vt:lpstr>Página8</vt:lpstr>
      <vt:lpstr>CONTRATO 2024014901</vt:lpstr>
      <vt:lpstr>PADRAO</vt:lpstr>
      <vt:lpstr>MÃO OBRA</vt:lpstr>
      <vt:lpstr>FECHAMENTO</vt:lpstr>
      <vt:lpstr>Obras</vt:lpstr>
      <vt:lpstr>5716677005</vt:lpstr>
      <vt:lpstr>5702814005 4575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Gomes de Sousa</dc:creator>
  <cp:lastModifiedBy>Ruy Augusto Godiano</cp:lastModifiedBy>
  <cp:lastPrinted>2025-12-09T21:05:37Z</cp:lastPrinted>
  <dcterms:created xsi:type="dcterms:W3CDTF">2022-05-23T17:46:52Z</dcterms:created>
  <dcterms:modified xsi:type="dcterms:W3CDTF">2025-12-22T15:01:09Z</dcterms:modified>
</cp:coreProperties>
</file>